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nivomax\Desktop\Steve Gates\Céraméo\EXCEL\"/>
    </mc:Choice>
  </mc:AlternateContent>
  <xr:revisionPtr revIDLastSave="0" documentId="13_ncr:1_{762BD16E-1B3B-4D1D-B2E3-B4E088CBC883}" xr6:coauthVersionLast="47" xr6:coauthVersionMax="47" xr10:uidLastSave="{00000000-0000-0000-0000-000000000000}"/>
  <bookViews>
    <workbookView xWindow="19110" yWindow="0" windowWidth="19380" windowHeight="20970" activeTab="2" xr2:uid="{00000000-000D-0000-FFFF-FFFF00000000}"/>
  </bookViews>
  <sheets>
    <sheet name="Carrelage Intérieur" sheetId="1" r:id="rId1"/>
    <sheet name="Carrelage Extérieur" sheetId="2" r:id="rId2"/>
    <sheet name="Parquet Sol stratifié et PVC" sheetId="3" r:id="rId3"/>
    <sheet name="Salle de bains" sheetId="4" r:id="rId4"/>
    <sheet name="Robinetterie" sheetId="8" r:id="rId5"/>
    <sheet name="Pose &amp; finition" sheetId="5" r:id="rId6"/>
  </sheets>
  <definedNames>
    <definedName name="_xlnm._FilterDatabase" localSheetId="1" hidden="1">'Carrelage Extérieur'!$A$1:$AN$272</definedName>
    <definedName name="_xlnm._FilterDatabase" localSheetId="0" hidden="1">'Carrelage Intérieur'!$A$1:$AO$1</definedName>
    <definedName name="_xlnm._FilterDatabase" localSheetId="2" hidden="1">'Parquet Sol stratifié et PVC'!$A$1:$AO$144</definedName>
    <definedName name="_xlnm._FilterDatabase" localSheetId="4" hidden="1">Robinetterie!$A$1:$AP$164</definedName>
    <definedName name="_xlnm._FilterDatabase" localSheetId="3" hidden="1">'Salle de bains'!$A$1:$AP$700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9IEEM4208Lruf0Q/iAChUN+u3pEliVfz8B3cUczuVeQ="/>
    </ext>
  </extLst>
</workbook>
</file>

<file path=xl/calcChain.xml><?xml version="1.0" encoding="utf-8"?>
<calcChain xmlns="http://schemas.openxmlformats.org/spreadsheetml/2006/main">
  <c r="AJ406" i="1" l="1"/>
  <c r="AJ405" i="1"/>
  <c r="AJ404" i="1"/>
  <c r="AL3" i="1"/>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2" i="8"/>
  <c r="AL342" i="1"/>
  <c r="AM43" i="3"/>
  <c r="AM44" i="3"/>
  <c r="AM45" i="3"/>
  <c r="AM46" i="3"/>
  <c r="AM47" i="3"/>
  <c r="AM48" i="3"/>
  <c r="AP700" i="4"/>
  <c r="AM700" i="4"/>
  <c r="AP699" i="4"/>
  <c r="AM699" i="4"/>
  <c r="AP698" i="4"/>
  <c r="AM698" i="4"/>
  <c r="AP697" i="4"/>
  <c r="AM697" i="4"/>
  <c r="AP696" i="4"/>
  <c r="AM696" i="4"/>
  <c r="AP695" i="4"/>
  <c r="AM695" i="4"/>
  <c r="AP694" i="4"/>
  <c r="AM694" i="4"/>
  <c r="AP693" i="4"/>
  <c r="AM693" i="4"/>
  <c r="AP692" i="4"/>
  <c r="AM692" i="4"/>
  <c r="AP691" i="4"/>
  <c r="AM691" i="4"/>
  <c r="AP690" i="4"/>
  <c r="AM690" i="4"/>
  <c r="AP689" i="4"/>
  <c r="AM689" i="4"/>
  <c r="AP688" i="4"/>
  <c r="AM688" i="4"/>
  <c r="AP687" i="4"/>
  <c r="AM687" i="4"/>
  <c r="AP686" i="4"/>
  <c r="AM686" i="4"/>
  <c r="AP685" i="4"/>
  <c r="AM685" i="4"/>
  <c r="AP684" i="4"/>
  <c r="AM684" i="4"/>
  <c r="AP683" i="4"/>
  <c r="AM683" i="4"/>
  <c r="AP682" i="4"/>
  <c r="AM682" i="4"/>
  <c r="AP681" i="4"/>
  <c r="AM681" i="4"/>
  <c r="AP680" i="4"/>
  <c r="AM680" i="4"/>
  <c r="AP679" i="4"/>
  <c r="AM679" i="4"/>
  <c r="AP678" i="4"/>
  <c r="AM678" i="4"/>
  <c r="AP677" i="4"/>
  <c r="AM677" i="4"/>
  <c r="AP676" i="4"/>
  <c r="AM676" i="4"/>
  <c r="AP675" i="4"/>
  <c r="AM675" i="4"/>
  <c r="AP674" i="4"/>
  <c r="AM674" i="4"/>
  <c r="AP673" i="4"/>
  <c r="AM673" i="4"/>
  <c r="AP672" i="4"/>
  <c r="AM672" i="4"/>
  <c r="AP671" i="4"/>
  <c r="AM671" i="4"/>
  <c r="AP670" i="4"/>
  <c r="AM670" i="4"/>
  <c r="AP669" i="4"/>
  <c r="AM669" i="4"/>
  <c r="AP668" i="4"/>
  <c r="AM668" i="4"/>
  <c r="AP667" i="4"/>
  <c r="AM667" i="4"/>
  <c r="AP666" i="4"/>
  <c r="AM666" i="4"/>
  <c r="AP665" i="4"/>
  <c r="AM665" i="4"/>
  <c r="AP664" i="4"/>
  <c r="AM664" i="4"/>
  <c r="AP663" i="4"/>
  <c r="AM663" i="4"/>
  <c r="AP662" i="4"/>
  <c r="AM662" i="4"/>
  <c r="AP661" i="4"/>
  <c r="AM661" i="4"/>
  <c r="AP660" i="4"/>
  <c r="AM660" i="4"/>
  <c r="AP659" i="4"/>
  <c r="AM659" i="4"/>
  <c r="AP658" i="4"/>
  <c r="AM658" i="4"/>
  <c r="AP657" i="4"/>
  <c r="AM657" i="4"/>
  <c r="AP656" i="4"/>
  <c r="AM656" i="4"/>
  <c r="AP655" i="4"/>
  <c r="AM655" i="4"/>
  <c r="AP654" i="4"/>
  <c r="AM654" i="4"/>
  <c r="AP653" i="4"/>
  <c r="AM653" i="4"/>
  <c r="AP652" i="4"/>
  <c r="AM652" i="4"/>
  <c r="AP651" i="4"/>
  <c r="AM651" i="4"/>
  <c r="AP650" i="4"/>
  <c r="AM650" i="4"/>
  <c r="AP649" i="4"/>
  <c r="AM649" i="4"/>
  <c r="AP648" i="4"/>
  <c r="AM648" i="4"/>
  <c r="AP647" i="4"/>
  <c r="AM647" i="4"/>
  <c r="AP646" i="4"/>
  <c r="AM646" i="4"/>
  <c r="AP645" i="4"/>
  <c r="AM645" i="4"/>
  <c r="AP644" i="4"/>
  <c r="AM644" i="4"/>
  <c r="AP643" i="4"/>
  <c r="AM643" i="4"/>
  <c r="AP642" i="4"/>
  <c r="AM642" i="4"/>
  <c r="AP641" i="4"/>
  <c r="AM641" i="4"/>
  <c r="AP640" i="4"/>
  <c r="AM640" i="4"/>
  <c r="AP639" i="4"/>
  <c r="AM639" i="4"/>
  <c r="AP638" i="4"/>
  <c r="AM638" i="4"/>
  <c r="AP637" i="4"/>
  <c r="AM637" i="4"/>
  <c r="AP636" i="4"/>
  <c r="AM636" i="4"/>
  <c r="AP635" i="4"/>
  <c r="AM635" i="4"/>
  <c r="AP634" i="4"/>
  <c r="AM634" i="4"/>
  <c r="AP633" i="4"/>
  <c r="AM633" i="4"/>
  <c r="AP632" i="4"/>
  <c r="AM632" i="4"/>
  <c r="AP631" i="4"/>
  <c r="AM631" i="4"/>
  <c r="AP630" i="4"/>
  <c r="AM630" i="4"/>
  <c r="AP629" i="4"/>
  <c r="AM629" i="4"/>
  <c r="AP628" i="4"/>
  <c r="AM628" i="4"/>
  <c r="AP627" i="4"/>
  <c r="AM627" i="4"/>
  <c r="AP626" i="4"/>
  <c r="AM626" i="4"/>
  <c r="AP625" i="4"/>
  <c r="AM625" i="4"/>
  <c r="AP624" i="4"/>
  <c r="AM624" i="4"/>
  <c r="AP623" i="4"/>
  <c r="AM623" i="4"/>
  <c r="AP622" i="4"/>
  <c r="AM622" i="4"/>
  <c r="AP621" i="4"/>
  <c r="AM621" i="4"/>
  <c r="AP620" i="4"/>
  <c r="AM620" i="4"/>
  <c r="AP619" i="4"/>
  <c r="AM619" i="4"/>
  <c r="AP618" i="4"/>
  <c r="AM618" i="4"/>
  <c r="AP617" i="4"/>
  <c r="AM617" i="4"/>
  <c r="AP616" i="4"/>
  <c r="AM616" i="4"/>
  <c r="AP615" i="4"/>
  <c r="AM615" i="4"/>
  <c r="AP614" i="4"/>
  <c r="AM614" i="4"/>
  <c r="AP613" i="4"/>
  <c r="AM613" i="4"/>
  <c r="AP612" i="4"/>
  <c r="AM612" i="4"/>
  <c r="AP611" i="4"/>
  <c r="AM611" i="4"/>
  <c r="AP610" i="4"/>
  <c r="AM610" i="4"/>
  <c r="AP609" i="4"/>
  <c r="AM609" i="4"/>
  <c r="AP608" i="4"/>
  <c r="AM608" i="4"/>
  <c r="AP607" i="4"/>
  <c r="AM607" i="4"/>
  <c r="AP606" i="4"/>
  <c r="AM606" i="4"/>
  <c r="AP605" i="4"/>
  <c r="AM605" i="4"/>
  <c r="AP604" i="4"/>
  <c r="AM604" i="4"/>
  <c r="AP603" i="4"/>
  <c r="AM603" i="4"/>
  <c r="AP602" i="4"/>
  <c r="AM602" i="4"/>
  <c r="AP601" i="4"/>
  <c r="AM601" i="4"/>
  <c r="AP600" i="4"/>
  <c r="AM600" i="4"/>
  <c r="AP599" i="4"/>
  <c r="AM599" i="4"/>
  <c r="AP598" i="4"/>
  <c r="AM598" i="4"/>
  <c r="AP597" i="4"/>
  <c r="AM597" i="4"/>
  <c r="AP596" i="4"/>
  <c r="AM596" i="4"/>
  <c r="AP595" i="4"/>
  <c r="AM595" i="4"/>
  <c r="AP594" i="4"/>
  <c r="AM594" i="4"/>
  <c r="AP593" i="4"/>
  <c r="AM593" i="4"/>
  <c r="AP592" i="4"/>
  <c r="AM592" i="4"/>
  <c r="AP591" i="4"/>
  <c r="AM591" i="4"/>
  <c r="AP590" i="4"/>
  <c r="AM590" i="4"/>
  <c r="AP589" i="4"/>
  <c r="AM589" i="4"/>
  <c r="AP588" i="4"/>
  <c r="AM588" i="4"/>
  <c r="AP587" i="4"/>
  <c r="AM587" i="4"/>
  <c r="AP586" i="4"/>
  <c r="AM586" i="4"/>
  <c r="AP585" i="4"/>
  <c r="AM585" i="4"/>
  <c r="AP584" i="4"/>
  <c r="AM584" i="4"/>
  <c r="AP583" i="4"/>
  <c r="AM583" i="4"/>
  <c r="AP582" i="4"/>
  <c r="AM582" i="4"/>
  <c r="AP581" i="4"/>
  <c r="AM581" i="4"/>
  <c r="AP580" i="4"/>
  <c r="AM580" i="4"/>
  <c r="AP579" i="4"/>
  <c r="AM579" i="4"/>
  <c r="AP578" i="4"/>
  <c r="AM578" i="4"/>
  <c r="AP577" i="4"/>
  <c r="AM577" i="4"/>
  <c r="AP576" i="4"/>
  <c r="AM576" i="4"/>
  <c r="AP575" i="4"/>
  <c r="AM575" i="4"/>
  <c r="AP574" i="4"/>
  <c r="AM574" i="4"/>
  <c r="AP573" i="4"/>
  <c r="AM573" i="4"/>
  <c r="AP572" i="4"/>
  <c r="AM572" i="4"/>
  <c r="AP571" i="4"/>
  <c r="AM571" i="4"/>
  <c r="AP570" i="4"/>
  <c r="AM570" i="4"/>
  <c r="AP569" i="4"/>
  <c r="AM569" i="4"/>
  <c r="AP568" i="4"/>
  <c r="AM568" i="4"/>
  <c r="AP567" i="4"/>
  <c r="AM567" i="4"/>
  <c r="AP566" i="4"/>
  <c r="AM566" i="4"/>
  <c r="AP565" i="4"/>
  <c r="AM565" i="4"/>
  <c r="AP564" i="4"/>
  <c r="AM564" i="4"/>
  <c r="AP563" i="4"/>
  <c r="AM563" i="4"/>
  <c r="AP562" i="4"/>
  <c r="AM562" i="4"/>
  <c r="AP561" i="4"/>
  <c r="AM561" i="4"/>
  <c r="AP560" i="4"/>
  <c r="AM560" i="4"/>
  <c r="AP559" i="4"/>
  <c r="AM559" i="4"/>
  <c r="AP558" i="4"/>
  <c r="AM558" i="4"/>
  <c r="AP557" i="4"/>
  <c r="AM557" i="4"/>
  <c r="AP556" i="4"/>
  <c r="AM556" i="4"/>
  <c r="AP555" i="4"/>
  <c r="AM555" i="4"/>
  <c r="AP554" i="4"/>
  <c r="AM554" i="4"/>
  <c r="AP553" i="4"/>
  <c r="AM553" i="4"/>
  <c r="AP552" i="4"/>
  <c r="AM552" i="4"/>
  <c r="AP551" i="4"/>
  <c r="AM551" i="4"/>
  <c r="AP550" i="4"/>
  <c r="AM550" i="4"/>
  <c r="AP549" i="4"/>
  <c r="AM549" i="4"/>
  <c r="AP548" i="4"/>
  <c r="AM548" i="4"/>
  <c r="AP547" i="4"/>
  <c r="AM547" i="4"/>
  <c r="AP546" i="4"/>
  <c r="AM546" i="4"/>
  <c r="AP545" i="4"/>
  <c r="AM545" i="4"/>
  <c r="AP544" i="4"/>
  <c r="AM544" i="4"/>
  <c r="AP543" i="4"/>
  <c r="AM543" i="4"/>
  <c r="AP542" i="4"/>
  <c r="AM542" i="4"/>
  <c r="AP541" i="4"/>
  <c r="AM541" i="4"/>
  <c r="AP540" i="4"/>
  <c r="AM540" i="4"/>
  <c r="AP539" i="4"/>
  <c r="AM539" i="4"/>
  <c r="AP538" i="4"/>
  <c r="AM538" i="4"/>
  <c r="AP537" i="4"/>
  <c r="AM537" i="4"/>
  <c r="AP536" i="4"/>
  <c r="AM536" i="4"/>
  <c r="AP535" i="4"/>
  <c r="AM535" i="4"/>
  <c r="AP534" i="4"/>
  <c r="AM534" i="4"/>
  <c r="AP533" i="4"/>
  <c r="AM533" i="4"/>
  <c r="AP532" i="4"/>
  <c r="AM532" i="4"/>
  <c r="AP531" i="4"/>
  <c r="AM531" i="4"/>
  <c r="AP530" i="4"/>
  <c r="AM530" i="4"/>
  <c r="AP529" i="4"/>
  <c r="AM529" i="4"/>
  <c r="AP528" i="4"/>
  <c r="AM528" i="4"/>
  <c r="AP527" i="4"/>
  <c r="AM527" i="4"/>
  <c r="AP526" i="4"/>
  <c r="AM526" i="4"/>
  <c r="AP525" i="4"/>
  <c r="AM525" i="4"/>
  <c r="AP524" i="4"/>
  <c r="AM524" i="4"/>
  <c r="AP523" i="4"/>
  <c r="AM523" i="4"/>
  <c r="AP522" i="4"/>
  <c r="AM522" i="4"/>
  <c r="AP521" i="4"/>
  <c r="AM521" i="4"/>
  <c r="AP520" i="4"/>
  <c r="AM520" i="4"/>
  <c r="AP519" i="4"/>
  <c r="AM519" i="4"/>
  <c r="AP518" i="4"/>
  <c r="AM518" i="4"/>
  <c r="AP517" i="4"/>
  <c r="AM517" i="4"/>
  <c r="AP516" i="4"/>
  <c r="AM516" i="4"/>
  <c r="AP515" i="4"/>
  <c r="AM515" i="4"/>
  <c r="AP514" i="4"/>
  <c r="AM514" i="4"/>
  <c r="AP513" i="4"/>
  <c r="AM513" i="4"/>
  <c r="AP512" i="4"/>
  <c r="AM512" i="4"/>
  <c r="AP511" i="4"/>
  <c r="AM511" i="4"/>
  <c r="AP510" i="4"/>
  <c r="AM510" i="4"/>
  <c r="AP509" i="4"/>
  <c r="AM509" i="4"/>
  <c r="AP508" i="4"/>
  <c r="AM508" i="4"/>
  <c r="AP507" i="4"/>
  <c r="AM507" i="4"/>
  <c r="AP506" i="4"/>
  <c r="AM506" i="4"/>
  <c r="AP505" i="4"/>
  <c r="AM505" i="4"/>
  <c r="AP504" i="4"/>
  <c r="AM504" i="4"/>
  <c r="AP503" i="4"/>
  <c r="AM503" i="4"/>
  <c r="AP502" i="4"/>
  <c r="AM502" i="4"/>
  <c r="AP501" i="4"/>
  <c r="AM501" i="4"/>
  <c r="AP500" i="4"/>
  <c r="AM500" i="4"/>
  <c r="AP499" i="4"/>
  <c r="AM499" i="4"/>
  <c r="AP498" i="4"/>
  <c r="AM498" i="4"/>
  <c r="AP497" i="4"/>
  <c r="AM497" i="4"/>
  <c r="AP496" i="4"/>
  <c r="AM496" i="4"/>
  <c r="AP495" i="4"/>
  <c r="AM495" i="4"/>
  <c r="AP494" i="4"/>
  <c r="AM494" i="4"/>
  <c r="AP493" i="4"/>
  <c r="AM493" i="4"/>
  <c r="AP492" i="4"/>
  <c r="AM492" i="4"/>
  <c r="AP491" i="4"/>
  <c r="AM491" i="4"/>
  <c r="AP490" i="4"/>
  <c r="AM490" i="4"/>
  <c r="AP489" i="4"/>
  <c r="AM489" i="4"/>
  <c r="AP488" i="4"/>
  <c r="AM488" i="4"/>
  <c r="AP487" i="4"/>
  <c r="AM487" i="4"/>
  <c r="AP486" i="4"/>
  <c r="AM486" i="4"/>
  <c r="AP485" i="4"/>
  <c r="AM485" i="4"/>
  <c r="AP484" i="4"/>
  <c r="AM484" i="4"/>
  <c r="AP483" i="4"/>
  <c r="AM483" i="4"/>
  <c r="AP482" i="4"/>
  <c r="AM482" i="4"/>
  <c r="AP481" i="4"/>
  <c r="AM481" i="4"/>
  <c r="AP480" i="4"/>
  <c r="AM480" i="4"/>
  <c r="AP479" i="4"/>
  <c r="AM479" i="4"/>
  <c r="AP478" i="4"/>
  <c r="AM478" i="4"/>
  <c r="AP477" i="4"/>
  <c r="AM477" i="4"/>
  <c r="AP476" i="4"/>
  <c r="AM476" i="4"/>
  <c r="AP475" i="4"/>
  <c r="AM475" i="4"/>
  <c r="AP474" i="4"/>
  <c r="AM474" i="4"/>
  <c r="AP473" i="4"/>
  <c r="AM473" i="4"/>
  <c r="AP472" i="4"/>
  <c r="AM472" i="4"/>
  <c r="AP471" i="4"/>
  <c r="AM471" i="4"/>
  <c r="AP470" i="4"/>
  <c r="AM470" i="4"/>
  <c r="AP469" i="4"/>
  <c r="AM469" i="4"/>
  <c r="AP468" i="4"/>
  <c r="AM468" i="4"/>
  <c r="AP467" i="4"/>
  <c r="AM467" i="4"/>
  <c r="AP466" i="4"/>
  <c r="AM466" i="4"/>
  <c r="AP465" i="4"/>
  <c r="AM465" i="4"/>
  <c r="AP464" i="4"/>
  <c r="AM464" i="4"/>
  <c r="AP463" i="4"/>
  <c r="AM463" i="4"/>
  <c r="AP462" i="4"/>
  <c r="AM462" i="4"/>
  <c r="AP461" i="4"/>
  <c r="AM461" i="4"/>
  <c r="AP460" i="4"/>
  <c r="AM460" i="4"/>
  <c r="AP459" i="4"/>
  <c r="AM459" i="4"/>
  <c r="AP458" i="4"/>
  <c r="AM458" i="4"/>
  <c r="AP457" i="4"/>
  <c r="AM457" i="4"/>
  <c r="AP456" i="4"/>
  <c r="AM456" i="4"/>
  <c r="AP455" i="4"/>
  <c r="AM455" i="4"/>
  <c r="AP454" i="4"/>
  <c r="AM454" i="4"/>
  <c r="AP453" i="4"/>
  <c r="AM453" i="4"/>
  <c r="AP452" i="4"/>
  <c r="AM452" i="4"/>
  <c r="AP451" i="4"/>
  <c r="AM451" i="4"/>
  <c r="AP450" i="4"/>
  <c r="AM450" i="4"/>
  <c r="AP449" i="4"/>
  <c r="AM449" i="4"/>
  <c r="AP448" i="4"/>
  <c r="AM448" i="4"/>
  <c r="AP447" i="4"/>
  <c r="AM447" i="4"/>
  <c r="AP446" i="4"/>
  <c r="AM446" i="4"/>
  <c r="AP445" i="4"/>
  <c r="AM445" i="4"/>
  <c r="AP444" i="4"/>
  <c r="AM444" i="4"/>
  <c r="AP443" i="4"/>
  <c r="AM443" i="4"/>
  <c r="AP442" i="4"/>
  <c r="AM442" i="4"/>
  <c r="AP441" i="4"/>
  <c r="AM441" i="4"/>
  <c r="AP440" i="4"/>
  <c r="AM440" i="4"/>
  <c r="AP439" i="4"/>
  <c r="AM439" i="4"/>
  <c r="AP438" i="4"/>
  <c r="AM438" i="4"/>
  <c r="AP437" i="4"/>
  <c r="AM437" i="4"/>
  <c r="AP436" i="4"/>
  <c r="AM436" i="4"/>
  <c r="AP435" i="4"/>
  <c r="AM435" i="4"/>
  <c r="AP434" i="4"/>
  <c r="AM434" i="4"/>
  <c r="AP433" i="4"/>
  <c r="AM433" i="4"/>
  <c r="AP432" i="4"/>
  <c r="AM432" i="4"/>
  <c r="AP431" i="4"/>
  <c r="AM431" i="4"/>
  <c r="AP430" i="4"/>
  <c r="AM430" i="4"/>
  <c r="AP429" i="4"/>
  <c r="AM429" i="4"/>
  <c r="AP428" i="4"/>
  <c r="AM428" i="4"/>
  <c r="AP427" i="4"/>
  <c r="AM427" i="4"/>
  <c r="AP426" i="4"/>
  <c r="AM426" i="4"/>
  <c r="AP425" i="4"/>
  <c r="AM425" i="4"/>
  <c r="AP424" i="4"/>
  <c r="AM424" i="4"/>
  <c r="AP423" i="4"/>
  <c r="AM423" i="4"/>
  <c r="AP422" i="4"/>
  <c r="AM422" i="4"/>
  <c r="AP421" i="4"/>
  <c r="AM421" i="4"/>
  <c r="AP420" i="4"/>
  <c r="AM420" i="4"/>
  <c r="AP419" i="4"/>
  <c r="AM419" i="4"/>
  <c r="AP418" i="4"/>
  <c r="AM418" i="4"/>
  <c r="AP417" i="4"/>
  <c r="AM417" i="4"/>
  <c r="AP416" i="4"/>
  <c r="AM416" i="4"/>
  <c r="AP415" i="4"/>
  <c r="AM415" i="4"/>
  <c r="AP414" i="4"/>
  <c r="AM414" i="4"/>
  <c r="AP413" i="4"/>
  <c r="AM413" i="4"/>
  <c r="AP412" i="4"/>
  <c r="AM412" i="4"/>
  <c r="AP411" i="4"/>
  <c r="AM411" i="4"/>
  <c r="AP410" i="4"/>
  <c r="AM410" i="4"/>
  <c r="AP409" i="4"/>
  <c r="AM409" i="4"/>
  <c r="AP408" i="4"/>
  <c r="AM408" i="4"/>
  <c r="AP407" i="4"/>
  <c r="AM407" i="4"/>
  <c r="AP406" i="4"/>
  <c r="AM406" i="4"/>
  <c r="AP405" i="4"/>
  <c r="AM405" i="4"/>
  <c r="AP404" i="4"/>
  <c r="AM404" i="4"/>
  <c r="AP403" i="4"/>
  <c r="AM403" i="4"/>
  <c r="AP402" i="4"/>
  <c r="AM402" i="4"/>
  <c r="AP401" i="4"/>
  <c r="AM401" i="4"/>
  <c r="AP400" i="4"/>
  <c r="AM400" i="4"/>
  <c r="AP399" i="4"/>
  <c r="AM399" i="4"/>
  <c r="AP398" i="4"/>
  <c r="AM398" i="4"/>
  <c r="AP397" i="4"/>
  <c r="AM397" i="4"/>
  <c r="AP396" i="4"/>
  <c r="AM396" i="4"/>
  <c r="AP395" i="4"/>
  <c r="AM395" i="4"/>
  <c r="AP394" i="4"/>
  <c r="AM394" i="4"/>
  <c r="AP393" i="4"/>
  <c r="AM393" i="4"/>
  <c r="AP392" i="4"/>
  <c r="AM392" i="4"/>
  <c r="AP391" i="4"/>
  <c r="AM391" i="4"/>
  <c r="AP390" i="4"/>
  <c r="AM390" i="4"/>
  <c r="AP389" i="4"/>
  <c r="AM389" i="4"/>
  <c r="AP388" i="4"/>
  <c r="AM388" i="4"/>
  <c r="AP387" i="4"/>
  <c r="AM387" i="4"/>
  <c r="AP386" i="4"/>
  <c r="AM386" i="4"/>
  <c r="AP385" i="4"/>
  <c r="AM385" i="4"/>
  <c r="AP384" i="4"/>
  <c r="AM384" i="4"/>
  <c r="AP383" i="4"/>
  <c r="AM383" i="4"/>
  <c r="AP382" i="4"/>
  <c r="AM382" i="4"/>
  <c r="AP381" i="4"/>
  <c r="AM381" i="4"/>
  <c r="AP380" i="4"/>
  <c r="AM380" i="4"/>
  <c r="AP379" i="4"/>
  <c r="AM379" i="4"/>
  <c r="AP378" i="4"/>
  <c r="AM378" i="4"/>
  <c r="AP377" i="4"/>
  <c r="AM377" i="4"/>
  <c r="AP376" i="4"/>
  <c r="AM376" i="4"/>
  <c r="AP375" i="4"/>
  <c r="AM375" i="4"/>
  <c r="AP374" i="4"/>
  <c r="AM374" i="4"/>
  <c r="AP373" i="4"/>
  <c r="AM373" i="4"/>
  <c r="AP372" i="4"/>
  <c r="AM372" i="4"/>
  <c r="AP371" i="4"/>
  <c r="AM371" i="4"/>
  <c r="AP370" i="4"/>
  <c r="AM370" i="4"/>
  <c r="AP369" i="4"/>
  <c r="AM369" i="4"/>
  <c r="AP368" i="4"/>
  <c r="AM368" i="4"/>
  <c r="AP367" i="4"/>
  <c r="AM367" i="4"/>
  <c r="AP366" i="4"/>
  <c r="AM366" i="4"/>
  <c r="AP365" i="4"/>
  <c r="AM365" i="4"/>
  <c r="AP364" i="4"/>
  <c r="AM364" i="4"/>
  <c r="AP363" i="4"/>
  <c r="AM363" i="4"/>
  <c r="AP362" i="4"/>
  <c r="AM362" i="4"/>
  <c r="AP361" i="4"/>
  <c r="AM361" i="4"/>
  <c r="AP360" i="4"/>
  <c r="AM360" i="4"/>
  <c r="AP359" i="4"/>
  <c r="AM359" i="4"/>
  <c r="AP358" i="4"/>
  <c r="AM358" i="4"/>
  <c r="AP357" i="4"/>
  <c r="AM357" i="4"/>
  <c r="AP356" i="4"/>
  <c r="AM356" i="4"/>
  <c r="AP355" i="4"/>
  <c r="AM355" i="4"/>
  <c r="AP354" i="4"/>
  <c r="AM354" i="4"/>
  <c r="AP353" i="4"/>
  <c r="AM353" i="4"/>
  <c r="AP352" i="4"/>
  <c r="AM352" i="4"/>
  <c r="AP351" i="4"/>
  <c r="AM351" i="4"/>
  <c r="AP350" i="4"/>
  <c r="AM350" i="4"/>
  <c r="AP349" i="4"/>
  <c r="AM349" i="4"/>
  <c r="AP348" i="4"/>
  <c r="AM348" i="4"/>
  <c r="AP347" i="4"/>
  <c r="AM347" i="4"/>
  <c r="AP346" i="4"/>
  <c r="AM346" i="4"/>
  <c r="AP345" i="4"/>
  <c r="AM345" i="4"/>
  <c r="AP344" i="4"/>
  <c r="AM344" i="4"/>
  <c r="AP343" i="4"/>
  <c r="AM343" i="4"/>
  <c r="AP342" i="4"/>
  <c r="AM342" i="4"/>
  <c r="AP341" i="4"/>
  <c r="AM341" i="4"/>
  <c r="AP340" i="4"/>
  <c r="AM340" i="4"/>
  <c r="AP339" i="4"/>
  <c r="AM339" i="4"/>
  <c r="AP338" i="4"/>
  <c r="AM338" i="4"/>
  <c r="AP337" i="4"/>
  <c r="AM337" i="4"/>
  <c r="AP336" i="4"/>
  <c r="AM336" i="4"/>
  <c r="AP335" i="4"/>
  <c r="AM335" i="4"/>
  <c r="AP334" i="4"/>
  <c r="AM334" i="4"/>
  <c r="AP333" i="4"/>
  <c r="AM333" i="4"/>
  <c r="AP332" i="4"/>
  <c r="AM332" i="4"/>
  <c r="AP331" i="4"/>
  <c r="AM331" i="4"/>
  <c r="AP330" i="4"/>
  <c r="AM330" i="4"/>
  <c r="AP329" i="4"/>
  <c r="AM329" i="4"/>
  <c r="AP328" i="4"/>
  <c r="AM328" i="4"/>
  <c r="AP327" i="4"/>
  <c r="AM327" i="4"/>
  <c r="AP326" i="4"/>
  <c r="AM326" i="4"/>
  <c r="AP325" i="4"/>
  <c r="AM325" i="4"/>
  <c r="AP324" i="4"/>
  <c r="AM324" i="4"/>
  <c r="AP323" i="4"/>
  <c r="AM323" i="4"/>
  <c r="AP322" i="4"/>
  <c r="AM322" i="4"/>
  <c r="AP321" i="4"/>
  <c r="AM321" i="4"/>
  <c r="AP320" i="4"/>
  <c r="AM320" i="4"/>
  <c r="AP319" i="4"/>
  <c r="AM319" i="4"/>
  <c r="AP318" i="4"/>
  <c r="AM318" i="4"/>
  <c r="AP317" i="4"/>
  <c r="AM317" i="4"/>
  <c r="AP316" i="4"/>
  <c r="AM316" i="4"/>
  <c r="AP315" i="4"/>
  <c r="AM315" i="4"/>
  <c r="AP314" i="4"/>
  <c r="AM314" i="4"/>
  <c r="AP313" i="4"/>
  <c r="AM313" i="4"/>
  <c r="AP312" i="4"/>
  <c r="AM312" i="4"/>
  <c r="AP311" i="4"/>
  <c r="AM311" i="4"/>
  <c r="AP310" i="4"/>
  <c r="AM310" i="4"/>
  <c r="AP309" i="4"/>
  <c r="AM309" i="4"/>
  <c r="AP308" i="4"/>
  <c r="AM308" i="4"/>
  <c r="AP307" i="4"/>
  <c r="AM307" i="4"/>
  <c r="AP306" i="4"/>
  <c r="AM306" i="4"/>
  <c r="AP305" i="4"/>
  <c r="AM305" i="4"/>
  <c r="AP304" i="4"/>
  <c r="AM304" i="4"/>
  <c r="AP303" i="4"/>
  <c r="AM303" i="4"/>
  <c r="AP302" i="4"/>
  <c r="AM302" i="4"/>
  <c r="AP301" i="4"/>
  <c r="AM301" i="4"/>
  <c r="AP300" i="4"/>
  <c r="AM300" i="4"/>
  <c r="AP299" i="4"/>
  <c r="AM299" i="4"/>
  <c r="AP298" i="4"/>
  <c r="AM298" i="4"/>
  <c r="AP297" i="4"/>
  <c r="AM297" i="4"/>
  <c r="AP296" i="4"/>
  <c r="AM296" i="4"/>
  <c r="AP295" i="4"/>
  <c r="AM295" i="4"/>
  <c r="AP294" i="4"/>
  <c r="AM294" i="4"/>
  <c r="AP293" i="4"/>
  <c r="AM293" i="4"/>
  <c r="AP292" i="4"/>
  <c r="AM292" i="4"/>
  <c r="AP291" i="4"/>
  <c r="AM291" i="4"/>
  <c r="AP290" i="4"/>
  <c r="AM290" i="4"/>
  <c r="AP289" i="4"/>
  <c r="AM289" i="4"/>
  <c r="AP288" i="4"/>
  <c r="AM288" i="4"/>
  <c r="AP287" i="4"/>
  <c r="AM287" i="4"/>
  <c r="AP286" i="4"/>
  <c r="AM286" i="4"/>
  <c r="AP285" i="4"/>
  <c r="AM285" i="4"/>
  <c r="AP284" i="4"/>
  <c r="AM284" i="4"/>
  <c r="AP283" i="4"/>
  <c r="AM283" i="4"/>
  <c r="AP282" i="4"/>
  <c r="AM282" i="4"/>
  <c r="AP281" i="4"/>
  <c r="AM281" i="4"/>
  <c r="AP280" i="4"/>
  <c r="AM280" i="4"/>
  <c r="AP279" i="4"/>
  <c r="AM279" i="4"/>
  <c r="AP278" i="4"/>
  <c r="AM278" i="4"/>
  <c r="AP277" i="4"/>
  <c r="AM277" i="4"/>
  <c r="AP276" i="4"/>
  <c r="AM276" i="4"/>
  <c r="AP275" i="4"/>
  <c r="AM275" i="4"/>
  <c r="AP274" i="4"/>
  <c r="AM274" i="4"/>
  <c r="AP273" i="4"/>
  <c r="AM273" i="4"/>
  <c r="AP272" i="4"/>
  <c r="AM272" i="4"/>
  <c r="AP271" i="4"/>
  <c r="AM271" i="4"/>
  <c r="AP270" i="4"/>
  <c r="AM270" i="4"/>
  <c r="AP269" i="4"/>
  <c r="AM269" i="4"/>
  <c r="AP268" i="4"/>
  <c r="AM268" i="4"/>
  <c r="AP267" i="4"/>
  <c r="AM267" i="4"/>
  <c r="AP266" i="4"/>
  <c r="AM266" i="4"/>
  <c r="AP265" i="4"/>
  <c r="AM265" i="4"/>
  <c r="AP264" i="4"/>
  <c r="AM264" i="4"/>
  <c r="AP263" i="4"/>
  <c r="AM263" i="4"/>
  <c r="AP262" i="4"/>
  <c r="AM262" i="4"/>
  <c r="AP261" i="4"/>
  <c r="AM261" i="4"/>
  <c r="AP260" i="4"/>
  <c r="AM260" i="4"/>
  <c r="AP259" i="4"/>
  <c r="AM259" i="4"/>
  <c r="AP258" i="4"/>
  <c r="AM258" i="4"/>
  <c r="AP257" i="4"/>
  <c r="AM257" i="4"/>
  <c r="AP256" i="4"/>
  <c r="AM256" i="4"/>
  <c r="AP255" i="4"/>
  <c r="AM255" i="4"/>
  <c r="AP254" i="4"/>
  <c r="AM254" i="4"/>
  <c r="AP253" i="4"/>
  <c r="AM253" i="4"/>
  <c r="AP252" i="4"/>
  <c r="AM252" i="4"/>
  <c r="AP251" i="4"/>
  <c r="AM251" i="4"/>
  <c r="AP250" i="4"/>
  <c r="AM250" i="4"/>
  <c r="AP249" i="4"/>
  <c r="AM249" i="4"/>
  <c r="AP248" i="4"/>
  <c r="AM248" i="4"/>
  <c r="AP247" i="4"/>
  <c r="AM247" i="4"/>
  <c r="AP246" i="4"/>
  <c r="AM246" i="4"/>
  <c r="AP245" i="4"/>
  <c r="AM245" i="4"/>
  <c r="AP244" i="4"/>
  <c r="AM244" i="4"/>
  <c r="AP243" i="4"/>
  <c r="AM243" i="4"/>
  <c r="AP242" i="4"/>
  <c r="AM242" i="4"/>
  <c r="AP241" i="4"/>
  <c r="AM241" i="4"/>
  <c r="AP240" i="4"/>
  <c r="AM240" i="4"/>
  <c r="AP239" i="4"/>
  <c r="AM239" i="4"/>
  <c r="AP238" i="4"/>
  <c r="AM238" i="4"/>
  <c r="AP237" i="4"/>
  <c r="AM237" i="4"/>
  <c r="AP236" i="4"/>
  <c r="AM236" i="4"/>
  <c r="AP235" i="4"/>
  <c r="AM235" i="4"/>
  <c r="AP234" i="4"/>
  <c r="AM234" i="4"/>
  <c r="AP233" i="4"/>
  <c r="AM233" i="4"/>
  <c r="AP232" i="4"/>
  <c r="AM232" i="4"/>
  <c r="AP231" i="4"/>
  <c r="AM231" i="4"/>
  <c r="AP230" i="4"/>
  <c r="AM230" i="4"/>
  <c r="AP229" i="4"/>
  <c r="AM229" i="4"/>
  <c r="AP228" i="4"/>
  <c r="AM228" i="4"/>
  <c r="AP227" i="4"/>
  <c r="AM227" i="4"/>
  <c r="AP226" i="4"/>
  <c r="AM226" i="4"/>
  <c r="AP225" i="4"/>
  <c r="AM225" i="4"/>
  <c r="AP224" i="4"/>
  <c r="AM224" i="4"/>
  <c r="AP223" i="4"/>
  <c r="AM223" i="4"/>
  <c r="AP222" i="4"/>
  <c r="AM222" i="4"/>
  <c r="AP221" i="4"/>
  <c r="AM221" i="4"/>
  <c r="AP220" i="4"/>
  <c r="AM220" i="4"/>
  <c r="AP219" i="4"/>
  <c r="AM219" i="4"/>
  <c r="AP218" i="4"/>
  <c r="AM218" i="4"/>
  <c r="AP217" i="4"/>
  <c r="AM217" i="4"/>
  <c r="AP216" i="4"/>
  <c r="AM216" i="4"/>
  <c r="AP215" i="4"/>
  <c r="AM215" i="4"/>
  <c r="AP214" i="4"/>
  <c r="AM214" i="4"/>
  <c r="AP213" i="4"/>
  <c r="AM213" i="4"/>
  <c r="AP212" i="4"/>
  <c r="AM212" i="4"/>
  <c r="AP211" i="4"/>
  <c r="AM211" i="4"/>
  <c r="AP210" i="4"/>
  <c r="AM210" i="4"/>
  <c r="AP209" i="4"/>
  <c r="AM209" i="4"/>
  <c r="AP208" i="4"/>
  <c r="AM208" i="4"/>
  <c r="AP207" i="4"/>
  <c r="AM207" i="4"/>
  <c r="AP206" i="4"/>
  <c r="AM206" i="4"/>
  <c r="AP205" i="4"/>
  <c r="AM205" i="4"/>
  <c r="AP204" i="4"/>
  <c r="AM204" i="4"/>
  <c r="AP203" i="4"/>
  <c r="AM203" i="4"/>
  <c r="AP202" i="4"/>
  <c r="AM202" i="4"/>
  <c r="AP201" i="4"/>
  <c r="AM201" i="4"/>
  <c r="AP200" i="4"/>
  <c r="AM200" i="4"/>
  <c r="AP199" i="4"/>
  <c r="AM199" i="4"/>
  <c r="AP198" i="4"/>
  <c r="AM198" i="4"/>
  <c r="AP197" i="4"/>
  <c r="AM197" i="4"/>
  <c r="AP196" i="4"/>
  <c r="AM196" i="4"/>
  <c r="AP195" i="4"/>
  <c r="AM195" i="4"/>
  <c r="AP194" i="4"/>
  <c r="AM194" i="4"/>
  <c r="AP193" i="4"/>
  <c r="AM193" i="4"/>
  <c r="AP192" i="4"/>
  <c r="AM192" i="4"/>
  <c r="AP191" i="4"/>
  <c r="AM191" i="4"/>
  <c r="AP190" i="4"/>
  <c r="AM190" i="4"/>
  <c r="AP189" i="4"/>
  <c r="AM189" i="4"/>
  <c r="AP188" i="4"/>
  <c r="AM188" i="4"/>
  <c r="AP187" i="4"/>
  <c r="AM187" i="4"/>
  <c r="AP186" i="4"/>
  <c r="AM186" i="4"/>
  <c r="AP185" i="4"/>
  <c r="AM185" i="4"/>
  <c r="AP184" i="4"/>
  <c r="AM184" i="4"/>
  <c r="AP183" i="4"/>
  <c r="AM183" i="4"/>
  <c r="AP182" i="4"/>
  <c r="AM182" i="4"/>
  <c r="AP181" i="4"/>
  <c r="AM181" i="4"/>
  <c r="AP180" i="4"/>
  <c r="AM180" i="4"/>
  <c r="AP179" i="4"/>
  <c r="AM179" i="4"/>
  <c r="AP178" i="4"/>
  <c r="AM178" i="4"/>
  <c r="AP177" i="4"/>
  <c r="AM177" i="4"/>
  <c r="AP176" i="4"/>
  <c r="AM176" i="4"/>
  <c r="AP175" i="4"/>
  <c r="AM175" i="4"/>
  <c r="AP174" i="4"/>
  <c r="AM174" i="4"/>
  <c r="AP173" i="4"/>
  <c r="AM173" i="4"/>
  <c r="AP172" i="4"/>
  <c r="AM172" i="4"/>
  <c r="AP171" i="4"/>
  <c r="AM171" i="4"/>
  <c r="AP170" i="4"/>
  <c r="AM170" i="4"/>
  <c r="AP169" i="4"/>
  <c r="AM169" i="4"/>
  <c r="AP168" i="4"/>
  <c r="AM168" i="4"/>
  <c r="AP167" i="4"/>
  <c r="AM167" i="4"/>
  <c r="AP166" i="4"/>
  <c r="AM166" i="4"/>
  <c r="AP165" i="4"/>
  <c r="AM165" i="4"/>
  <c r="AP164" i="4"/>
  <c r="AM164" i="4"/>
  <c r="AP163" i="4"/>
  <c r="AM163" i="4"/>
  <c r="AP162" i="4"/>
  <c r="AM162" i="4"/>
  <c r="AP161" i="4"/>
  <c r="AM161" i="4"/>
  <c r="AP160" i="4"/>
  <c r="AM160" i="4"/>
  <c r="AP159" i="4"/>
  <c r="AM159" i="4"/>
  <c r="AP158" i="4"/>
  <c r="AM158" i="4"/>
  <c r="AP157" i="4"/>
  <c r="AM157" i="4"/>
  <c r="AP156" i="4"/>
  <c r="AM156" i="4"/>
  <c r="AP155" i="4"/>
  <c r="AM155" i="4"/>
  <c r="AP154" i="4"/>
  <c r="AM154" i="4"/>
  <c r="AP153" i="4"/>
  <c r="AM153" i="4"/>
  <c r="AP152" i="4"/>
  <c r="AM152" i="4"/>
  <c r="AP151" i="4"/>
  <c r="AM151" i="4"/>
  <c r="AP150" i="4"/>
  <c r="AM150" i="4"/>
  <c r="AP149" i="4"/>
  <c r="AM149" i="4"/>
  <c r="AP148" i="4"/>
  <c r="AM148" i="4"/>
  <c r="AP147" i="4"/>
  <c r="AM147" i="4"/>
  <c r="AP146" i="4"/>
  <c r="AM146" i="4"/>
  <c r="AP145" i="4"/>
  <c r="AM145" i="4"/>
  <c r="AP144" i="4"/>
  <c r="AM144" i="4"/>
  <c r="AP143" i="4"/>
  <c r="AM143" i="4"/>
  <c r="AP142" i="4"/>
  <c r="AM142" i="4"/>
  <c r="AP141" i="4"/>
  <c r="AM141" i="4"/>
  <c r="AP140" i="4"/>
  <c r="AM140" i="4"/>
  <c r="AP139" i="4"/>
  <c r="AM139" i="4"/>
  <c r="AP138" i="4"/>
  <c r="AM138" i="4"/>
  <c r="AP137" i="4"/>
  <c r="AM137" i="4"/>
  <c r="AP136" i="4"/>
  <c r="AM136" i="4"/>
  <c r="AP135" i="4"/>
  <c r="AM135" i="4"/>
  <c r="AP134" i="4"/>
  <c r="AM134" i="4"/>
  <c r="AP133" i="4"/>
  <c r="AM133" i="4"/>
  <c r="AP132" i="4"/>
  <c r="AM132" i="4"/>
  <c r="AP131" i="4"/>
  <c r="AM131" i="4"/>
  <c r="AP130" i="4"/>
  <c r="AM130" i="4"/>
  <c r="AP129" i="4"/>
  <c r="AM129" i="4"/>
  <c r="AP128" i="4"/>
  <c r="AM128" i="4"/>
  <c r="AP127" i="4"/>
  <c r="AM127" i="4"/>
  <c r="AP126" i="4"/>
  <c r="AM126" i="4"/>
  <c r="AP125" i="4"/>
  <c r="AM125" i="4"/>
  <c r="AP124" i="4"/>
  <c r="AM124" i="4"/>
  <c r="AP123" i="4"/>
  <c r="AM123" i="4"/>
  <c r="AP122" i="4"/>
  <c r="AM122" i="4"/>
  <c r="AP121" i="4"/>
  <c r="AM121" i="4"/>
  <c r="AP120" i="4"/>
  <c r="AM120" i="4"/>
  <c r="AP119" i="4"/>
  <c r="AM119" i="4"/>
  <c r="AP118" i="4"/>
  <c r="AM118" i="4"/>
  <c r="AP117" i="4"/>
  <c r="AM117" i="4"/>
  <c r="AP116" i="4"/>
  <c r="AM116" i="4"/>
  <c r="AP115" i="4"/>
  <c r="AM115" i="4"/>
  <c r="AP114" i="4"/>
  <c r="AM114" i="4"/>
  <c r="AP113" i="4"/>
  <c r="AM113" i="4"/>
  <c r="AP112" i="4"/>
  <c r="AM112" i="4"/>
  <c r="AP111" i="4"/>
  <c r="AM111" i="4"/>
  <c r="AP110" i="4"/>
  <c r="AM110" i="4"/>
  <c r="AP109" i="4"/>
  <c r="AM109" i="4"/>
  <c r="AP108" i="4"/>
  <c r="AM108" i="4"/>
  <c r="AP107" i="4"/>
  <c r="AM107" i="4"/>
  <c r="AP106" i="4"/>
  <c r="AM106" i="4"/>
  <c r="AP105" i="4"/>
  <c r="AM105" i="4"/>
  <c r="AP104" i="4"/>
  <c r="AM104" i="4"/>
  <c r="AP103" i="4"/>
  <c r="AM103" i="4"/>
  <c r="AP102" i="4"/>
  <c r="AM102" i="4"/>
  <c r="AP101" i="4"/>
  <c r="AM101" i="4"/>
  <c r="AP100" i="4"/>
  <c r="AM100" i="4"/>
  <c r="AP99" i="4"/>
  <c r="AM99" i="4"/>
  <c r="AP98" i="4"/>
  <c r="AM98" i="4"/>
  <c r="AP97" i="4"/>
  <c r="AM97" i="4"/>
  <c r="AP96" i="4"/>
  <c r="AM96" i="4"/>
  <c r="AP95" i="4"/>
  <c r="AM95" i="4"/>
  <c r="AP94" i="4"/>
  <c r="AM94" i="4"/>
  <c r="AP93" i="4"/>
  <c r="AM93" i="4"/>
  <c r="AP92" i="4"/>
  <c r="AM92" i="4"/>
  <c r="AP91" i="4"/>
  <c r="AM91" i="4"/>
  <c r="AP90" i="4"/>
  <c r="AM90" i="4"/>
  <c r="AP89" i="4"/>
  <c r="AM89" i="4"/>
  <c r="AP88" i="4"/>
  <c r="AM88" i="4"/>
  <c r="AP87" i="4"/>
  <c r="AM87" i="4"/>
  <c r="AP86" i="4"/>
  <c r="AM86" i="4"/>
  <c r="AP85" i="4"/>
  <c r="AM85" i="4"/>
  <c r="AP84" i="4"/>
  <c r="AM84" i="4"/>
  <c r="AP83" i="4"/>
  <c r="AM83" i="4"/>
  <c r="AP82" i="4"/>
  <c r="AM82" i="4"/>
  <c r="AP81" i="4"/>
  <c r="AM81" i="4"/>
  <c r="AP80" i="4"/>
  <c r="AM80" i="4"/>
  <c r="AP79" i="4"/>
  <c r="AM79" i="4"/>
  <c r="AP78" i="4"/>
  <c r="AM78" i="4"/>
  <c r="AP77" i="4"/>
  <c r="AM77" i="4"/>
  <c r="AP76" i="4"/>
  <c r="AM76" i="4"/>
  <c r="AP75" i="4"/>
  <c r="AM75" i="4"/>
  <c r="AP74" i="4"/>
  <c r="AM74" i="4"/>
  <c r="AP73" i="4"/>
  <c r="AM73" i="4"/>
  <c r="AP72" i="4"/>
  <c r="AM72" i="4"/>
  <c r="AP71" i="4"/>
  <c r="AM71" i="4"/>
  <c r="AP70" i="4"/>
  <c r="AM70" i="4"/>
  <c r="AP69" i="4"/>
  <c r="AM69" i="4"/>
  <c r="AP68" i="4"/>
  <c r="AM68" i="4"/>
  <c r="AP67" i="4"/>
  <c r="AM67" i="4"/>
  <c r="AP66" i="4"/>
  <c r="AM66" i="4"/>
  <c r="AP65" i="4"/>
  <c r="AM65" i="4"/>
  <c r="AP64" i="4"/>
  <c r="AM64" i="4"/>
  <c r="AP63" i="4"/>
  <c r="AM63" i="4"/>
  <c r="AP62" i="4"/>
  <c r="AM62" i="4"/>
  <c r="AP61" i="4"/>
  <c r="AM61" i="4"/>
  <c r="AP60" i="4"/>
  <c r="AM60" i="4"/>
  <c r="AP59" i="4"/>
  <c r="AM59" i="4"/>
  <c r="AP58" i="4"/>
  <c r="AM58" i="4"/>
  <c r="AP57" i="4"/>
  <c r="AM57" i="4"/>
  <c r="AP56" i="4"/>
  <c r="AM56" i="4"/>
  <c r="AP55" i="4"/>
  <c r="AM55" i="4"/>
  <c r="AP54" i="4"/>
  <c r="AM54" i="4"/>
  <c r="AP53" i="4"/>
  <c r="AM53" i="4"/>
  <c r="AP52" i="4"/>
  <c r="AM52" i="4"/>
  <c r="AP51" i="4"/>
  <c r="AM51" i="4"/>
  <c r="AP50" i="4"/>
  <c r="AM50" i="4"/>
  <c r="AP49" i="4"/>
  <c r="AM49" i="4"/>
  <c r="AP48" i="4"/>
  <c r="AM48" i="4"/>
  <c r="AP47" i="4"/>
  <c r="AM47" i="4"/>
  <c r="AP46" i="4"/>
  <c r="AM46" i="4"/>
  <c r="AP45" i="4"/>
  <c r="AM45" i="4"/>
  <c r="AP44" i="4"/>
  <c r="AM44" i="4"/>
  <c r="AP43" i="4"/>
  <c r="AM43" i="4"/>
  <c r="AP42" i="4"/>
  <c r="AM42" i="4"/>
  <c r="AP41" i="4"/>
  <c r="AM41" i="4"/>
  <c r="AP40" i="4"/>
  <c r="AM40" i="4"/>
  <c r="AP39" i="4"/>
  <c r="AM39" i="4"/>
  <c r="AP38" i="4"/>
  <c r="AM38" i="4"/>
  <c r="AP37" i="4"/>
  <c r="AM37" i="4"/>
  <c r="AP36" i="4"/>
  <c r="AM36" i="4"/>
  <c r="AP35" i="4"/>
  <c r="AM35" i="4"/>
  <c r="AP34" i="4"/>
  <c r="AM34" i="4"/>
  <c r="AP33" i="4"/>
  <c r="AM33" i="4"/>
  <c r="AP32" i="4"/>
  <c r="AM32" i="4"/>
  <c r="AP31" i="4"/>
  <c r="AM31" i="4"/>
  <c r="AP30" i="4"/>
  <c r="AM30" i="4"/>
  <c r="AP29" i="4"/>
  <c r="AM29" i="4"/>
  <c r="AP28" i="4"/>
  <c r="AM28" i="4"/>
  <c r="AP27" i="4"/>
  <c r="AM27" i="4"/>
  <c r="AP26" i="4"/>
  <c r="AM26" i="4"/>
  <c r="AP25" i="4"/>
  <c r="AM25" i="4"/>
  <c r="AP24" i="4"/>
  <c r="AM24" i="4"/>
  <c r="AP23" i="4"/>
  <c r="AM23" i="4"/>
  <c r="AP22" i="4"/>
  <c r="AM22" i="4"/>
  <c r="AP21" i="4"/>
  <c r="AM21" i="4"/>
  <c r="AP20" i="4"/>
  <c r="AM20" i="4"/>
  <c r="AP19" i="4"/>
  <c r="AM19" i="4"/>
  <c r="AP18" i="4"/>
  <c r="AM18" i="4"/>
  <c r="AP17" i="4"/>
  <c r="AM17" i="4"/>
  <c r="AP16" i="4"/>
  <c r="AM16" i="4"/>
  <c r="AP15" i="4"/>
  <c r="AM15" i="4"/>
  <c r="AP14" i="4"/>
  <c r="AM14" i="4"/>
  <c r="AP13" i="4"/>
  <c r="AM13" i="4"/>
  <c r="AP12" i="4"/>
  <c r="AM12" i="4"/>
  <c r="AP11" i="4"/>
  <c r="AM11" i="4"/>
  <c r="AP10" i="4"/>
  <c r="AM10" i="4"/>
  <c r="AP9" i="4"/>
  <c r="AM9" i="4"/>
  <c r="AP8" i="4"/>
  <c r="AM8" i="4"/>
  <c r="AP7" i="4"/>
  <c r="AM7" i="4"/>
  <c r="AP6" i="4"/>
  <c r="AM6" i="4"/>
  <c r="AP5" i="4"/>
  <c r="AM5" i="4"/>
  <c r="AP4" i="4"/>
  <c r="AM4" i="4"/>
  <c r="AP3" i="4"/>
  <c r="AM3" i="4"/>
  <c r="AP2" i="4"/>
  <c r="AM2" i="4"/>
  <c r="AM42" i="3"/>
  <c r="AO42" i="3" s="1"/>
  <c r="AM41" i="3"/>
  <c r="AO41" i="3" s="1"/>
  <c r="AM40" i="3"/>
  <c r="AO40" i="3" s="1"/>
  <c r="AM39" i="3"/>
  <c r="AO39" i="3" s="1"/>
  <c r="AM38" i="3"/>
  <c r="AO38" i="3" s="1"/>
  <c r="AM37" i="3"/>
  <c r="AO37" i="3" s="1"/>
  <c r="AM36" i="3"/>
  <c r="AO36" i="3" s="1"/>
  <c r="AM35" i="3"/>
  <c r="AO35" i="3" s="1"/>
  <c r="AO48" i="3"/>
  <c r="AO47" i="3"/>
  <c r="AO46" i="3"/>
  <c r="AO45" i="3"/>
  <c r="AO44" i="3"/>
  <c r="AO43" i="3"/>
  <c r="AO34" i="3"/>
  <c r="AM34" i="3"/>
  <c r="AO33" i="3"/>
  <c r="AM33" i="3"/>
  <c r="AO32" i="3"/>
  <c r="AM32" i="3"/>
  <c r="AO31" i="3"/>
  <c r="AM31" i="3"/>
  <c r="AO30" i="3"/>
  <c r="AM30" i="3"/>
  <c r="AO29" i="3"/>
  <c r="AM29" i="3"/>
  <c r="AO28" i="3"/>
  <c r="AM28" i="3"/>
  <c r="AL478" i="1"/>
  <c r="AL477" i="1"/>
  <c r="AL476" i="1"/>
  <c r="AL475" i="1"/>
  <c r="AL474" i="1"/>
  <c r="AL473" i="1"/>
  <c r="AL472" i="1"/>
  <c r="AL212" i="1"/>
  <c r="AL211" i="1"/>
  <c r="AL210" i="1"/>
  <c r="AL209" i="1"/>
  <c r="AL208" i="1"/>
  <c r="AL207" i="1"/>
  <c r="AL206" i="1"/>
  <c r="AL205" i="1"/>
  <c r="AL172" i="1"/>
  <c r="AL171" i="1"/>
  <c r="AL170" i="1"/>
  <c r="AL169" i="1"/>
  <c r="AL168" i="1"/>
  <c r="AL167" i="1"/>
  <c r="AL166" i="1"/>
  <c r="AL165" i="1"/>
  <c r="AJ626" i="1"/>
  <c r="AL626" i="1" s="1"/>
  <c r="AJ625" i="1"/>
  <c r="AL625" i="1" s="1"/>
  <c r="AJ624" i="1"/>
  <c r="AL624" i="1" s="1"/>
  <c r="AJ623" i="1"/>
  <c r="AL623" i="1" s="1"/>
  <c r="AJ622" i="1"/>
  <c r="AL622" i="1" s="1"/>
  <c r="AJ621" i="1"/>
  <c r="AL621" i="1" s="1"/>
  <c r="AJ620" i="1"/>
  <c r="AL620" i="1" s="1"/>
  <c r="AJ619" i="1"/>
  <c r="AL619" i="1" s="1"/>
  <c r="AJ618" i="1"/>
  <c r="AL618" i="1" s="1"/>
  <c r="AJ617" i="1"/>
  <c r="AL617" i="1" s="1"/>
  <c r="AJ616" i="1"/>
  <c r="AL616" i="1" s="1"/>
  <c r="AJ615" i="1"/>
  <c r="AL615" i="1" s="1"/>
  <c r="AJ614" i="1"/>
  <c r="AL614" i="1" s="1"/>
  <c r="AJ613" i="1"/>
  <c r="AL613" i="1" s="1"/>
  <c r="AJ640" i="1"/>
  <c r="AL640" i="1" s="1"/>
  <c r="AJ639" i="1"/>
  <c r="AL639" i="1" s="1"/>
  <c r="AJ638" i="1"/>
  <c r="AL638" i="1" s="1"/>
  <c r="AJ637" i="1"/>
  <c r="AL637" i="1" s="1"/>
  <c r="AJ636" i="1"/>
  <c r="AL636" i="1" s="1"/>
  <c r="AJ635" i="1"/>
  <c r="AL635" i="1" s="1"/>
  <c r="AJ634" i="1"/>
  <c r="AL634" i="1" s="1"/>
  <c r="AJ633" i="1"/>
  <c r="AL633" i="1" s="1"/>
  <c r="AJ632" i="1"/>
  <c r="AL632" i="1" s="1"/>
  <c r="AJ631" i="1"/>
  <c r="AL631" i="1" s="1"/>
  <c r="AJ630" i="1"/>
  <c r="AL630" i="1" s="1"/>
  <c r="AJ629" i="1"/>
  <c r="AL629" i="1" s="1"/>
  <c r="AJ628" i="1"/>
  <c r="AL628" i="1" s="1"/>
  <c r="AJ627" i="1"/>
  <c r="AL627" i="1" s="1"/>
  <c r="AJ612" i="1"/>
  <c r="AL612" i="1" s="1"/>
  <c r="AJ611" i="1"/>
  <c r="AL611" i="1" s="1"/>
  <c r="AJ610" i="1"/>
  <c r="AL610" i="1" s="1"/>
  <c r="AJ609" i="1"/>
  <c r="AL609" i="1" s="1"/>
  <c r="AJ608" i="1"/>
  <c r="AL608" i="1" s="1"/>
  <c r="AJ607" i="1"/>
  <c r="AL607" i="1" s="1"/>
  <c r="AJ606" i="1"/>
  <c r="AL606" i="1" s="1"/>
  <c r="AJ605" i="1"/>
  <c r="AL605" i="1" s="1"/>
  <c r="AJ604" i="1"/>
  <c r="AL604" i="1" s="1"/>
  <c r="AJ603" i="1"/>
  <c r="AL603" i="1" s="1"/>
  <c r="AJ602" i="1"/>
  <c r="AL602" i="1" s="1"/>
  <c r="AJ601" i="1"/>
  <c r="AL601" i="1" s="1"/>
  <c r="AJ600" i="1"/>
  <c r="AL600" i="1" s="1"/>
  <c r="AJ599" i="1"/>
  <c r="AL599" i="1" s="1"/>
  <c r="AJ598" i="1"/>
  <c r="AL598" i="1" s="1"/>
  <c r="AJ597" i="1"/>
  <c r="AL597" i="1" s="1"/>
  <c r="AJ596" i="1"/>
  <c r="AL596" i="1" s="1"/>
  <c r="AJ595" i="1"/>
  <c r="AL595" i="1" s="1"/>
  <c r="AJ594" i="1"/>
  <c r="AL594" i="1" s="1"/>
  <c r="AJ593" i="1"/>
  <c r="AL593" i="1" s="1"/>
  <c r="AJ592" i="1"/>
  <c r="AL592" i="1" s="1"/>
  <c r="AJ591" i="1"/>
  <c r="AL591" i="1" s="1"/>
  <c r="AJ590" i="1"/>
  <c r="AL590" i="1" s="1"/>
  <c r="AJ589" i="1"/>
  <c r="AL589" i="1" s="1"/>
  <c r="AJ588" i="1"/>
  <c r="AL588" i="1" s="1"/>
  <c r="AJ587" i="1"/>
  <c r="AL587" i="1" s="1"/>
  <c r="AJ586" i="1"/>
  <c r="AL586" i="1" s="1"/>
  <c r="AJ585" i="1"/>
  <c r="AL585" i="1" s="1"/>
  <c r="AJ556" i="1"/>
  <c r="AL556" i="1" s="1"/>
  <c r="AJ555" i="1"/>
  <c r="AL555" i="1" s="1"/>
  <c r="AJ554" i="1"/>
  <c r="AL554" i="1" s="1"/>
  <c r="AJ553" i="1"/>
  <c r="AL553" i="1" s="1"/>
  <c r="AJ552" i="1"/>
  <c r="AL552" i="1" s="1"/>
  <c r="AJ551" i="1"/>
  <c r="AL551" i="1" s="1"/>
  <c r="AJ550" i="1"/>
  <c r="AL550" i="1" s="1"/>
  <c r="AJ549" i="1"/>
  <c r="AL549" i="1" s="1"/>
  <c r="AJ548" i="1"/>
  <c r="AL548" i="1" s="1"/>
  <c r="AJ547" i="1"/>
  <c r="AL547" i="1" s="1"/>
  <c r="AJ546" i="1"/>
  <c r="AL546" i="1" s="1"/>
  <c r="AJ545" i="1"/>
  <c r="AL545" i="1" s="1"/>
  <c r="AJ544" i="1"/>
  <c r="AL544" i="1" s="1"/>
  <c r="AJ543" i="1"/>
  <c r="AL543" i="1" s="1"/>
  <c r="AJ570" i="1"/>
  <c r="AL570" i="1" s="1"/>
  <c r="AJ569" i="1"/>
  <c r="AL569" i="1" s="1"/>
  <c r="AJ568" i="1"/>
  <c r="AL568" i="1" s="1"/>
  <c r="AJ567" i="1"/>
  <c r="AL567" i="1" s="1"/>
  <c r="AJ566" i="1"/>
  <c r="AL566" i="1" s="1"/>
  <c r="AJ565" i="1"/>
  <c r="AL565" i="1" s="1"/>
  <c r="AJ564" i="1"/>
  <c r="AL564" i="1" s="1"/>
  <c r="AJ563" i="1"/>
  <c r="AL563" i="1" s="1"/>
  <c r="AJ562" i="1"/>
  <c r="AL562" i="1" s="1"/>
  <c r="AJ561" i="1"/>
  <c r="AL561" i="1" s="1"/>
  <c r="AJ560" i="1"/>
  <c r="AL560" i="1" s="1"/>
  <c r="AJ559" i="1"/>
  <c r="AL559" i="1" s="1"/>
  <c r="AJ558" i="1"/>
  <c r="AL558" i="1" s="1"/>
  <c r="AJ557" i="1"/>
  <c r="AL557" i="1" s="1"/>
  <c r="AJ584" i="1"/>
  <c r="AL584" i="1" s="1"/>
  <c r="AJ583" i="1"/>
  <c r="AL583" i="1" s="1"/>
  <c r="AJ582" i="1"/>
  <c r="AL582" i="1" s="1"/>
  <c r="AJ581" i="1"/>
  <c r="AL581" i="1" s="1"/>
  <c r="AJ580" i="1"/>
  <c r="AL580" i="1" s="1"/>
  <c r="AJ579" i="1"/>
  <c r="AL579" i="1" s="1"/>
  <c r="AJ578" i="1"/>
  <c r="AL578" i="1" s="1"/>
  <c r="AJ577" i="1"/>
  <c r="AL577" i="1" s="1"/>
  <c r="AJ576" i="1"/>
  <c r="AL576" i="1" s="1"/>
  <c r="AJ575" i="1"/>
  <c r="AL575" i="1" s="1"/>
  <c r="AJ574" i="1"/>
  <c r="AL574" i="1" s="1"/>
  <c r="AJ573" i="1"/>
  <c r="AL573" i="1" s="1"/>
  <c r="AJ572" i="1"/>
  <c r="AL572" i="1" s="1"/>
  <c r="AJ571" i="1"/>
  <c r="AL571" i="1" s="1"/>
  <c r="AJ273" i="1"/>
  <c r="AL273" i="1" s="1"/>
  <c r="AJ272" i="1"/>
  <c r="AL272" i="1" s="1"/>
  <c r="AJ271" i="1"/>
  <c r="AL271" i="1" s="1"/>
  <c r="AJ270" i="1"/>
  <c r="AL270" i="1" s="1"/>
  <c r="AJ269" i="1"/>
  <c r="AL269" i="1" s="1"/>
  <c r="AJ263" i="1"/>
  <c r="AL263" i="1" s="1"/>
  <c r="AJ262" i="1"/>
  <c r="AL262" i="1" s="1"/>
  <c r="AJ261" i="1"/>
  <c r="AL261" i="1" s="1"/>
  <c r="AJ260" i="1"/>
  <c r="AL260" i="1" s="1"/>
  <c r="AJ259" i="1"/>
  <c r="AL259" i="1" s="1"/>
  <c r="AJ258" i="1"/>
  <c r="AL258" i="1" s="1"/>
  <c r="AJ257" i="1"/>
  <c r="AL257" i="1" s="1"/>
  <c r="AJ256" i="1"/>
  <c r="AL256" i="1" s="1"/>
  <c r="AJ255" i="1"/>
  <c r="AL255" i="1" s="1"/>
  <c r="AJ254" i="1"/>
  <c r="AL254" i="1" s="1"/>
  <c r="AJ268" i="1"/>
  <c r="AL268" i="1" s="1"/>
  <c r="AJ267" i="1"/>
  <c r="AL267" i="1" s="1"/>
  <c r="AJ266" i="1"/>
  <c r="AL266" i="1" s="1"/>
  <c r="AJ265" i="1"/>
  <c r="AL265" i="1" s="1"/>
  <c r="AJ264" i="1"/>
  <c r="AL264" i="1" s="1"/>
  <c r="AJ253" i="1"/>
  <c r="AL253" i="1" s="1"/>
  <c r="AJ252" i="1"/>
  <c r="AL252" i="1" s="1"/>
  <c r="AJ251" i="1"/>
  <c r="AL251" i="1" s="1"/>
  <c r="AJ250" i="1"/>
  <c r="AL250" i="1" s="1"/>
  <c r="AJ249" i="1"/>
  <c r="AL249" i="1" s="1"/>
  <c r="AJ248" i="1"/>
  <c r="AL248" i="1" s="1"/>
  <c r="AJ247" i="1"/>
  <c r="AL247" i="1" s="1"/>
  <c r="AJ246" i="1"/>
  <c r="AL246" i="1" s="1"/>
  <c r="AJ245" i="1"/>
  <c r="AL245" i="1" s="1"/>
  <c r="AJ244" i="1"/>
  <c r="AL244" i="1" s="1"/>
  <c r="AL312" i="1"/>
  <c r="AL313" i="1"/>
  <c r="AL310" i="1"/>
  <c r="AL314" i="1"/>
  <c r="AL311" i="1"/>
  <c r="AL316" i="1"/>
  <c r="AL315" i="1"/>
  <c r="AJ517" i="1"/>
  <c r="AL517" i="1" s="1"/>
  <c r="AJ504" i="1"/>
  <c r="AL504" i="1" s="1"/>
  <c r="AJ503" i="1"/>
  <c r="AL503" i="1" s="1"/>
  <c r="AJ516" i="1"/>
  <c r="AL516" i="1" s="1"/>
  <c r="AJ502" i="1"/>
  <c r="AL502" i="1" s="1"/>
  <c r="AJ501" i="1"/>
  <c r="AL501" i="1" s="1"/>
  <c r="AJ515" i="1"/>
  <c r="AL515" i="1" s="1"/>
  <c r="AJ500" i="1"/>
  <c r="AL500" i="1" s="1"/>
  <c r="AJ499" i="1"/>
  <c r="AL499" i="1" s="1"/>
  <c r="AJ514" i="1"/>
  <c r="AL514" i="1" s="1"/>
  <c r="AJ498" i="1"/>
  <c r="AL498" i="1" s="1"/>
  <c r="AJ497" i="1"/>
  <c r="AL497" i="1" s="1"/>
  <c r="AJ513" i="1"/>
  <c r="AL513" i="1" s="1"/>
  <c r="AJ496" i="1"/>
  <c r="AL496" i="1" s="1"/>
  <c r="AJ495" i="1"/>
  <c r="AL495" i="1" s="1"/>
  <c r="AJ512" i="1"/>
  <c r="AL512" i="1" s="1"/>
  <c r="AJ494" i="1"/>
  <c r="AL494" i="1" s="1"/>
  <c r="AJ493" i="1"/>
  <c r="AL493" i="1" s="1"/>
  <c r="AJ511" i="1"/>
  <c r="AL511" i="1" s="1"/>
  <c r="AJ492" i="1"/>
  <c r="AL492" i="1" s="1"/>
  <c r="AJ491" i="1"/>
  <c r="AL491" i="1" s="1"/>
  <c r="AJ510" i="1"/>
  <c r="AL510" i="1" s="1"/>
  <c r="AJ490" i="1"/>
  <c r="AL490" i="1" s="1"/>
  <c r="AJ489" i="1"/>
  <c r="AL489" i="1" s="1"/>
  <c r="AJ509" i="1"/>
  <c r="AL509" i="1" s="1"/>
  <c r="AJ488" i="1"/>
  <c r="AL488" i="1" s="1"/>
  <c r="AJ487" i="1"/>
  <c r="AL487" i="1" s="1"/>
  <c r="AJ508" i="1"/>
  <c r="AL508" i="1" s="1"/>
  <c r="AJ486" i="1"/>
  <c r="AL486" i="1" s="1"/>
  <c r="AJ485" i="1"/>
  <c r="AL485" i="1" s="1"/>
  <c r="AJ507" i="1"/>
  <c r="AL507" i="1" s="1"/>
  <c r="AJ484" i="1"/>
  <c r="AL484" i="1" s="1"/>
  <c r="AJ483" i="1"/>
  <c r="AL483" i="1" s="1"/>
  <c r="AJ506" i="1"/>
  <c r="AL506" i="1" s="1"/>
  <c r="AJ482" i="1"/>
  <c r="AL482" i="1" s="1"/>
  <c r="AJ481" i="1"/>
  <c r="AL481" i="1" s="1"/>
  <c r="AJ505" i="1"/>
  <c r="AL505" i="1" s="1"/>
  <c r="AJ480" i="1"/>
  <c r="AL480" i="1" s="1"/>
  <c r="AJ479" i="1"/>
  <c r="AL479" i="1" s="1"/>
  <c r="AL307" i="1"/>
  <c r="AL306" i="1"/>
  <c r="AL304" i="1"/>
  <c r="AL303" i="1"/>
  <c r="AL309" i="1"/>
  <c r="AL308" i="1"/>
  <c r="AL305" i="1"/>
  <c r="AJ413" i="1"/>
  <c r="AL413" i="1" s="1"/>
  <c r="AJ414" i="1"/>
  <c r="AL204" i="1"/>
  <c r="AL203" i="1"/>
  <c r="AL202" i="1"/>
  <c r="AL201" i="1"/>
  <c r="AL200" i="1"/>
  <c r="AL199" i="1"/>
  <c r="AL198" i="1"/>
  <c r="AL197" i="1"/>
  <c r="AL196" i="1"/>
  <c r="AL195" i="1"/>
  <c r="AL194" i="1"/>
  <c r="AL193" i="1"/>
  <c r="AL192" i="1"/>
  <c r="AL191" i="1"/>
  <c r="AJ142" i="1"/>
  <c r="AL142" i="1" s="1"/>
  <c r="AJ141" i="1"/>
  <c r="AL141" i="1" s="1"/>
  <c r="AJ140" i="1"/>
  <c r="AL140" i="1" s="1"/>
  <c r="AJ139" i="1"/>
  <c r="AL139" i="1" s="1"/>
  <c r="AJ138" i="1"/>
  <c r="AL138" i="1" s="1"/>
  <c r="AL288" i="1"/>
  <c r="AL287" i="1"/>
  <c r="AL286" i="1"/>
  <c r="AL285" i="1"/>
  <c r="AL284" i="1"/>
  <c r="AL283" i="1"/>
  <c r="AL282" i="1"/>
  <c r="AL281" i="1"/>
  <c r="AL280" i="1"/>
  <c r="AL279" i="1"/>
  <c r="AL278" i="1"/>
  <c r="AL277" i="1"/>
  <c r="AL276" i="1"/>
  <c r="AL298" i="1"/>
  <c r="AL297" i="1"/>
  <c r="AL296" i="1"/>
  <c r="AL295" i="1"/>
  <c r="AL294" i="1"/>
  <c r="AL293" i="1"/>
  <c r="AL292" i="1"/>
  <c r="AL291" i="1"/>
  <c r="AL290" i="1"/>
  <c r="AL289" i="1"/>
  <c r="AL352" i="1"/>
  <c r="AL351" i="1"/>
  <c r="AL350" i="1"/>
  <c r="AL349" i="1"/>
  <c r="AL348" i="1"/>
  <c r="AL341" i="1"/>
  <c r="AL340" i="1"/>
  <c r="AL339" i="1"/>
  <c r="AL338" i="1"/>
  <c r="AL347" i="1"/>
  <c r="AL346" i="1"/>
  <c r="AL345" i="1"/>
  <c r="AL344" i="1"/>
  <c r="AL343" i="1"/>
  <c r="AL389" i="1"/>
  <c r="AL388" i="1"/>
  <c r="AL387" i="1"/>
  <c r="AL386" i="1"/>
  <c r="AL385" i="1"/>
  <c r="AL384" i="1"/>
  <c r="AL383" i="1"/>
  <c r="AL397" i="1"/>
  <c r="AL396" i="1"/>
  <c r="AL395" i="1"/>
  <c r="AL394" i="1"/>
  <c r="AL393" i="1"/>
  <c r="AL392" i="1"/>
  <c r="AL391" i="1"/>
  <c r="AL390" i="1"/>
  <c r="AL104" i="1"/>
  <c r="AL103" i="1"/>
  <c r="AL102" i="1"/>
  <c r="AL101" i="1"/>
  <c r="AL96" i="1"/>
  <c r="AL95" i="1"/>
  <c r="AL94" i="1"/>
  <c r="AL93" i="1"/>
  <c r="AL100" i="1"/>
  <c r="AL99" i="1"/>
  <c r="AL98" i="1"/>
  <c r="AL97" i="1"/>
  <c r="AL108" i="1"/>
  <c r="AL107" i="1"/>
  <c r="AL106" i="1"/>
  <c r="AL105" i="1"/>
  <c r="AL177" i="1"/>
  <c r="AL176" i="1"/>
  <c r="AL175" i="1"/>
  <c r="AL174" i="1"/>
  <c r="AL173" i="1"/>
  <c r="AL358" i="1"/>
  <c r="AL357" i="1"/>
  <c r="AL356" i="1"/>
  <c r="AL355" i="1"/>
  <c r="AL354" i="1"/>
  <c r="AL353" i="1"/>
  <c r="AL364" i="1"/>
  <c r="AL363" i="1"/>
  <c r="AL362" i="1"/>
  <c r="AL361" i="1"/>
  <c r="AL360" i="1"/>
  <c r="AL359" i="1"/>
  <c r="AL370" i="1"/>
  <c r="AL369" i="1"/>
  <c r="AL368" i="1"/>
  <c r="AL367" i="1"/>
  <c r="AL366" i="1"/>
  <c r="AL365" i="1"/>
  <c r="AL44" i="1"/>
  <c r="AL43" i="1"/>
  <c r="AL42" i="1"/>
  <c r="AL41" i="1"/>
  <c r="AL36" i="1"/>
  <c r="AL35" i="1"/>
  <c r="AL34" i="1"/>
  <c r="AL33" i="1"/>
  <c r="AL40" i="1"/>
  <c r="AL39" i="1"/>
  <c r="AL38" i="1"/>
  <c r="AL37" i="1"/>
  <c r="AL241" i="1"/>
  <c r="AL242" i="1"/>
  <c r="AL243" i="1"/>
  <c r="AJ239" i="1"/>
  <c r="AJ240" i="1"/>
  <c r="AL240" i="1" s="1"/>
  <c r="AJ411" i="1"/>
  <c r="AL411" i="1" s="1"/>
  <c r="AJ410" i="1"/>
  <c r="AL410" i="1" s="1"/>
  <c r="AJ412" i="1"/>
  <c r="AL412" i="1" s="1"/>
  <c r="AL382" i="1"/>
  <c r="AL381" i="1"/>
  <c r="AL380" i="1"/>
  <c r="AL379" i="1"/>
  <c r="AL374" i="1"/>
  <c r="AL373" i="1"/>
  <c r="AL372" i="1"/>
  <c r="AL371" i="1"/>
  <c r="AL378" i="1"/>
  <c r="AL377" i="1"/>
  <c r="AL376" i="1"/>
  <c r="AL375" i="1"/>
  <c r="AL164" i="1"/>
  <c r="AL163" i="1"/>
  <c r="AL162" i="1"/>
  <c r="AL161" i="1"/>
  <c r="AL160" i="1"/>
  <c r="AL159" i="1"/>
  <c r="AL158" i="1"/>
  <c r="AL157" i="1"/>
  <c r="AL321" i="1"/>
  <c r="AL300" i="1"/>
  <c r="AL318" i="1"/>
  <c r="AL236" i="1"/>
  <c r="AL224" i="1"/>
  <c r="AL220" i="1"/>
  <c r="AL299" i="1"/>
  <c r="AL317" i="1"/>
  <c r="AL235" i="1"/>
  <c r="AL223" i="1"/>
  <c r="AL219" i="1"/>
  <c r="AL322" i="1"/>
  <c r="AL302" i="1"/>
  <c r="AL320" i="1"/>
  <c r="AL238" i="1"/>
  <c r="AL225" i="1"/>
  <c r="AL222" i="1"/>
  <c r="AL301" i="1"/>
  <c r="AL319" i="1"/>
  <c r="AL237" i="1"/>
  <c r="AL221" i="1"/>
  <c r="AL190" i="1"/>
  <c r="AL189" i="1"/>
  <c r="AL188" i="1"/>
  <c r="AL187" i="1"/>
  <c r="AL186" i="1"/>
  <c r="AL185" i="1"/>
  <c r="AL184" i="1"/>
  <c r="AL183" i="1"/>
  <c r="AL182" i="1"/>
  <c r="AL114" i="1"/>
  <c r="AL113" i="1"/>
  <c r="AL112" i="1"/>
  <c r="AL111" i="1"/>
  <c r="AL110" i="1"/>
  <c r="AL109" i="1"/>
  <c r="AL120" i="1"/>
  <c r="AL119" i="1"/>
  <c r="AL118" i="1"/>
  <c r="AL117" i="1"/>
  <c r="AL116" i="1"/>
  <c r="AL115" i="1"/>
  <c r="AL124" i="1"/>
  <c r="AL123" i="1"/>
  <c r="AL122" i="1"/>
  <c r="AL121" i="1"/>
  <c r="AL73" i="1"/>
  <c r="AL72" i="1"/>
  <c r="AL71" i="1"/>
  <c r="AL70" i="1"/>
  <c r="AL69" i="1"/>
  <c r="AL68" i="1"/>
  <c r="AL67" i="1"/>
  <c r="AL66" i="1"/>
  <c r="AL65" i="1"/>
  <c r="AL64" i="1"/>
  <c r="AL63" i="1"/>
  <c r="AL62" i="1"/>
  <c r="AL61" i="1"/>
  <c r="AL60" i="1"/>
  <c r="AL59" i="1"/>
  <c r="AL58" i="1"/>
  <c r="AL57" i="1"/>
  <c r="AL56" i="1"/>
  <c r="AL55" i="1"/>
  <c r="AL54" i="1"/>
  <c r="AL83" i="1"/>
  <c r="AL82" i="1"/>
  <c r="AL81" i="1"/>
  <c r="AL80" i="1"/>
  <c r="AL79" i="1"/>
  <c r="AL78" i="1"/>
  <c r="AL77" i="1"/>
  <c r="AL76" i="1"/>
  <c r="AL75" i="1"/>
  <c r="AL74" i="1"/>
  <c r="AL150" i="1"/>
  <c r="AL149" i="1"/>
  <c r="AL148" i="1"/>
  <c r="AL147" i="1"/>
  <c r="AJ541" i="1"/>
  <c r="AL541" i="1" s="1"/>
  <c r="AJ540" i="1"/>
  <c r="AL540" i="1" s="1"/>
  <c r="AJ539" i="1"/>
  <c r="AL539" i="1" s="1"/>
  <c r="AJ538" i="1"/>
  <c r="AL538" i="1" s="1"/>
  <c r="AJ537" i="1"/>
  <c r="AL537" i="1" s="1"/>
  <c r="AJ536" i="1"/>
  <c r="AL536" i="1" s="1"/>
  <c r="AJ535" i="1"/>
  <c r="AL535" i="1" s="1"/>
  <c r="AJ534" i="1"/>
  <c r="AL534" i="1" s="1"/>
  <c r="AJ533" i="1"/>
  <c r="AL533" i="1" s="1"/>
  <c r="AJ532" i="1"/>
  <c r="AL532" i="1" s="1"/>
  <c r="AJ531" i="1"/>
  <c r="AL531" i="1" s="1"/>
  <c r="AJ530" i="1"/>
  <c r="AL530" i="1" s="1"/>
  <c r="AJ529" i="1"/>
  <c r="AL529" i="1" s="1"/>
  <c r="AJ528" i="1"/>
  <c r="AL528" i="1" s="1"/>
  <c r="AJ527" i="1"/>
  <c r="AL527" i="1" s="1"/>
  <c r="AJ526" i="1"/>
  <c r="AL526" i="1" s="1"/>
  <c r="AJ525" i="1"/>
  <c r="AL525" i="1" s="1"/>
  <c r="AJ524" i="1"/>
  <c r="AL524" i="1" s="1"/>
  <c r="AJ523" i="1"/>
  <c r="AL523" i="1" s="1"/>
  <c r="AJ522" i="1"/>
  <c r="AL522" i="1" s="1"/>
  <c r="AJ521" i="1"/>
  <c r="AL521" i="1" s="1"/>
  <c r="AJ520" i="1"/>
  <c r="AL520" i="1" s="1"/>
  <c r="AJ519" i="1"/>
  <c r="AL519" i="1" s="1"/>
  <c r="AJ518" i="1"/>
  <c r="AL518" i="1" s="1"/>
  <c r="AL542" i="1"/>
  <c r="AL435" i="1"/>
  <c r="AL434" i="1"/>
  <c r="AL433" i="1"/>
  <c r="AL432" i="1"/>
  <c r="AL431" i="1"/>
  <c r="AL430" i="1"/>
  <c r="AL429" i="1"/>
  <c r="AL428" i="1"/>
  <c r="AL427" i="1"/>
  <c r="AL426" i="1"/>
  <c r="AL425" i="1"/>
  <c r="AL424" i="1"/>
  <c r="AL423" i="1"/>
  <c r="AL422" i="1"/>
  <c r="AL421" i="1"/>
  <c r="AL420" i="1"/>
  <c r="AL419" i="1"/>
  <c r="AL418" i="1"/>
  <c r="AL417" i="1"/>
  <c r="AL416" i="1"/>
  <c r="AL415" i="1"/>
  <c r="AL444" i="1"/>
  <c r="AL443" i="1"/>
  <c r="AL442" i="1"/>
  <c r="AL441" i="1"/>
  <c r="AL440" i="1"/>
  <c r="AL439" i="1"/>
  <c r="AL438" i="1"/>
  <c r="AL437" i="1"/>
  <c r="AL436" i="1"/>
  <c r="AL455" i="1"/>
  <c r="AL454" i="1"/>
  <c r="AL453" i="1"/>
  <c r="AL452" i="1"/>
  <c r="AL451" i="1"/>
  <c r="AL450" i="1"/>
  <c r="AL449" i="1"/>
  <c r="AL448" i="1"/>
  <c r="AL447" i="1"/>
  <c r="AL446" i="1"/>
  <c r="AL445" i="1"/>
  <c r="AJ660" i="1"/>
  <c r="AL660" i="1" s="1"/>
  <c r="AE660" i="1"/>
  <c r="AD660" i="1"/>
  <c r="AJ659" i="1"/>
  <c r="AL659" i="1" s="1"/>
  <c r="AE659" i="1"/>
  <c r="AD659" i="1"/>
  <c r="AJ658" i="1"/>
  <c r="AL658" i="1" s="1"/>
  <c r="AE658" i="1"/>
  <c r="AD658" i="1"/>
  <c r="AJ657" i="1"/>
  <c r="AL657" i="1" s="1"/>
  <c r="AE657" i="1"/>
  <c r="AD657" i="1"/>
  <c r="AJ656" i="1"/>
  <c r="AL656" i="1" s="1"/>
  <c r="AE656" i="1"/>
  <c r="AD656" i="1"/>
  <c r="AJ655" i="1"/>
  <c r="AL655" i="1" s="1"/>
  <c r="AE655" i="1"/>
  <c r="AD655" i="1"/>
  <c r="AJ654" i="1"/>
  <c r="AL654" i="1" s="1"/>
  <c r="AE654" i="1"/>
  <c r="AD654" i="1"/>
  <c r="AJ653" i="1"/>
  <c r="AL653" i="1" s="1"/>
  <c r="AE653" i="1"/>
  <c r="AD653" i="1"/>
  <c r="AJ652" i="1"/>
  <c r="AL652" i="1" s="1"/>
  <c r="AE652" i="1"/>
  <c r="AD652" i="1"/>
  <c r="AJ651" i="1"/>
  <c r="AL651" i="1" s="1"/>
  <c r="AE651" i="1"/>
  <c r="AD651" i="1"/>
  <c r="AJ650" i="1"/>
  <c r="AL650" i="1" s="1"/>
  <c r="AE650" i="1"/>
  <c r="AD650" i="1"/>
  <c r="AJ649" i="1"/>
  <c r="AL649" i="1" s="1"/>
  <c r="AE649" i="1"/>
  <c r="AD649" i="1"/>
  <c r="AJ648" i="1"/>
  <c r="AL648" i="1" s="1"/>
  <c r="AE648" i="1"/>
  <c r="AD648" i="1"/>
  <c r="AJ647" i="1"/>
  <c r="AL647" i="1" s="1"/>
  <c r="AE647" i="1"/>
  <c r="AD647" i="1"/>
  <c r="AJ646" i="1"/>
  <c r="AL646" i="1" s="1"/>
  <c r="AE646" i="1"/>
  <c r="AD646" i="1"/>
  <c r="AJ645" i="1"/>
  <c r="AL645" i="1" s="1"/>
  <c r="AE645" i="1"/>
  <c r="AD645" i="1"/>
  <c r="AL146" i="1"/>
  <c r="AL145" i="1"/>
  <c r="AL144" i="1"/>
  <c r="AL143" i="1"/>
  <c r="AL230" i="1"/>
  <c r="AL231" i="1"/>
  <c r="AL228" i="1"/>
  <c r="AL232" i="1"/>
  <c r="AL229" i="1"/>
  <c r="AL234" i="1"/>
  <c r="AL233" i="1"/>
  <c r="AL181" i="1"/>
  <c r="AL180" i="1"/>
  <c r="AL179" i="1"/>
  <c r="AL178" i="1"/>
  <c r="AL53" i="1"/>
  <c r="AL52" i="1"/>
  <c r="AL51" i="1"/>
  <c r="AL47" i="1"/>
  <c r="AL46" i="1"/>
  <c r="AL45" i="1"/>
  <c r="AL50" i="1"/>
  <c r="AL49" i="1"/>
  <c r="AL48" i="1"/>
  <c r="AL215" i="1"/>
  <c r="AL213" i="1"/>
  <c r="AL274" i="1"/>
  <c r="AL214" i="1"/>
  <c r="AL275" i="1"/>
  <c r="AL216" i="1"/>
  <c r="AL132" i="1"/>
  <c r="AL131" i="1"/>
  <c r="AL130" i="1"/>
  <c r="AL129" i="1"/>
  <c r="AL128" i="1"/>
  <c r="AL127" i="1"/>
  <c r="AL126" i="1"/>
  <c r="AL125" i="1"/>
  <c r="AL471" i="1"/>
  <c r="AL470" i="1"/>
  <c r="AL469" i="1"/>
  <c r="AL468" i="1"/>
  <c r="AL467" i="1"/>
  <c r="AL466" i="1"/>
  <c r="AL465" i="1"/>
  <c r="AL464" i="1"/>
  <c r="AL463" i="1"/>
  <c r="AL462" i="1"/>
  <c r="AL461" i="1"/>
  <c r="AL460" i="1"/>
  <c r="AL459" i="1"/>
  <c r="AL458" i="1"/>
  <c r="AL457" i="1"/>
  <c r="AL456" i="1"/>
  <c r="AJ644" i="1"/>
  <c r="AL644" i="1" s="1"/>
  <c r="AE644" i="1"/>
  <c r="AD644" i="1"/>
  <c r="AJ643" i="1"/>
  <c r="AL643" i="1" s="1"/>
  <c r="AE643" i="1"/>
  <c r="AD643" i="1"/>
  <c r="AJ642" i="1"/>
  <c r="AL642" i="1" s="1"/>
  <c r="AE642" i="1"/>
  <c r="AD642" i="1"/>
  <c r="AJ641" i="1"/>
  <c r="AL641" i="1" s="1"/>
  <c r="AE641" i="1"/>
  <c r="AD641" i="1"/>
  <c r="AL15" i="1"/>
  <c r="AL14" i="1"/>
  <c r="AL13" i="1"/>
  <c r="AL12" i="1"/>
  <c r="AL11" i="1"/>
  <c r="AL10" i="1"/>
  <c r="AL9" i="1"/>
  <c r="AL8" i="1"/>
  <c r="AL7" i="1"/>
  <c r="AL6" i="1"/>
  <c r="AL5" i="1"/>
  <c r="AL4" i="1"/>
  <c r="AL2" i="1"/>
  <c r="AL25" i="1"/>
  <c r="AL24" i="1"/>
  <c r="AL23" i="1"/>
  <c r="AL22" i="1"/>
  <c r="AL21" i="1"/>
  <c r="AL20" i="1"/>
  <c r="AL19" i="1"/>
  <c r="AL18" i="1"/>
  <c r="AL17" i="1"/>
  <c r="AL16" i="1"/>
  <c r="AL32" i="1"/>
  <c r="AL31" i="1"/>
  <c r="AL30" i="1"/>
  <c r="AL29" i="1"/>
  <c r="AL28" i="1"/>
  <c r="AL27" i="1"/>
  <c r="AL26" i="1"/>
  <c r="AJ226" i="1"/>
  <c r="AL226" i="1" s="1"/>
  <c r="AJ227" i="1"/>
  <c r="AL227" i="1" s="1"/>
  <c r="AL156" i="1"/>
  <c r="AL155" i="1"/>
  <c r="AL154" i="1"/>
  <c r="AL153" i="1"/>
  <c r="AL152" i="1"/>
  <c r="AL151" i="1"/>
  <c r="AJ217" i="1"/>
  <c r="AL217" i="1" s="1"/>
  <c r="AJ218" i="1"/>
  <c r="AL218" i="1" s="1"/>
  <c r="AJ337" i="1"/>
  <c r="AL337" i="1" s="1"/>
  <c r="AJ336" i="1"/>
  <c r="AL336" i="1" s="1"/>
  <c r="AJ335" i="1"/>
  <c r="AL335" i="1" s="1"/>
  <c r="AJ334" i="1"/>
  <c r="AL334" i="1" s="1"/>
  <c r="AJ333" i="1"/>
  <c r="AL333" i="1" s="1"/>
  <c r="AL332" i="1"/>
  <c r="AL331" i="1"/>
  <c r="AL330" i="1"/>
  <c r="AL329" i="1"/>
  <c r="AL328" i="1"/>
  <c r="AL327" i="1"/>
  <c r="AL326" i="1"/>
  <c r="AL325" i="1"/>
  <c r="AL324" i="1"/>
  <c r="AL323" i="1"/>
  <c r="AL137" i="1"/>
  <c r="AL136" i="1"/>
  <c r="AL135" i="1"/>
  <c r="AL134" i="1"/>
  <c r="AL133" i="1"/>
  <c r="AL92" i="1"/>
  <c r="AL91" i="1"/>
  <c r="AL90" i="1"/>
  <c r="AL86" i="1"/>
  <c r="AL85" i="1"/>
  <c r="AL84" i="1"/>
  <c r="AL89" i="1"/>
  <c r="AL88" i="1"/>
  <c r="AL8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000-000001000000}">
      <text>
        <r>
          <rPr>
            <sz val="11"/>
            <color theme="1"/>
            <rFont val="Calibri"/>
            <family val="2"/>
            <scheme val="minor"/>
          </rPr>
          <t>======
ID#AAABfVlFWAE
tc={23FC5C4A-E689-4A89-A8D4-B18DC1678F16}    (2025-03-05 11:43:39)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Ne pas communiquer le nom de collection sur le site</t>
        </r>
      </text>
    </comment>
  </commentList>
  <extLst>
    <ext xmlns:r="http://schemas.openxmlformats.org/officeDocument/2006/relationships" uri="GoogleSheetsCustomDataVersion2">
      <go:sheetsCustomData xmlns:go="http://customooxmlschemas.google.com/" r:id="rId1" roundtripDataSignature="AMtx7mjoZtbydepQGFQNBw0Co1ruBwRNXA=="/>
    </ext>
  </extLst>
</comments>
</file>

<file path=xl/sharedStrings.xml><?xml version="1.0" encoding="utf-8"?>
<sst xmlns="http://schemas.openxmlformats.org/spreadsheetml/2006/main" count="42524" uniqueCount="5647">
  <si>
    <t>Nom du produit</t>
  </si>
  <si>
    <t>Référence</t>
  </si>
  <si>
    <t>Collection</t>
  </si>
  <si>
    <t>Code EAN13</t>
  </si>
  <si>
    <t>Description</t>
  </si>
  <si>
    <t>Nom de la catégorie</t>
  </si>
  <si>
    <t>Image 1</t>
  </si>
  <si>
    <t>Image 2</t>
  </si>
  <si>
    <t>Image 3</t>
  </si>
  <si>
    <t>Intérieur/Extérieur</t>
  </si>
  <si>
    <t>Effet</t>
  </si>
  <si>
    <t>Format</t>
  </si>
  <si>
    <t>Matière</t>
  </si>
  <si>
    <t>Couleur</t>
  </si>
  <si>
    <t>Épaisseurs</t>
  </si>
  <si>
    <t>Conditionnement</t>
  </si>
  <si>
    <t>Bords rectifiés (oui/non)</t>
  </si>
  <si>
    <t>Type de pose</t>
  </si>
  <si>
    <t>Finitions</t>
  </si>
  <si>
    <t>Type de parquet/Sol stratifié</t>
  </si>
  <si>
    <t>Essence de bois</t>
  </si>
  <si>
    <t>Type de bois</t>
  </si>
  <si>
    <t>Effet chanfrein</t>
  </si>
  <si>
    <t>Ere d'utilisation (sol/mur)</t>
  </si>
  <si>
    <t>Caractéristique : Pays de frabrication</t>
  </si>
  <si>
    <t>Disponibilité (en stock/sur demande)</t>
  </si>
  <si>
    <t>Marque</t>
  </si>
  <si>
    <t>Poids Net</t>
  </si>
  <si>
    <t>Poids brut</t>
  </si>
  <si>
    <t>Poids palette</t>
  </si>
  <si>
    <t>M2 / Boîte</t>
  </si>
  <si>
    <t>M2 / palette</t>
  </si>
  <si>
    <t>Prix d'achat HT</t>
  </si>
  <si>
    <t>Prix de vente HT</t>
  </si>
  <si>
    <t>Taux de TVA</t>
  </si>
  <si>
    <t>Prix de vente TTC</t>
  </si>
  <si>
    <t>Carrelage effet Béton LOFT</t>
  </si>
  <si>
    <t>CRL177</t>
  </si>
  <si>
    <t>ACRON</t>
  </si>
  <si>
    <t>8445583505122</t>
  </si>
  <si>
    <t>La collection LOFT possède un design élégant et raffiné qui reproduit fidèlement l'esthétique du béton tout en conservant les performances du grès cérame. Son style moderne s’adapte aussi bien aux intérieurs contemporains que traditionnels.</t>
  </si>
  <si>
    <t>Carrelage &gt; Interieur</t>
  </si>
  <si>
    <t>http://example.com/carrelage1.jpg</t>
  </si>
  <si>
    <t>http://example.com/carrelage2.jpg</t>
  </si>
  <si>
    <t>http://example.com/carrelage3.jpg</t>
  </si>
  <si>
    <t>Intérieur</t>
  </si>
  <si>
    <t>Béton</t>
  </si>
  <si>
    <t>60x120 cm</t>
  </si>
  <si>
    <t>Grés Cérame</t>
  </si>
  <si>
    <t>Blanc</t>
  </si>
  <si>
    <t>9mm</t>
  </si>
  <si>
    <t>Rectangle</t>
  </si>
  <si>
    <t>oui</t>
  </si>
  <si>
    <t>Collée</t>
  </si>
  <si>
    <t>Mat</t>
  </si>
  <si>
    <t>Sol / Mur</t>
  </si>
  <si>
    <t>Espagne</t>
  </si>
  <si>
    <t>Sur demande</t>
  </si>
  <si>
    <t>20%</t>
  </si>
  <si>
    <t>CRL178</t>
  </si>
  <si>
    <t>8445583505139</t>
  </si>
  <si>
    <t>Gris</t>
  </si>
  <si>
    <t>CRL179</t>
  </si>
  <si>
    <t>8445583505146</t>
  </si>
  <si>
    <t>Ivoire</t>
  </si>
  <si>
    <t>CRL274</t>
  </si>
  <si>
    <t>8445583505153</t>
  </si>
  <si>
    <t>60x60 cm</t>
  </si>
  <si>
    <t>Carré</t>
  </si>
  <si>
    <t>CRL275</t>
  </si>
  <si>
    <t>8445583505160</t>
  </si>
  <si>
    <t>CRL276</t>
  </si>
  <si>
    <t>8445583505177</t>
  </si>
  <si>
    <t>CRL385</t>
  </si>
  <si>
    <t>8445583505184</t>
  </si>
  <si>
    <t>90x90 cm</t>
  </si>
  <si>
    <t>CRL386</t>
  </si>
  <si>
    <t>8445583505191</t>
  </si>
  <si>
    <t>CRL387</t>
  </si>
  <si>
    <t>8445583505207</t>
  </si>
  <si>
    <t>Carrelage effet bois ANTIK</t>
  </si>
  <si>
    <t>CRL613</t>
  </si>
  <si>
    <t>ANTIQUE</t>
  </si>
  <si>
    <t>8023484026160</t>
  </si>
  <si>
    <t>Empreintes du glorieux passé du dix-huitième siècle réinterprétées en mode contemporain, pour des ambiances essentielles et élégantes. Une table ancienne, retrouvée dans un vieux monastère franciscain, est à l’origine de la collection ANTIK. Le contemporain côtoie le passé...</t>
  </si>
  <si>
    <t>Bois</t>
  </si>
  <si>
    <t>Clay</t>
  </si>
  <si>
    <t>9,5mm</t>
  </si>
  <si>
    <t>Italie</t>
  </si>
  <si>
    <t>CRL614</t>
  </si>
  <si>
    <t>8023484026177</t>
  </si>
  <si>
    <t>Ivory</t>
  </si>
  <si>
    <t>CRL615</t>
  </si>
  <si>
    <t>8023484026184</t>
  </si>
  <si>
    <t>Oak</t>
  </si>
  <si>
    <t>CRL616</t>
  </si>
  <si>
    <t>8023484026191</t>
  </si>
  <si>
    <t>Walnut</t>
  </si>
  <si>
    <t>CRL617</t>
  </si>
  <si>
    <t>8023484026207</t>
  </si>
  <si>
    <t>Wenge</t>
  </si>
  <si>
    <t>Carrelage effet pierre ATHENES</t>
  </si>
  <si>
    <t>CRL400</t>
  </si>
  <si>
    <t>ATLANTIS</t>
  </si>
  <si>
    <t>8054119022516</t>
  </si>
  <si>
    <t>La collection ATHENES apporte caractère et élégance aux espaces, alliant l'authenticité des textures naturelles à la modernité des matériaux contemporains. Polyvalent et intemporel, il se marie harmonieusement avec le bois, le métal ou le béton, créant des ambiances à la fois chaleureuses et sophistiquées. Adapté aux intérieurs comme aux extérieurs, il offre une esthétique minérale unique, idéale pour des espaces raffinés et durs.</t>
  </si>
  <si>
    <t>Pierre</t>
  </si>
  <si>
    <t>Fumo</t>
  </si>
  <si>
    <t>CRL401</t>
  </si>
  <si>
    <t>8054119022530</t>
  </si>
  <si>
    <t>Ghiaccio</t>
  </si>
  <si>
    <t>CRL402</t>
  </si>
  <si>
    <t>8054119022554</t>
  </si>
  <si>
    <t>Lava</t>
  </si>
  <si>
    <t>CRL403</t>
  </si>
  <si>
    <t>8054119022578</t>
  </si>
  <si>
    <t>Perla</t>
  </si>
  <si>
    <t>CRL404</t>
  </si>
  <si>
    <t>8054119022592</t>
  </si>
  <si>
    <t>Sabbia</t>
  </si>
  <si>
    <t>CRL405</t>
  </si>
  <si>
    <t>8054119022356</t>
  </si>
  <si>
    <t>CRL406</t>
  </si>
  <si>
    <t>8054119022363</t>
  </si>
  <si>
    <t>CRL407</t>
  </si>
  <si>
    <t>8054119022370</t>
  </si>
  <si>
    <t>CRL408</t>
  </si>
  <si>
    <t>8054119022387</t>
  </si>
  <si>
    <t>CRL409</t>
  </si>
  <si>
    <t>8054119022394</t>
  </si>
  <si>
    <t>CRL410</t>
  </si>
  <si>
    <t>8054119027276</t>
  </si>
  <si>
    <t>120x120 cm</t>
  </si>
  <si>
    <t>CRL411</t>
  </si>
  <si>
    <t>8054119027283</t>
  </si>
  <si>
    <t>CRL412</t>
  </si>
  <si>
    <t>8054119027290</t>
  </si>
  <si>
    <t>CRL413</t>
  </si>
  <si>
    <t>8054119027306</t>
  </si>
  <si>
    <t>CRL414</t>
  </si>
  <si>
    <t>8054119027313</t>
  </si>
  <si>
    <t>Carrelage effet marbre BRECCIA</t>
  </si>
  <si>
    <t>CRL417</t>
  </si>
  <si>
    <t>BRECCIA ARGENTUM</t>
  </si>
  <si>
    <t>8055061299247</t>
  </si>
  <si>
    <t>Inspiré du marbre italien des années 20, le BRECCIA allie sophistication et perfection graphique. Ses veines intenses et irrégulières créent un effet naturel de mouvement et de profondeur. Polyvalent, il s'adapte aux murs, sols, cheminées et objets décoratifs, apportant une touche luxueuse et harmonieuse à tout intérieur.</t>
  </si>
  <si>
    <t>Marbre</t>
  </si>
  <si>
    <t>6mm</t>
  </si>
  <si>
    <t>Poli</t>
  </si>
  <si>
    <t>CRL418</t>
  </si>
  <si>
    <t>8055061294235</t>
  </si>
  <si>
    <t>8,8mm</t>
  </si>
  <si>
    <t>Carrelage effet bois KAILA</t>
  </si>
  <si>
    <t>CRL101</t>
  </si>
  <si>
    <t>CAILA</t>
  </si>
  <si>
    <t>8445583489712</t>
  </si>
  <si>
    <t xml:space="preserve">KAILA part de la beauté naturelle du bois d'érable pour donner forme à une série de carreaux de porcelaine pour intérieurs. Son design est caractérisé par un grain uniforme et par le réalisme avec lequel il reproduit l'un des bois les plus recherchés dans la décoration d'intérieur. </t>
  </si>
  <si>
    <t>20x120 cm</t>
  </si>
  <si>
    <t>Maple</t>
  </si>
  <si>
    <t>CRL102</t>
  </si>
  <si>
    <t>8445583509540</t>
  </si>
  <si>
    <t>Nature</t>
  </si>
  <si>
    <t>CRL103</t>
  </si>
  <si>
    <t>8445583489729</t>
  </si>
  <si>
    <t>CRL148</t>
  </si>
  <si>
    <t>8445583506310</t>
  </si>
  <si>
    <t>30x180 cm</t>
  </si>
  <si>
    <t>CRL149</t>
  </si>
  <si>
    <t>8445583506327</t>
  </si>
  <si>
    <t>CRL150</t>
  </si>
  <si>
    <t>8445583509557</t>
  </si>
  <si>
    <t>Carrelage effet marbre CALACATTA ORO</t>
  </si>
  <si>
    <t>CRL419</t>
  </si>
  <si>
    <t>CALACATTA ORO</t>
  </si>
  <si>
    <t>8055061299261</t>
  </si>
  <si>
    <t>Inspirée du marbre de Carrare et du raffinement de la Renaissance, la collection CALACATTA ORO séduit par son blanc chaud rehaussé de veines grises et dorées. Son graphisme élégant et équilibré crée un effet de mouvement subtil. Polyvalente, elle s'associe harmonieusement au bois et aux métaux, offrant des solutions décoratives uniques et sophistiquées.</t>
  </si>
  <si>
    <t>Calacatta Or</t>
  </si>
  <si>
    <t>CRL420</t>
  </si>
  <si>
    <t>8055061294273</t>
  </si>
  <si>
    <t>Carrelage effet béton ARGILE</t>
  </si>
  <si>
    <t>CRL046</t>
  </si>
  <si>
    <t>CLAY</t>
  </si>
  <si>
    <t>8055493069647</t>
  </si>
  <si>
    <t>Idéales pour des effets spectaculaires ou pour sublimer des espaces plus restreints, la collection ARGILE reproduit l’effet enduit de la résine avec une finition mate subtilement brillante. Disponible dans une palette de couleurs allant du blanc aux nuances de gris, grège et taupe, elle se décline aussi en teintes contemporaines, ajoutant une touche de caractère unique à chaque espace.</t>
  </si>
  <si>
    <t>Calm</t>
  </si>
  <si>
    <t>CRL047</t>
  </si>
  <si>
    <t>8055493069654</t>
  </si>
  <si>
    <t>Delight</t>
  </si>
  <si>
    <t>CRL048</t>
  </si>
  <si>
    <t>8055493069661</t>
  </si>
  <si>
    <t>Awake</t>
  </si>
  <si>
    <t>CRL049</t>
  </si>
  <si>
    <t>8055493069678</t>
  </si>
  <si>
    <t>Fancy</t>
  </si>
  <si>
    <t>CRL050</t>
  </si>
  <si>
    <t>8055493069685</t>
  </si>
  <si>
    <t>Verve</t>
  </si>
  <si>
    <t>CRL051</t>
  </si>
  <si>
    <t>8055493069692</t>
  </si>
  <si>
    <t>Shy</t>
  </si>
  <si>
    <t>CRL052</t>
  </si>
  <si>
    <t>8055493069708</t>
  </si>
  <si>
    <t>Trust</t>
  </si>
  <si>
    <t>CRL211</t>
  </si>
  <si>
    <t>8055493069326</t>
  </si>
  <si>
    <t>Grace</t>
  </si>
  <si>
    <t>CRL212</t>
  </si>
  <si>
    <t>8055493069395</t>
  </si>
  <si>
    <t>Karma</t>
  </si>
  <si>
    <t>CRL213</t>
  </si>
  <si>
    <t>8055493069401</t>
  </si>
  <si>
    <t>Glee</t>
  </si>
  <si>
    <t>CRL214</t>
  </si>
  <si>
    <t>8055493080796</t>
  </si>
  <si>
    <t>CRL215</t>
  </si>
  <si>
    <t>8055493080802</t>
  </si>
  <si>
    <t>CRL216</t>
  </si>
  <si>
    <t>8055493080819</t>
  </si>
  <si>
    <t>CRL217</t>
  </si>
  <si>
    <t>8055493080826</t>
  </si>
  <si>
    <t>CRL218</t>
  </si>
  <si>
    <t>8055493080833</t>
  </si>
  <si>
    <t>CRL219</t>
  </si>
  <si>
    <t>8055493080840</t>
  </si>
  <si>
    <t>CRL220</t>
  </si>
  <si>
    <t>8055493080857</t>
  </si>
  <si>
    <t>CRL313</t>
  </si>
  <si>
    <t>8055493203317</t>
  </si>
  <si>
    <t>CRL314</t>
  </si>
  <si>
    <t>8055493203331</t>
  </si>
  <si>
    <t>CRL315</t>
  </si>
  <si>
    <t>8055493203348</t>
  </si>
  <si>
    <t>CRL316</t>
  </si>
  <si>
    <t>8055493203362</t>
  </si>
  <si>
    <t>CRL317</t>
  </si>
  <si>
    <t>8055493203379</t>
  </si>
  <si>
    <t>CRL318</t>
  </si>
  <si>
    <t>8055493203386</t>
  </si>
  <si>
    <t>CRL319</t>
  </si>
  <si>
    <t>8055493203393</t>
  </si>
  <si>
    <t>CRL366</t>
  </si>
  <si>
    <t>8055493070261</t>
  </si>
  <si>
    <t>80x80 cm</t>
  </si>
  <si>
    <t>CRL367</t>
  </si>
  <si>
    <t>8055493070278</t>
  </si>
  <si>
    <t>CRL368</t>
  </si>
  <si>
    <t>8055493070285</t>
  </si>
  <si>
    <t>CRL369</t>
  </si>
  <si>
    <t>8055493070292</t>
  </si>
  <si>
    <t>CRL370</t>
  </si>
  <si>
    <t>8055493070308</t>
  </si>
  <si>
    <t>CRL371</t>
  </si>
  <si>
    <t>8055493070315</t>
  </si>
  <si>
    <t>CRL372</t>
  </si>
  <si>
    <t>8055493070322</t>
  </si>
  <si>
    <t>Faience KOKO</t>
  </si>
  <si>
    <t>CRL604</t>
  </si>
  <si>
    <t>COCO</t>
  </si>
  <si>
    <t>8432597579454</t>
  </si>
  <si>
    <t>La collection KOKO est une collection de grès cérame 25x25 imitant le pavage hydraulique. Cette collection s'inspire du style Belle Epoque et présente quatre décors typiques du pavage hydraulique méditerranéen.</t>
  </si>
  <si>
    <t>Carreaux de ciment</t>
  </si>
  <si>
    <t>25x25 cm</t>
  </si>
  <si>
    <t>Pâte Blanche</t>
  </si>
  <si>
    <t>Noir et blanc</t>
  </si>
  <si>
    <t>non</t>
  </si>
  <si>
    <t>Mur</t>
  </si>
  <si>
    <t>CRL605</t>
  </si>
  <si>
    <t>8432597579461</t>
  </si>
  <si>
    <t>CRL606</t>
  </si>
  <si>
    <t>8432597579478</t>
  </si>
  <si>
    <t>CRL607</t>
  </si>
  <si>
    <t>8432597579485</t>
  </si>
  <si>
    <t>Carrelage effet zellige FEZ</t>
  </si>
  <si>
    <t>CRL320</t>
  </si>
  <si>
    <t>COLONIAL</t>
  </si>
  <si>
    <t>8435311588688</t>
  </si>
  <si>
    <t>Le carrelage effet zellige, véritable incontournable du moment, s’inspire du savoir-faire traditionnel marocain. Avec sa surface brillante et ses légères irrégularités, il incarne l’élégance artisanale et s’impose comme un choix idéal pour sublimer salles de bains et cuisines.</t>
  </si>
  <si>
    <t>Zellige</t>
  </si>
  <si>
    <t>7,5x30 cm</t>
  </si>
  <si>
    <t>Noir</t>
  </si>
  <si>
    <t>Non</t>
  </si>
  <si>
    <t>Brillant</t>
  </si>
  <si>
    <t>CRL321</t>
  </si>
  <si>
    <t>8435311588589</t>
  </si>
  <si>
    <t>CRL322</t>
  </si>
  <si>
    <t>8435311588671</t>
  </si>
  <si>
    <t>CRL323</t>
  </si>
  <si>
    <t>8435311588572</t>
  </si>
  <si>
    <t>CRL324</t>
  </si>
  <si>
    <t>8435311588725</t>
  </si>
  <si>
    <t>CRL325</t>
  </si>
  <si>
    <t>8435311588626</t>
  </si>
  <si>
    <t>CRL326</t>
  </si>
  <si>
    <t>8435311588695</t>
  </si>
  <si>
    <t>Jade</t>
  </si>
  <si>
    <t>CRL327</t>
  </si>
  <si>
    <t>8435311588596</t>
  </si>
  <si>
    <t>CRL328</t>
  </si>
  <si>
    <t>8435311588718</t>
  </si>
  <si>
    <t>Marine</t>
  </si>
  <si>
    <t>CRL329</t>
  </si>
  <si>
    <t>8435311588619</t>
  </si>
  <si>
    <t>CRL330</t>
  </si>
  <si>
    <t>8435311588701</t>
  </si>
  <si>
    <t>Sky</t>
  </si>
  <si>
    <t>CRL331</t>
  </si>
  <si>
    <t>8435311588602</t>
  </si>
  <si>
    <t>CRL332</t>
  </si>
  <si>
    <t>8435311588732</t>
  </si>
  <si>
    <t>Vison</t>
  </si>
  <si>
    <t>CRL333</t>
  </si>
  <si>
    <t>8435311588633</t>
  </si>
  <si>
    <t>CRL334</t>
  </si>
  <si>
    <t>8435311588664</t>
  </si>
  <si>
    <t>CRL335</t>
  </si>
  <si>
    <t>8435311588565</t>
  </si>
  <si>
    <t>Carrelage effet Béton URBANIA</t>
  </si>
  <si>
    <t>CRL173</t>
  </si>
  <si>
    <t>CONCORDE</t>
  </si>
  <si>
    <t>8435311539611</t>
  </si>
  <si>
    <t>La collection URBANIA offre des carreaux en grès cérame effet béton, parfaits pour des espaces modernes et épurés. Déclinée en cinq formats et quatre teintes mates, elle combine textures sophistiquées et nuances neutres pour une élégance contemporaine.</t>
  </si>
  <si>
    <t>CRL174</t>
  </si>
  <si>
    <t>8445583215229</t>
  </si>
  <si>
    <t>CRL175</t>
  </si>
  <si>
    <t>8445583215236</t>
  </si>
  <si>
    <t>Crème</t>
  </si>
  <si>
    <t>CRL176</t>
  </si>
  <si>
    <t>8445583313383</t>
  </si>
  <si>
    <t>Anthracite</t>
  </si>
  <si>
    <t>CRL381</t>
  </si>
  <si>
    <t>8445583298017</t>
  </si>
  <si>
    <t>CRL382</t>
  </si>
  <si>
    <t>8445583298024</t>
  </si>
  <si>
    <t>CRL383</t>
  </si>
  <si>
    <t>8445583298031</t>
  </si>
  <si>
    <t>CRL384</t>
  </si>
  <si>
    <t>8445583298048</t>
  </si>
  <si>
    <t>Carrelage effet marbre ARABESCATO ORO</t>
  </si>
  <si>
    <t>CRL081</t>
  </si>
  <si>
    <t>COSMOPOLITAN</t>
  </si>
  <si>
    <t>8055493055367</t>
  </si>
  <si>
    <t>Son veinage particulier aux reflets légèrement brun doré lui donne un caractère unique.
Idéal pour des lieux de vie spacieux où l’élégance prime, ce carrelage effet marbre ne laissera pas vos visiteurs indifférents.</t>
  </si>
  <si>
    <t>Arabescato</t>
  </si>
  <si>
    <t>Carrelage effet marbre MYSTIC GREY</t>
  </si>
  <si>
    <t>CRL082</t>
  </si>
  <si>
    <t>8055493055398</t>
  </si>
  <si>
    <t>Rechercher les marbres les plus précieux et les interpréter en grès cérame avec une attention absolue pour en reproduire la profondeur des surfaces, la richesse des détails et la casualité des veinures. Une collection où chaque plaque émeut comme une oeuvre d’art.</t>
  </si>
  <si>
    <t>Carrelage effet marbre AMAZZONITE</t>
  </si>
  <si>
    <t>CRL083</t>
  </si>
  <si>
    <t>8055493055411</t>
  </si>
  <si>
    <t>Amazzonite</t>
  </si>
  <si>
    <t>CRL251</t>
  </si>
  <si>
    <t>8055493065854</t>
  </si>
  <si>
    <t>CRL252</t>
  </si>
  <si>
    <t>8055493065878</t>
  </si>
  <si>
    <t>CRL253</t>
  </si>
  <si>
    <t>8055493087313</t>
  </si>
  <si>
    <t>Carrelage effet Béton CRICK</t>
  </si>
  <si>
    <t>CRL185</t>
  </si>
  <si>
    <t>CRICKET</t>
  </si>
  <si>
    <t>8435311582266</t>
  </si>
  <si>
    <t>CRICK se distingue par ses tons neutres, ses formats variés et sa finition mate, apportant élégance et polyvalence à chaque espace. Conçue pour allier nature, design et innovation, cette collection s’adapte parfaitement aux murs et aux sols.</t>
  </si>
  <si>
    <t xml:space="preserve">Sable </t>
  </si>
  <si>
    <t>CRL186</t>
  </si>
  <si>
    <t>8435311583850</t>
  </si>
  <si>
    <t>CRL187</t>
  </si>
  <si>
    <t>8435311584222</t>
  </si>
  <si>
    <t>CRL282</t>
  </si>
  <si>
    <t>8445583318500</t>
  </si>
  <si>
    <t xml:space="preserve">Blanc </t>
  </si>
  <si>
    <t>CRL283</t>
  </si>
  <si>
    <t>8445583319408</t>
  </si>
  <si>
    <t>Sable</t>
  </si>
  <si>
    <t>CRL284</t>
  </si>
  <si>
    <t>8445583319415</t>
  </si>
  <si>
    <t>CRL393</t>
  </si>
  <si>
    <t>8445583298130</t>
  </si>
  <si>
    <t>CRL394</t>
  </si>
  <si>
    <t>8445583298147</t>
  </si>
  <si>
    <t>CRL395</t>
  </si>
  <si>
    <t>8445583298154</t>
  </si>
  <si>
    <t>Carrelage effet bois TASSO</t>
  </si>
  <si>
    <t>CRL151</t>
  </si>
  <si>
    <t>DASSEL</t>
  </si>
  <si>
    <t>8435311530960</t>
  </si>
  <si>
    <t>TASSO met en avant un design naturel à travers une collection en pâte blanche imitation bois, parfaite pour habiller murs et façades. Ses textures et reliefs uniques dessinent des lignes droites et affirmées, conférant un caractère distinctif à chaque espace. Disponible en trois teintes mates, cette série polyvalente apporte une touche de charme naturel aux projets les plus exigeants.</t>
  </si>
  <si>
    <t>40x120 cm</t>
  </si>
  <si>
    <t>Noyer</t>
  </si>
  <si>
    <t>11mm</t>
  </si>
  <si>
    <t>CRL152</t>
  </si>
  <si>
    <t>8435311530953</t>
  </si>
  <si>
    <t>Chêne</t>
  </si>
  <si>
    <t>CRL153</t>
  </si>
  <si>
    <t>8435311530977</t>
  </si>
  <si>
    <t>Erable</t>
  </si>
  <si>
    <t>CRL154</t>
  </si>
  <si>
    <t>8445583221763</t>
  </si>
  <si>
    <t>Carrelage effet Marbre DIAMOND GOLD</t>
  </si>
  <si>
    <t>CRL017</t>
  </si>
  <si>
    <t>DIAMOND GOLD</t>
  </si>
  <si>
    <t>8445583316421</t>
  </si>
  <si>
    <t>La collection DIAMOND GOLD permet d’intégrer l’élégance intemporelle du marbre dans tous les espaces grâce à la performance du grès cérame. Ses carreaux grand format offrent tout l’éclat et le raffinement du marbre, alliés à la résistance et à la qualité de la céramique</t>
  </si>
  <si>
    <t>Diamond gold</t>
  </si>
  <si>
    <t>CRL067</t>
  </si>
  <si>
    <t>8435311536900</t>
  </si>
  <si>
    <t>10,7mm</t>
  </si>
  <si>
    <t>CRL193</t>
  </si>
  <si>
    <t>8435311503407</t>
  </si>
  <si>
    <t>CRL235</t>
  </si>
  <si>
    <t>8435311503391</t>
  </si>
  <si>
    <t>10,5mm</t>
  </si>
  <si>
    <t>CRL292</t>
  </si>
  <si>
    <t>8445583187281</t>
  </si>
  <si>
    <t>CRL293</t>
  </si>
  <si>
    <t>8435311540006</t>
  </si>
  <si>
    <t>CRL337</t>
  </si>
  <si>
    <t>8445583217452</t>
  </si>
  <si>
    <t>75x75 cm</t>
  </si>
  <si>
    <t>Carrelage effet bois EARTWALL</t>
  </si>
  <si>
    <t>CRL093</t>
  </si>
  <si>
    <t>EARTWOOD</t>
  </si>
  <si>
    <t>8445583220810</t>
  </si>
  <si>
    <t>EARTWOOD bouscule les idées reçues en prouvant que les carreaux en grès cérame effet bois ne se limitent pas aux intérieurs chaleureux. Cette collection avant-gardiste apporte une touche de modernité et de continuité aux espaces. Disponible en quatre teintes, elle s’adapte à tous les projets, offrant une esthétique naturelle et intemporelle.</t>
  </si>
  <si>
    <t>CRL094</t>
  </si>
  <si>
    <t>8445583220827</t>
  </si>
  <si>
    <t>CRL095</t>
  </si>
  <si>
    <t>8445583221114</t>
  </si>
  <si>
    <t>Honey</t>
  </si>
  <si>
    <t>CRL096</t>
  </si>
  <si>
    <t>8445583221138</t>
  </si>
  <si>
    <t>Faience RETRO</t>
  </si>
  <si>
    <t>CRL588</t>
  </si>
  <si>
    <t>ELEMENT</t>
  </si>
  <si>
    <t>8432597579591</t>
  </si>
  <si>
    <t>La collection  est en grès cérame émaillé. D'aspect rétro très tendance, il peut se poser au sol et au mur, dans toutes les pièces intérieures.
Ce carrelage est proposé en quatre tons pastels, chauds et satinés, et en une gamme de cinq modèles décorés.</t>
  </si>
  <si>
    <t>Acero</t>
  </si>
  <si>
    <t>1,0000</t>
  </si>
  <si>
    <t>CRL589</t>
  </si>
  <si>
    <t>8432597579607</t>
  </si>
  <si>
    <t>CRL590</t>
  </si>
  <si>
    <t>8432597579614</t>
  </si>
  <si>
    <t>CRL591</t>
  </si>
  <si>
    <t>8432597579560</t>
  </si>
  <si>
    <t>Navy</t>
  </si>
  <si>
    <t>CRL592</t>
  </si>
  <si>
    <t>8432597579621</t>
  </si>
  <si>
    <t>CRL593</t>
  </si>
  <si>
    <t>8432597579584</t>
  </si>
  <si>
    <t>Ocre</t>
  </si>
  <si>
    <t>CRL594</t>
  </si>
  <si>
    <t>8432597579638</t>
  </si>
  <si>
    <t>Terra</t>
  </si>
  <si>
    <t>CRL595</t>
  </si>
  <si>
    <t>8432597579577</t>
  </si>
  <si>
    <t>Vert</t>
  </si>
  <si>
    <t>Faience RETRO HEXA</t>
  </si>
  <si>
    <t>CRL596</t>
  </si>
  <si>
    <t>8432597167101</t>
  </si>
  <si>
    <t>23x27 cm</t>
  </si>
  <si>
    <t>Hexagonal</t>
  </si>
  <si>
    <t>0,7500</t>
  </si>
  <si>
    <t>CRL597</t>
  </si>
  <si>
    <t>8432597167071</t>
  </si>
  <si>
    <t>CRL598</t>
  </si>
  <si>
    <t>8432597167132</t>
  </si>
  <si>
    <t>CRL599</t>
  </si>
  <si>
    <t>8432597168672</t>
  </si>
  <si>
    <t>CRL600</t>
  </si>
  <si>
    <t>8432597167163</t>
  </si>
  <si>
    <t>CRL601</t>
  </si>
  <si>
    <t>8432597168702</t>
  </si>
  <si>
    <t>CRL602</t>
  </si>
  <si>
    <t>8432597169990</t>
  </si>
  <si>
    <t>CRL603</t>
  </si>
  <si>
    <t>8432597169945</t>
  </si>
  <si>
    <t>Carrelage effet travertin TRAVERTINO</t>
  </si>
  <si>
    <t>CRL029</t>
  </si>
  <si>
    <t>ELYSIAN</t>
  </si>
  <si>
    <t>8055493115085</t>
  </si>
  <si>
    <t>La série TRAVERTINO est le résultat d'un sourcing minutieux, proposant un carrelage effet travertin alliant authenticité et raffinement pour sublimer chaque espace. Un design minimaliste sublimé par une richesse de détails en surface et en texture. Des teintes équilibrées, des nuances subtiles et des effets minéraux apportent à chaque référence une harmonie parfaite entre esthétisme et complexité des couleurs.</t>
  </si>
  <si>
    <t>Travertin</t>
  </si>
  <si>
    <t>Mediterranea</t>
  </si>
  <si>
    <t>CRL030</t>
  </si>
  <si>
    <t>8055493115092</t>
  </si>
  <si>
    <t>Desert stone</t>
  </si>
  <si>
    <t>CRL031</t>
  </si>
  <si>
    <t>8055493115108</t>
  </si>
  <si>
    <t>Beige catalan</t>
  </si>
  <si>
    <t>CRL032</t>
  </si>
  <si>
    <t>8055493115115</t>
  </si>
  <si>
    <t>Gris catalan</t>
  </si>
  <si>
    <t>CRL033</t>
  </si>
  <si>
    <t>8055493115146</t>
  </si>
  <si>
    <t>travertino light</t>
  </si>
  <si>
    <t>CRL034</t>
  </si>
  <si>
    <t>8055493165264</t>
  </si>
  <si>
    <t>Travertino pearly</t>
  </si>
  <si>
    <t>CRL035</t>
  </si>
  <si>
    <t>8055493165288</t>
  </si>
  <si>
    <t>Travertino pearly cross</t>
  </si>
  <si>
    <t>CRL036</t>
  </si>
  <si>
    <t>8055493165301</t>
  </si>
  <si>
    <t>Travertino misty cross</t>
  </si>
  <si>
    <t>CRL037</t>
  </si>
  <si>
    <t>8055493165271</t>
  </si>
  <si>
    <t xml:space="preserve">Travertino misty </t>
  </si>
  <si>
    <t>CRL038</t>
  </si>
  <si>
    <t>8055493165295</t>
  </si>
  <si>
    <t>Travertino light cross</t>
  </si>
  <si>
    <t>CRL039</t>
  </si>
  <si>
    <t>8055493115153</t>
  </si>
  <si>
    <t>Travertino dark</t>
  </si>
  <si>
    <t>CRL196</t>
  </si>
  <si>
    <t>8055493202273</t>
  </si>
  <si>
    <t>CRL197</t>
  </si>
  <si>
    <t>8055493202280</t>
  </si>
  <si>
    <t>CRL198</t>
  </si>
  <si>
    <t>8055493202297</t>
  </si>
  <si>
    <t>CRL199</t>
  </si>
  <si>
    <t>8055493202334</t>
  </si>
  <si>
    <t>CRL200</t>
  </si>
  <si>
    <t>8055493202365</t>
  </si>
  <si>
    <t>CRL201</t>
  </si>
  <si>
    <t>8055493202372</t>
  </si>
  <si>
    <t>CRL202</t>
  </si>
  <si>
    <t>8055493202389</t>
  </si>
  <si>
    <t>CRL203</t>
  </si>
  <si>
    <t>8055493202396</t>
  </si>
  <si>
    <t>CRL204</t>
  </si>
  <si>
    <t>8055493202402</t>
  </si>
  <si>
    <t>CRL304</t>
  </si>
  <si>
    <t>8055493202419</t>
  </si>
  <si>
    <t>CRL305</t>
  </si>
  <si>
    <t>8055493202426</t>
  </si>
  <si>
    <t>CRL306</t>
  </si>
  <si>
    <t>8055493202433</t>
  </si>
  <si>
    <t>CRL307</t>
  </si>
  <si>
    <t>8055493202471</t>
  </si>
  <si>
    <t>CRL308</t>
  </si>
  <si>
    <t>8055493202501</t>
  </si>
  <si>
    <t>CRL309</t>
  </si>
  <si>
    <t>8055493202518</t>
  </si>
  <si>
    <t>CRL310</t>
  </si>
  <si>
    <t>8055493202525</t>
  </si>
  <si>
    <t>CRL311</t>
  </si>
  <si>
    <t>8055493202532</t>
  </si>
  <si>
    <t>CRL312</t>
  </si>
  <si>
    <t>8055493202549</t>
  </si>
  <si>
    <t>CRL348</t>
  </si>
  <si>
    <t>8055493122304</t>
  </si>
  <si>
    <t>CRL349</t>
  </si>
  <si>
    <t>8055493122335</t>
  </si>
  <si>
    <t>CRL350</t>
  </si>
  <si>
    <t>8055493122366</t>
  </si>
  <si>
    <t>CRL351</t>
  </si>
  <si>
    <t>8055493122397</t>
  </si>
  <si>
    <t>CRL352</t>
  </si>
  <si>
    <t>8055493122403</t>
  </si>
  <si>
    <t>saastal</t>
  </si>
  <si>
    <t>CRL353</t>
  </si>
  <si>
    <t>8055493122441</t>
  </si>
  <si>
    <t>CRL354</t>
  </si>
  <si>
    <t>8055493122472</t>
  </si>
  <si>
    <t>CRL355</t>
  </si>
  <si>
    <t>8055493181813</t>
  </si>
  <si>
    <t>CRL356</t>
  </si>
  <si>
    <t>8055493181820</t>
  </si>
  <si>
    <t>CRL357</t>
  </si>
  <si>
    <t>8055493181837</t>
  </si>
  <si>
    <t>CRL358</t>
  </si>
  <si>
    <t>8055493181844</t>
  </si>
  <si>
    <t>CRL359</t>
  </si>
  <si>
    <t>8055493181851</t>
  </si>
  <si>
    <t>Faience EXTRA</t>
  </si>
  <si>
    <t>CRL563</t>
  </si>
  <si>
    <t>EXTRAVAGANZA</t>
  </si>
  <si>
    <t>8430376367858</t>
  </si>
  <si>
    <t>La Collection EXTRA célèbre l’art des contrastes et l’expérimentation audacieuse. Elle fusionne influences et esthétiques pour sublimer les surfaces avec élégance et spontanéité. Plus qu’un revêtement, c’est une invitation à réinventer le design sans limites.</t>
  </si>
  <si>
    <t>Faience</t>
  </si>
  <si>
    <t xml:space="preserve">  25X75</t>
  </si>
  <si>
    <t>Multicolor</t>
  </si>
  <si>
    <t xml:space="preserve">   995,82</t>
  </si>
  <si>
    <t xml:space="preserve">    1,687</t>
  </si>
  <si>
    <t>CRL564</t>
  </si>
  <si>
    <t>8430376363874</t>
  </si>
  <si>
    <t xml:space="preserve">  32X99</t>
  </si>
  <si>
    <t>Beige</t>
  </si>
  <si>
    <t xml:space="preserve"> 1.064,80</t>
  </si>
  <si>
    <t xml:space="preserve">    1,584</t>
  </si>
  <si>
    <t>CRL565</t>
  </si>
  <si>
    <t>8430376363881</t>
  </si>
  <si>
    <t>CRL566</t>
  </si>
  <si>
    <t>8430376363904</t>
  </si>
  <si>
    <t>CRL567</t>
  </si>
  <si>
    <t>8430376363911</t>
  </si>
  <si>
    <t>CRL568</t>
  </si>
  <si>
    <t>8430376363928</t>
  </si>
  <si>
    <t>CRL569</t>
  </si>
  <si>
    <t>8430376363935</t>
  </si>
  <si>
    <t>Taupe</t>
  </si>
  <si>
    <t>CRL570</t>
  </si>
  <si>
    <t>8430376363942</t>
  </si>
  <si>
    <t>CRL571</t>
  </si>
  <si>
    <t>8430376363959</t>
  </si>
  <si>
    <t>CRL572</t>
  </si>
  <si>
    <t>8430376370773</t>
  </si>
  <si>
    <t>CRL573</t>
  </si>
  <si>
    <t>8430376364376</t>
  </si>
  <si>
    <t xml:space="preserve">  45X120</t>
  </si>
  <si>
    <t xml:space="preserve">   735,00</t>
  </si>
  <si>
    <t xml:space="preserve">    1,080</t>
  </si>
  <si>
    <t>CRL574</t>
  </si>
  <si>
    <t>8430376364383</t>
  </si>
  <si>
    <t>CRL575</t>
  </si>
  <si>
    <t>8430376364390</t>
  </si>
  <si>
    <t>CRL576</t>
  </si>
  <si>
    <t>8430376364406</t>
  </si>
  <si>
    <t>CRL577</t>
  </si>
  <si>
    <t>8430376364253</t>
  </si>
  <si>
    <t>Cannelle</t>
  </si>
  <si>
    <t>CRL578</t>
  </si>
  <si>
    <t>8430376364260</t>
  </si>
  <si>
    <t>Avellana</t>
  </si>
  <si>
    <t>CRL579</t>
  </si>
  <si>
    <t>8430376364277</t>
  </si>
  <si>
    <t>CRL580</t>
  </si>
  <si>
    <t>8430376364284</t>
  </si>
  <si>
    <t>CRL581</t>
  </si>
  <si>
    <t>8430376364291</t>
  </si>
  <si>
    <t>CRL582</t>
  </si>
  <si>
    <t>8430376364314</t>
  </si>
  <si>
    <t>CRL583</t>
  </si>
  <si>
    <t>8430376364321</t>
  </si>
  <si>
    <t>CRL584</t>
  </si>
  <si>
    <t>8430376364338</t>
  </si>
  <si>
    <t>CRL585</t>
  </si>
  <si>
    <t>8430376364345</t>
  </si>
  <si>
    <t>CRL586</t>
  </si>
  <si>
    <t>8430376364352</t>
  </si>
  <si>
    <t>CRL587</t>
  </si>
  <si>
    <t>8430376364369</t>
  </si>
  <si>
    <t>Carrelage effet bois GEOMETRIQUE</t>
  </si>
  <si>
    <t>CRL155</t>
  </si>
  <si>
    <t>GEOMETRIC</t>
  </si>
  <si>
    <t>8445583508161</t>
  </si>
  <si>
    <t>La collection murale GEOMETRIC redéfinit les espaces avec ses motifs géométriques modernes et sa texture bois naturel. Son format rectifié 40x120 cm assure une pose précise et un rendu parfait. Déclinée en quatre teintes mates – amande, érable, chêne et blanc – elle s'inspire des essences de bois les plus prisées, offrant des possibilités d'associations harmonieuses et créatives avec tout type de décoration.</t>
  </si>
  <si>
    <t>CRL156</t>
  </si>
  <si>
    <t>8445583508178</t>
  </si>
  <si>
    <t>Amande</t>
  </si>
  <si>
    <t>CRL157</t>
  </si>
  <si>
    <t>8445583508185</t>
  </si>
  <si>
    <t>CRL158</t>
  </si>
  <si>
    <t>8445583508192</t>
  </si>
  <si>
    <t>Carrelage effet Béton GLOBAL</t>
  </si>
  <si>
    <t>CRL019</t>
  </si>
  <si>
    <t>GLOCAL</t>
  </si>
  <si>
    <t>8055493190877</t>
  </si>
  <si>
    <t>GLOBAL incarne un équilibre parfait entre universalité et singularité, comme l’évoque son nom. Sa grande polyvalence en fait un choix idéal aussi bien pour les espaces résidentiels que pour les projets d’envergure. Revisité avec subtilité, il propose une version encore plus contemporaine tout en préservant son identité originale et en reflétant l'excellence du design italien. Pour un meilleur rendu visuel, faites des joints très fins, les carreaux seront plus mis en avant.</t>
  </si>
  <si>
    <t>Harmony</t>
  </si>
  <si>
    <t>CRL020</t>
  </si>
  <si>
    <t>8055493190938</t>
  </si>
  <si>
    <t>Lumina</t>
  </si>
  <si>
    <t>CRL021</t>
  </si>
  <si>
    <t>8055493190815</t>
  </si>
  <si>
    <t>Slight</t>
  </si>
  <si>
    <t>CRL022</t>
  </si>
  <si>
    <t>8055493190785</t>
  </si>
  <si>
    <t>Journey</t>
  </si>
  <si>
    <t>CRL023</t>
  </si>
  <si>
    <t>8055493190754</t>
  </si>
  <si>
    <t>Essence</t>
  </si>
  <si>
    <t>CRL024</t>
  </si>
  <si>
    <t>8032862205851</t>
  </si>
  <si>
    <t>Clear</t>
  </si>
  <si>
    <t>CRL025</t>
  </si>
  <si>
    <t>8032862205868</t>
  </si>
  <si>
    <t>CRL026</t>
  </si>
  <si>
    <t>8032862205882</t>
  </si>
  <si>
    <t>CRL027</t>
  </si>
  <si>
    <t>8032862205899</t>
  </si>
  <si>
    <t>Classic</t>
  </si>
  <si>
    <t>CRL028</t>
  </si>
  <si>
    <t>8055493023533</t>
  </si>
  <si>
    <t>Ginger</t>
  </si>
  <si>
    <t>CRL294</t>
  </si>
  <si>
    <t>8055493187372</t>
  </si>
  <si>
    <t>CRL295</t>
  </si>
  <si>
    <t>8055493194950</t>
  </si>
  <si>
    <t>CRL296</t>
  </si>
  <si>
    <t>8055493194967</t>
  </si>
  <si>
    <t>CRL297</t>
  </si>
  <si>
    <t>8055493194981</t>
  </si>
  <si>
    <t>CRL298</t>
  </si>
  <si>
    <t>8055493021874</t>
  </si>
  <si>
    <t>CRL299</t>
  </si>
  <si>
    <t>8055493195001</t>
  </si>
  <si>
    <t>CRL300</t>
  </si>
  <si>
    <t>8032862192281</t>
  </si>
  <si>
    <t>CRL301</t>
  </si>
  <si>
    <t>8032862192298</t>
  </si>
  <si>
    <t>Perfect</t>
  </si>
  <si>
    <t>CRL302</t>
  </si>
  <si>
    <t>8032862192311</t>
  </si>
  <si>
    <t>Type</t>
  </si>
  <si>
    <t>CRL303</t>
  </si>
  <si>
    <t>8032862192328</t>
  </si>
  <si>
    <t>CRL338</t>
  </si>
  <si>
    <t>8055493059006</t>
  </si>
  <si>
    <t>CRL339</t>
  </si>
  <si>
    <t>8055493195940</t>
  </si>
  <si>
    <t>CRL340</t>
  </si>
  <si>
    <t>8055493195988</t>
  </si>
  <si>
    <t>CRL341</t>
  </si>
  <si>
    <t>8055493195926</t>
  </si>
  <si>
    <t>CRL342</t>
  </si>
  <si>
    <t>8055493195933</t>
  </si>
  <si>
    <t>CRL343</t>
  </si>
  <si>
    <t>8055493059037</t>
  </si>
  <si>
    <t>CRL344</t>
  </si>
  <si>
    <t>8055493195964</t>
  </si>
  <si>
    <t>CRL345</t>
  </si>
  <si>
    <t>8055493059044</t>
  </si>
  <si>
    <t>CRL346</t>
  </si>
  <si>
    <t>8055493056333</t>
  </si>
  <si>
    <t>CRL347</t>
  </si>
  <si>
    <t>8055493058948</t>
  </si>
  <si>
    <t>Carrelage effet Béton SEVILLE</t>
  </si>
  <si>
    <t>CRL012</t>
  </si>
  <si>
    <t>GRAVITY</t>
  </si>
  <si>
    <t>8445583317138</t>
  </si>
  <si>
    <t xml:space="preserve">L'esthétique cimentée de la collection SEVILLE  apporte une touche cosmopolite et intemporelle à vos espaces. Inspirée des terrazzo traditionnels de la Méditerranée, elle allie authenticité et modernité pour sublimer salles de bains et chambres. </t>
  </si>
  <si>
    <t>CRL013</t>
  </si>
  <si>
    <t>8445583317145</t>
  </si>
  <si>
    <t>CRL014</t>
  </si>
  <si>
    <t>8445583317152</t>
  </si>
  <si>
    <t>CRL015</t>
  </si>
  <si>
    <t>8445583317169</t>
  </si>
  <si>
    <t>CRL163</t>
  </si>
  <si>
    <t>8445583222586</t>
  </si>
  <si>
    <t>CRL164</t>
  </si>
  <si>
    <t>8445583222593</t>
  </si>
  <si>
    <t>CRL165</t>
  </si>
  <si>
    <t>8445583222609</t>
  </si>
  <si>
    <t>CRL166</t>
  </si>
  <si>
    <t>8445583222616</t>
  </si>
  <si>
    <t>CRL167</t>
  </si>
  <si>
    <t>8445583229066</t>
  </si>
  <si>
    <t>sable</t>
  </si>
  <si>
    <t>CRL168</t>
  </si>
  <si>
    <t>8445583229073</t>
  </si>
  <si>
    <t>cobalt</t>
  </si>
  <si>
    <t>CRL264</t>
  </si>
  <si>
    <t>8445583229424</t>
  </si>
  <si>
    <t>CRL265</t>
  </si>
  <si>
    <t>8445583229431</t>
  </si>
  <si>
    <t>CRL266</t>
  </si>
  <si>
    <t>8445583229448</t>
  </si>
  <si>
    <t>CRL267</t>
  </si>
  <si>
    <t>8445583229455</t>
  </si>
  <si>
    <t>CRL268</t>
  </si>
  <si>
    <t>8445583229462</t>
  </si>
  <si>
    <t>CRL269</t>
  </si>
  <si>
    <t>8445583229479</t>
  </si>
  <si>
    <t>Carrelage effet Bois WOODLINE</t>
  </si>
  <si>
    <t>CRL119</t>
  </si>
  <si>
    <t>IZUMI</t>
  </si>
  <si>
    <t>8055493224824</t>
  </si>
  <si>
    <t>La collection WOODLINE se décline en trois nuances inspirées des essences du chêne, reproduisant fidèlement les textures et détails du bois naturel. Son format allongé évoque l'élégance des parquets traditionnels, tout en offrant les avantages du grès cérame : une durabilité exceptionnelle et une résistance aux chocs, aux rayures et à l'humidité. Polyvalente et performante, Woodline s’intègre harmonieusement à tous les espaces intérieurs.</t>
  </si>
  <si>
    <t>Biondo select</t>
  </si>
  <si>
    <t>CRL120</t>
  </si>
  <si>
    <t>8055493224831</t>
  </si>
  <si>
    <t>Biondo vivace</t>
  </si>
  <si>
    <t>CRL121</t>
  </si>
  <si>
    <t>8055493224848</t>
  </si>
  <si>
    <t>Biondo rustico</t>
  </si>
  <si>
    <t>CRL122</t>
  </si>
  <si>
    <t>8055493224855</t>
  </si>
  <si>
    <t>Naturale select</t>
  </si>
  <si>
    <t>CRL123</t>
  </si>
  <si>
    <t>8055493224862</t>
  </si>
  <si>
    <t>Naturale vivace</t>
  </si>
  <si>
    <t>CRL124</t>
  </si>
  <si>
    <t>8055493224879</t>
  </si>
  <si>
    <t>Naturale rustico</t>
  </si>
  <si>
    <t>CRL125</t>
  </si>
  <si>
    <t>8055493224886</t>
  </si>
  <si>
    <t>Miele select</t>
  </si>
  <si>
    <t>CRL126</t>
  </si>
  <si>
    <t>8055493224893</t>
  </si>
  <si>
    <t>Miele vivace</t>
  </si>
  <si>
    <t>CRL127</t>
  </si>
  <si>
    <t>8055493224909</t>
  </si>
  <si>
    <t>Miele rustico</t>
  </si>
  <si>
    <t>Carrelage effet marbre CALACATTA</t>
  </si>
  <si>
    <t>CRL053</t>
  </si>
  <si>
    <t>JOLIE</t>
  </si>
  <si>
    <t>8055493130019</t>
  </si>
  <si>
    <t>La série CALACATTA  est un aspect marbre rectifié proposée en deux formats.
Sa finition mate satinée et ses nuances dorées sur un fond blanc lui confère une ambiance luxueuse, épurée et élégante.
Idéal pour des lieux de vie spacieux ou l’élégance prime, le Calacatta Gold ne laissera pas vos visiteurs indifférents.</t>
  </si>
  <si>
    <t>Calacatta</t>
  </si>
  <si>
    <t>Carrelage effet marbre LINCOLN</t>
  </si>
  <si>
    <t>CRL054</t>
  </si>
  <si>
    <t>8055493130026</t>
  </si>
  <si>
    <t>Avec la collection LINCOLN, la beauté classique du marbre, avec ses veines subtiles et son éclat naturel, est parfaitement reproduite. Ce design apporte une touche de luxe et de sophistication à n'importe quelle pièce.</t>
  </si>
  <si>
    <t>Carrelage effet marbre TUNDRA LITE</t>
  </si>
  <si>
    <t>CRL055</t>
  </si>
  <si>
    <t>8055493130033</t>
  </si>
  <si>
    <t>Le carrelage effet marbre TUNDRA LITE combine l’élégance du marbre à la résistance du grès cérame. Avec ses nuances douces et raffinées, il apporte une touche de sophistication aux espaces modernes.</t>
  </si>
  <si>
    <t>Carrelage effet marbre PIETRA GREY</t>
  </si>
  <si>
    <t>CRL056</t>
  </si>
  <si>
    <t>8055493130040</t>
  </si>
  <si>
    <t>Le carrelage effet marbre PIETRA GREY allie la beauté du marbre naturel à la robustesse du grès cérame. Ses teintes profondes et ses fines veinures apportent une élégance sobre et contemporaine à tout espace.</t>
  </si>
  <si>
    <t>CRL075</t>
  </si>
  <si>
    <t>8055493123103</t>
  </si>
  <si>
    <t>Carrelage effet marbre CALACATTA ANTICA</t>
  </si>
  <si>
    <t>CRL076</t>
  </si>
  <si>
    <t>8055493123165</t>
  </si>
  <si>
    <t>Calacatta Antica</t>
  </si>
  <si>
    <t>CRL077</t>
  </si>
  <si>
    <t>8055493123226</t>
  </si>
  <si>
    <t>CRL078</t>
  </si>
  <si>
    <t>8055493123288</t>
  </si>
  <si>
    <t>CRL079</t>
  </si>
  <si>
    <t>8055493123349</t>
  </si>
  <si>
    <t>Carrelage effet marbre VERDE ALPI</t>
  </si>
  <si>
    <t>CRL080</t>
  </si>
  <si>
    <t>8055493182490</t>
  </si>
  <si>
    <t>Le carrelage effet marbre VERDI ALPI associe le charme du marbre naturel à la durabilité du grès cérame. Ses nuances vertes profondes et ses veinures subtiles apportent une touche d'élégance et de caractère aux intérieurs.</t>
  </si>
  <si>
    <t>CRL221</t>
  </si>
  <si>
    <t>8055493206141</t>
  </si>
  <si>
    <t>CRL222</t>
  </si>
  <si>
    <t>8055493208022</t>
  </si>
  <si>
    <t>CRL223</t>
  </si>
  <si>
    <t>8055493208039</t>
  </si>
  <si>
    <t>CRL224</t>
  </si>
  <si>
    <t>8055493208053</t>
  </si>
  <si>
    <t>CRL225</t>
  </si>
  <si>
    <t>8055493208046</t>
  </si>
  <si>
    <t>CRL245</t>
  </si>
  <si>
    <t>8055493123097</t>
  </si>
  <si>
    <t>CRL246</t>
  </si>
  <si>
    <t>8055493123158</t>
  </si>
  <si>
    <t>CRL247</t>
  </si>
  <si>
    <t>8055493123219</t>
  </si>
  <si>
    <t>CRL248</t>
  </si>
  <si>
    <t>8055493123271</t>
  </si>
  <si>
    <t>CRL249</t>
  </si>
  <si>
    <t>8055493123332</t>
  </si>
  <si>
    <t>CRL250</t>
  </si>
  <si>
    <t>8055493123387</t>
  </si>
  <si>
    <t>Carrelage effet bois KOOL</t>
  </si>
  <si>
    <t>CRL111</t>
  </si>
  <si>
    <t>KAO</t>
  </si>
  <si>
    <t>8055493192703</t>
  </si>
  <si>
    <t>La collection KOOL revisite le charme du parquet traditionnel en reproduisant fidèlement ses textures, ses nuances et sa surface légèrement cirée. Chaque détail a été soigneusement travaillé pour restituer toute l'authenticité du bois naturel.</t>
  </si>
  <si>
    <t>Hazelnut</t>
  </si>
  <si>
    <t>CRL112</t>
  </si>
  <si>
    <t>8055493192710</t>
  </si>
  <si>
    <t>Spice</t>
  </si>
  <si>
    <t>CRL113</t>
  </si>
  <si>
    <t>8055493192734</t>
  </si>
  <si>
    <t>Dew</t>
  </si>
  <si>
    <t>CRL114</t>
  </si>
  <si>
    <t>8055493192741</t>
  </si>
  <si>
    <t>Charamel</t>
  </si>
  <si>
    <t>CRL115</t>
  </si>
  <si>
    <t>8055493192758</t>
  </si>
  <si>
    <t>Cocoa</t>
  </si>
  <si>
    <t>CRL116</t>
  </si>
  <si>
    <t>8055493195650</t>
  </si>
  <si>
    <t>Hazelnut raw</t>
  </si>
  <si>
    <t>CRL117</t>
  </si>
  <si>
    <t>8055493195667</t>
  </si>
  <si>
    <t>Caramal raw</t>
  </si>
  <si>
    <t>CRL118</t>
  </si>
  <si>
    <t>8055493195674</t>
  </si>
  <si>
    <t>Spice raw</t>
  </si>
  <si>
    <t>Carrelage effet pierre ROCK</t>
  </si>
  <si>
    <t>CRL169</t>
  </si>
  <si>
    <t>KLIFF</t>
  </si>
  <si>
    <t>8435311526215</t>
  </si>
  <si>
    <t>Une rencontre entre le look industriel et la beauté de la pierre naturelle. ROCK fait de la subtilité presque une forme d'art.</t>
  </si>
  <si>
    <t>CRL170</t>
  </si>
  <si>
    <t>8435311526369</t>
  </si>
  <si>
    <t>CRL171</t>
  </si>
  <si>
    <t>8445583214994</t>
  </si>
  <si>
    <t>CRL172</t>
  </si>
  <si>
    <t>8445583215083</t>
  </si>
  <si>
    <t>Greige</t>
  </si>
  <si>
    <t>CRL270</t>
  </si>
  <si>
    <t>8445583186857</t>
  </si>
  <si>
    <t>CRL271</t>
  </si>
  <si>
    <t>8445583186864</t>
  </si>
  <si>
    <t>CRL272</t>
  </si>
  <si>
    <t>8445583187373</t>
  </si>
  <si>
    <t>CRL273</t>
  </si>
  <si>
    <t>8445583187380</t>
  </si>
  <si>
    <t>CRL377</t>
  </si>
  <si>
    <t>8445583299540</t>
  </si>
  <si>
    <t>CRL378</t>
  </si>
  <si>
    <t>8445583299557</t>
  </si>
  <si>
    <t>CRL379</t>
  </si>
  <si>
    <t>8445583299564</t>
  </si>
  <si>
    <t>CRL380</t>
  </si>
  <si>
    <t>8445583299588</t>
  </si>
  <si>
    <t>Carrelage effet travertin MYKONOS</t>
  </si>
  <si>
    <t>CRL558</t>
  </si>
  <si>
    <t>LONDON</t>
  </si>
  <si>
    <t>8430376386934</t>
  </si>
  <si>
    <t>La collection MYKONOS combine l'élégance classique du travertin avec une finition moderne et épurée. Sa teinte beige douce et sa surface mate apportent une touche naturelle et chaleureuse à vos espaces, tout en offrant une texture subtile qui imite parfaitement la pierre. Idéal pour les salons, cuisines, ou salles de bains, il crée une ambiance raffinée et intemporelle. Avec ses grandes dimensions, ce carrelage offre un effet continu, tout en étant facile à entretenir et résistant, pour un rendu esthétique et durable.</t>
  </si>
  <si>
    <t>Mur/sol</t>
  </si>
  <si>
    <t>CRL559</t>
  </si>
  <si>
    <t>8430376386651</t>
  </si>
  <si>
    <t>CRL560</t>
  </si>
  <si>
    <t>8430376389584</t>
  </si>
  <si>
    <t>Carrelage effet marbre MACCHIA</t>
  </si>
  <si>
    <t>CRL415</t>
  </si>
  <si>
    <t>MACCHIA ANTICA</t>
  </si>
  <si>
    <t>8055061299254</t>
  </si>
  <si>
    <t>L'effet marbre MACCHIA ANTICA allie une base blanche élégante à des veines dorées et Corten, offrant profondeur et raffinement. Inspiré du marbre de Carrare, il sublime murs, sols et plans de travail avec une touche exclusive et sophistiquée.</t>
  </si>
  <si>
    <t>Macchia Antica</t>
  </si>
  <si>
    <t>CRL416</t>
  </si>
  <si>
    <t>8055061294259</t>
  </si>
  <si>
    <t>Carrelage effet Marbre MARQUINA</t>
  </si>
  <si>
    <t>CRL066</t>
  </si>
  <si>
    <t>MARQUINA</t>
  </si>
  <si>
    <t>8435311592425</t>
  </si>
  <si>
    <t>Cette céramique effet marbre noir, rehaussée de fines veines blanches, apporte élégance et raffinement à tout espace. Parfaite pour sols, murs et plans de travail, elle se décline en trois formats et en finitions polie et mate pour une adaptation polyvalente.</t>
  </si>
  <si>
    <t>CRL234</t>
  </si>
  <si>
    <t>8445583187946</t>
  </si>
  <si>
    <t>CRL291</t>
  </si>
  <si>
    <t>8445583187953</t>
  </si>
  <si>
    <t>Carrelage effet Béton CITY</t>
  </si>
  <si>
    <t>CRL188</t>
  </si>
  <si>
    <t>MIDTOWN</t>
  </si>
  <si>
    <t>8445583224313</t>
  </si>
  <si>
    <t>CITY est une collection de carrelage au style urbain, inspirée de la texture du ciment. Elle allie design et performance pour s’adapter à tous les projets, avec trois formats et quatre teintes en finition mate</t>
  </si>
  <si>
    <t>CRL189</t>
  </si>
  <si>
    <t>8445583318623</t>
  </si>
  <si>
    <t>CRL190</t>
  </si>
  <si>
    <t>8445583318968</t>
  </si>
  <si>
    <t>CRL191</t>
  </si>
  <si>
    <t>8445583222357</t>
  </si>
  <si>
    <t>CRL285</t>
  </si>
  <si>
    <t>8445583318937</t>
  </si>
  <si>
    <t>CRL286</t>
  </si>
  <si>
    <t>8445583318944</t>
  </si>
  <si>
    <t>CRL287</t>
  </si>
  <si>
    <t>8445583184563</t>
  </si>
  <si>
    <t>CRL288</t>
  </si>
  <si>
    <t>8445583318951</t>
  </si>
  <si>
    <t>CRL396</t>
  </si>
  <si>
    <t>8445583298949</t>
  </si>
  <si>
    <t>CRL397</t>
  </si>
  <si>
    <t>8445583298925</t>
  </si>
  <si>
    <t>CRL398</t>
  </si>
  <si>
    <t>8445583298901</t>
  </si>
  <si>
    <t>CRL399</t>
  </si>
  <si>
    <t>8445583298888</t>
  </si>
  <si>
    <t>Carrelage effet pierre PIETRA</t>
  </si>
  <si>
    <t>CRL040</t>
  </si>
  <si>
    <t>MOTLEY</t>
  </si>
  <si>
    <t>8055493151366</t>
  </si>
  <si>
    <t>La collection PIETRA combine l’élégance des ardoises fendues, avec leurs veines pâles et leurs tons doux, à la richesse des pierres sédimentaires aux nuances plus marquées. Ce mélange unique crée un style inédit, inspiré de la nature mais sublimé par le design italien.</t>
  </si>
  <si>
    <t>Rio</t>
  </si>
  <si>
    <t>CRL041</t>
  </si>
  <si>
    <t>8055493151373</t>
  </si>
  <si>
    <t>Monterey</t>
  </si>
  <si>
    <t>CRL042</t>
  </si>
  <si>
    <t>8055493151380</t>
  </si>
  <si>
    <t>Wembley</t>
  </si>
  <si>
    <t>CRL043</t>
  </si>
  <si>
    <t>8055493151397</t>
  </si>
  <si>
    <t>Altamont</t>
  </si>
  <si>
    <t>CRL044</t>
  </si>
  <si>
    <t>8055493158129</t>
  </si>
  <si>
    <t>Woodstock</t>
  </si>
  <si>
    <t>CRL045</t>
  </si>
  <si>
    <t>8055493158136</t>
  </si>
  <si>
    <t>Liverpool</t>
  </si>
  <si>
    <t>CRL205</t>
  </si>
  <si>
    <t>8055493194585</t>
  </si>
  <si>
    <t>CRL206</t>
  </si>
  <si>
    <t>8055493194592</t>
  </si>
  <si>
    <t>CRL207</t>
  </si>
  <si>
    <t>8055493194684</t>
  </si>
  <si>
    <t>CRL208</t>
  </si>
  <si>
    <t>8055493204420</t>
  </si>
  <si>
    <t>CRL209</t>
  </si>
  <si>
    <t>8055493204437</t>
  </si>
  <si>
    <t>CRL210</t>
  </si>
  <si>
    <t>8055493204444</t>
  </si>
  <si>
    <t>CRL360</t>
  </si>
  <si>
    <t>8055493233833</t>
  </si>
  <si>
    <t>CRL361</t>
  </si>
  <si>
    <t>8055493233840</t>
  </si>
  <si>
    <t>CRL362</t>
  </si>
  <si>
    <t>8055493233857</t>
  </si>
  <si>
    <t>CRL363</t>
  </si>
  <si>
    <t>8055493233864</t>
  </si>
  <si>
    <t>CRL364</t>
  </si>
  <si>
    <t>8055493233871</t>
  </si>
  <si>
    <t>CRL365</t>
  </si>
  <si>
    <t>8055493233888</t>
  </si>
  <si>
    <t>Carrelage effet bois NEPAL</t>
  </si>
  <si>
    <t>CRL143</t>
  </si>
  <si>
    <t>NEBRASKA</t>
  </si>
  <si>
    <t>8445583190076</t>
  </si>
  <si>
    <t>La collection NEPAL effet bois se distingue par ses teintes neutres et son charme chaleureux, idéal pour tous les intérieurs. Sa polyvalence et son esthétique naturelle en font un choix parfait pour créer des espaces à la fois élégants et accueillants</t>
  </si>
  <si>
    <t>30x120 cm</t>
  </si>
  <si>
    <t>CRL144</t>
  </si>
  <si>
    <t>8445583231090</t>
  </si>
  <si>
    <t>CRL145</t>
  </si>
  <si>
    <t>8445583223286</t>
  </si>
  <si>
    <t>CRL146</t>
  </si>
  <si>
    <t>8445583223293</t>
  </si>
  <si>
    <t>Elm</t>
  </si>
  <si>
    <t>CRL147</t>
  </si>
  <si>
    <t>8445583223309</t>
  </si>
  <si>
    <t>Cherry</t>
  </si>
  <si>
    <t>Carrelage effet Béton NEXT</t>
  </si>
  <si>
    <t>CRL008</t>
  </si>
  <si>
    <t>NEXUS</t>
  </si>
  <si>
    <t>8445583316636</t>
  </si>
  <si>
    <t>NEXT est une collection effet béton d’une grande polyvalence, grâce à la neutralité de ses motifs. Proposée dans une variété de formats et de teintes, elle s’adapte harmonieusement à tous les projets d’architecture et de design d’intérieur. Alliant simplicité et intemporalité, cette série incarne parfaitement le minimalisme et l’universalité.</t>
  </si>
  <si>
    <t>CRL009</t>
  </si>
  <si>
    <t>8445583316674</t>
  </si>
  <si>
    <t>Blanc Neige</t>
  </si>
  <si>
    <t>CRL010</t>
  </si>
  <si>
    <t>8445583316704</t>
  </si>
  <si>
    <t xml:space="preserve">Gris </t>
  </si>
  <si>
    <t>CRL011</t>
  </si>
  <si>
    <t>8445583316728</t>
  </si>
  <si>
    <t>CRL159</t>
  </si>
  <si>
    <t>8435311543946</t>
  </si>
  <si>
    <t>CRL160</t>
  </si>
  <si>
    <t>8435311543953</t>
  </si>
  <si>
    <t>CRL161</t>
  </si>
  <si>
    <t>8445583214468</t>
  </si>
  <si>
    <t>CRL162</t>
  </si>
  <si>
    <t>8445583214567</t>
  </si>
  <si>
    <t>Blanc neige</t>
  </si>
  <si>
    <t>CRL260</t>
  </si>
  <si>
    <t>8445583186888</t>
  </si>
  <si>
    <t>CRL261</t>
  </si>
  <si>
    <t>8445583188271</t>
  </si>
  <si>
    <t>http://example.com/parquet1.jpg</t>
  </si>
  <si>
    <t>http://example.com/parquet2.jpg</t>
  </si>
  <si>
    <t>CRL262</t>
  </si>
  <si>
    <t>8445583188325</t>
  </si>
  <si>
    <t>http://example.com/meuble1.jpg</t>
  </si>
  <si>
    <t>http://example.com/meuble2.jpg</t>
  </si>
  <si>
    <t>http://example.com/meuble3.jpg</t>
  </si>
  <si>
    <t>CRL263</t>
  </si>
  <si>
    <t>8445583213522</t>
  </si>
  <si>
    <t>CRL373</t>
  </si>
  <si>
    <t>8445583299342</t>
  </si>
  <si>
    <t>CRL374</t>
  </si>
  <si>
    <t>8445583298789</t>
  </si>
  <si>
    <t>CRL375</t>
  </si>
  <si>
    <t>8445583299922</t>
  </si>
  <si>
    <t>CRL376</t>
  </si>
  <si>
    <t>8445583299939</t>
  </si>
  <si>
    <t>Carrelage effet pierre ROCK'N ROLL</t>
  </si>
  <si>
    <t>CRL057</t>
  </si>
  <si>
    <t>NORR</t>
  </si>
  <si>
    <t>8055493071039</t>
  </si>
  <si>
    <t>La collection ROCK'N'ROLL s'élargit avec des nuances plus audacieuses, du marron au bleu en passant par le gris foncé. Une interprétation créative des éléments naturels, inspirée des tendances du design  italien.</t>
  </si>
  <si>
    <t>Melk</t>
  </si>
  <si>
    <t>CRL058</t>
  </si>
  <si>
    <t>8055493071053</t>
  </si>
  <si>
    <t>Farge</t>
  </si>
  <si>
    <t>CRL059</t>
  </si>
  <si>
    <t>8055493122502</t>
  </si>
  <si>
    <t>Hav</t>
  </si>
  <si>
    <t>CRL060</t>
  </si>
  <si>
    <t>8055493122533</t>
  </si>
  <si>
    <t>Oken</t>
  </si>
  <si>
    <t>CRL061</t>
  </si>
  <si>
    <t>8055493122564</t>
  </si>
  <si>
    <t>Grus</t>
  </si>
  <si>
    <t>CRL062</t>
  </si>
  <si>
    <t>8032862201167</t>
  </si>
  <si>
    <t>Vit</t>
  </si>
  <si>
    <t>CRL063</t>
  </si>
  <si>
    <t>8032862201174</t>
  </si>
  <si>
    <t>Gra</t>
  </si>
  <si>
    <t>CRL064</t>
  </si>
  <si>
    <t>8032862201181</t>
  </si>
  <si>
    <t>Svart</t>
  </si>
  <si>
    <t>CRL226</t>
  </si>
  <si>
    <t>8055493016344</t>
  </si>
  <si>
    <t>CRL227</t>
  </si>
  <si>
    <t>8055493016351</t>
  </si>
  <si>
    <t>CRL228</t>
  </si>
  <si>
    <t>8055493069357</t>
  </si>
  <si>
    <t>CRL229</t>
  </si>
  <si>
    <t>8055493076164</t>
  </si>
  <si>
    <t>CRL230</t>
  </si>
  <si>
    <t>8055493123677</t>
  </si>
  <si>
    <t>CRL231</t>
  </si>
  <si>
    <t>8055493123691</t>
  </si>
  <si>
    <t>CRL232</t>
  </si>
  <si>
    <t>8055493123684</t>
  </si>
  <si>
    <t>Carrelage effet pierre NOR</t>
  </si>
  <si>
    <t>CRL180</t>
  </si>
  <si>
    <t>NORWICH</t>
  </si>
  <si>
    <t>8445583215557</t>
  </si>
  <si>
    <t>NOR est une collection où la céramique se transforme en une toile parfaite pour sublimer les projets architecturaux contemporains. Ses textures, enrichies de subtiles nuances chromatiques, offrent une esthétique unique et raffinée.</t>
  </si>
  <si>
    <t>CRL181</t>
  </si>
  <si>
    <t>8445583215571</t>
  </si>
  <si>
    <t>CRL182</t>
  </si>
  <si>
    <t>8445583215595</t>
  </si>
  <si>
    <t>CRL183</t>
  </si>
  <si>
    <t>8445583215618</t>
  </si>
  <si>
    <t>CRL184</t>
  </si>
  <si>
    <t>8445583215632</t>
  </si>
  <si>
    <t>CRL277</t>
  </si>
  <si>
    <t>8445583190007</t>
  </si>
  <si>
    <t>CRL278</t>
  </si>
  <si>
    <t>8445583156539</t>
  </si>
  <si>
    <t>CRL279</t>
  </si>
  <si>
    <t>8445583318753</t>
  </si>
  <si>
    <t>CRL280</t>
  </si>
  <si>
    <t>8445583221329</t>
  </si>
  <si>
    <t>CRL281</t>
  </si>
  <si>
    <t>8445583156522</t>
  </si>
  <si>
    <t>CRL388</t>
  </si>
  <si>
    <t>8445583299793</t>
  </si>
  <si>
    <t>CRL389</t>
  </si>
  <si>
    <t>8445583299809</t>
  </si>
  <si>
    <t>CRL390</t>
  </si>
  <si>
    <t>8445583299823</t>
  </si>
  <si>
    <t>CRL391</t>
  </si>
  <si>
    <t>8445583299854</t>
  </si>
  <si>
    <t>CRL392</t>
  </si>
  <si>
    <t>8445583299878</t>
  </si>
  <si>
    <t>Carrelage effet marbre ONYCE</t>
  </si>
  <si>
    <t>CRL070</t>
  </si>
  <si>
    <t>ONYCE</t>
  </si>
  <si>
    <t>8055493224473</t>
  </si>
  <si>
    <t>La collection ONYCE réinterprète l’élégance intemporelle de l’onyx en surfaces en grès cérame, alliant raffinement naturel et praticité moderne. Grâce à ses différentes finitions et couleurs, elle offre une solution polyvalente et durable, s’intégrant harmonieusement aussi bien dans les espaces contemporains que classiques.</t>
  </si>
  <si>
    <t>Coconut</t>
  </si>
  <si>
    <t>CRL071</t>
  </si>
  <si>
    <t>8055493224534</t>
  </si>
  <si>
    <t>Lead grey</t>
  </si>
  <si>
    <t>CRL072</t>
  </si>
  <si>
    <t>8055493224589</t>
  </si>
  <si>
    <t>Champagne</t>
  </si>
  <si>
    <t>CRL073</t>
  </si>
  <si>
    <t>8055493224633</t>
  </si>
  <si>
    <t>Rose</t>
  </si>
  <si>
    <t>CRL074</t>
  </si>
  <si>
    <t>8055493239743</t>
  </si>
  <si>
    <t>Icing</t>
  </si>
  <si>
    <t>CRL084</t>
  </si>
  <si>
    <t>8055493225029</t>
  </si>
  <si>
    <t>Soft</t>
  </si>
  <si>
    <t>CRL085</t>
  </si>
  <si>
    <t>8055493225036</t>
  </si>
  <si>
    <t>CRL086</t>
  </si>
  <si>
    <t>8055493225043</t>
  </si>
  <si>
    <t>CRL087</t>
  </si>
  <si>
    <t>8055493225050</t>
  </si>
  <si>
    <t>CRL088</t>
  </si>
  <si>
    <t>8055493239767</t>
  </si>
  <si>
    <t>CRL238</t>
  </si>
  <si>
    <t>8055493225159</t>
  </si>
  <si>
    <t>CRL239</t>
  </si>
  <si>
    <t>8055493225180</t>
  </si>
  <si>
    <t>CRL240</t>
  </si>
  <si>
    <t>8055493225210</t>
  </si>
  <si>
    <t>CRL241</t>
  </si>
  <si>
    <t>8055493225241</t>
  </si>
  <si>
    <t>CRL242</t>
  </si>
  <si>
    <t>8055493225678</t>
  </si>
  <si>
    <t>Argan</t>
  </si>
  <si>
    <t>CRL243</t>
  </si>
  <si>
    <t>8055493239750</t>
  </si>
  <si>
    <t>CRL244</t>
  </si>
  <si>
    <t>Absinthe</t>
  </si>
  <si>
    <t>CRL254</t>
  </si>
  <si>
    <t>8055493225166</t>
  </si>
  <si>
    <t>CRL255</t>
  </si>
  <si>
    <t>8055493225197</t>
  </si>
  <si>
    <t>CRL256</t>
  </si>
  <si>
    <t>8055493225227</t>
  </si>
  <si>
    <t>CRL257</t>
  </si>
  <si>
    <t>8055493225258</t>
  </si>
  <si>
    <t>CRL258</t>
  </si>
  <si>
    <t>8055493230672</t>
  </si>
  <si>
    <t>CRL259</t>
  </si>
  <si>
    <t>8055493239774</t>
  </si>
  <si>
    <t>Carrelage effet bois CHEVRON</t>
  </si>
  <si>
    <t>CRL608</t>
  </si>
  <si>
    <t>OPERA</t>
  </si>
  <si>
    <t>8023484058857</t>
  </si>
  <si>
    <t>L’effet chevron, avec son motif en V caractéristique, apporte rythme et élégance aux surfaces. Inspiré du parquet traditionnel, il crée une illusion de mouvement et de profondeur, parfait pour agrandir visuellement un espace. Polyvalent, il s’intègre aussi bien dans des intérieurs classiques que contemporains, offrant un rendu raffiné et structuré.</t>
  </si>
  <si>
    <t>10x60 cm</t>
  </si>
  <si>
    <t>CRL609</t>
  </si>
  <si>
    <t>8023484058864</t>
  </si>
  <si>
    <t>Gold</t>
  </si>
  <si>
    <t>CRL610</t>
  </si>
  <si>
    <t>8023484058871</t>
  </si>
  <si>
    <t>CRL611</t>
  </si>
  <si>
    <t>8023484058888</t>
  </si>
  <si>
    <t>CRL612</t>
  </si>
  <si>
    <t>8023484058895</t>
  </si>
  <si>
    <t>Carrelage effet bois WOUDH</t>
  </si>
  <si>
    <t>CRL104</t>
  </si>
  <si>
    <t>OUDH</t>
  </si>
  <si>
    <t>8055493140735</t>
  </si>
  <si>
    <t>La collection WOUDH est un effet bois rectifié décliné en sept coloris naturels, du crème à l'olive, en passant par des teintes boisées intemporelles.</t>
  </si>
  <si>
    <t>Copahu</t>
  </si>
  <si>
    <t>CRL105</t>
  </si>
  <si>
    <t>8055493140742</t>
  </si>
  <si>
    <t>Elem</t>
  </si>
  <si>
    <t>CRL106</t>
  </si>
  <si>
    <t>8055493140759</t>
  </si>
  <si>
    <t>Jinkoh</t>
  </si>
  <si>
    <t>CRL107</t>
  </si>
  <si>
    <t>8055493140766</t>
  </si>
  <si>
    <t>Pino</t>
  </si>
  <si>
    <t>CRL108</t>
  </si>
  <si>
    <t>8055493140773</t>
  </si>
  <si>
    <t>Laos</t>
  </si>
  <si>
    <t>CRL109</t>
  </si>
  <si>
    <t>8055493140780</t>
  </si>
  <si>
    <t>Lodano</t>
  </si>
  <si>
    <t>CRL110</t>
  </si>
  <si>
    <t>8055493140797</t>
  </si>
  <si>
    <t>Cedro</t>
  </si>
  <si>
    <t>CRL128</t>
  </si>
  <si>
    <t>8055493144634</t>
  </si>
  <si>
    <t>25x150 cm</t>
  </si>
  <si>
    <t>CRL129</t>
  </si>
  <si>
    <t>8055493144641</t>
  </si>
  <si>
    <t>CRL130</t>
  </si>
  <si>
    <t>8055493144658</t>
  </si>
  <si>
    <t>CRL131</t>
  </si>
  <si>
    <t>8055493144665</t>
  </si>
  <si>
    <t>CRL132</t>
  </si>
  <si>
    <t>8055493144672</t>
  </si>
  <si>
    <t>CRL133</t>
  </si>
  <si>
    <t>8055493144689</t>
  </si>
  <si>
    <t>CRL134</t>
  </si>
  <si>
    <t>8055493144696</t>
  </si>
  <si>
    <t>Carrelage effet travertin RHODES</t>
  </si>
  <si>
    <t>CRL561</t>
  </si>
  <si>
    <t>PARIS</t>
  </si>
  <si>
    <t>8430376387276</t>
  </si>
  <si>
    <t>La collection RHODES est une interprétation authentique du marbre travertin. Sa texture texturée, agréable au toucher, et ses tons naturels le rendent idéal pour des habitations de style classique ainsi que pour des espaces modernes et contemporains.</t>
  </si>
  <si>
    <t>80x180 cm</t>
  </si>
  <si>
    <t>CRL562</t>
  </si>
  <si>
    <t>8430376385357</t>
  </si>
  <si>
    <t>Carrelage effet Marbre SAHARA</t>
  </si>
  <si>
    <t>CRL018</t>
  </si>
  <si>
    <t>SAHARA</t>
  </si>
  <si>
    <t>8445583316872</t>
  </si>
  <si>
    <t>La collection SAHARA se distingue par son design naturel, mettant en valeur le contraste subtil de veines blanches et dorées qui exaltent l’élégance du marbre ancestral. Avec ses grands formats, elle joue sur la profondeur du noir absolu et la pureté du blanc, créant un effet visuel saisissant. Proposée en finitions mate ou polie, elle apporte une touche de raffinement et de modernité à chaque espace.</t>
  </si>
  <si>
    <t>CRL068</t>
  </si>
  <si>
    <t>8435311530762</t>
  </si>
  <si>
    <t>CRL069</t>
  </si>
  <si>
    <t>8435311580552</t>
  </si>
  <si>
    <t>CRL194</t>
  </si>
  <si>
    <t>8445583319804</t>
  </si>
  <si>
    <t>CRL195</t>
  </si>
  <si>
    <t>8435311534616</t>
  </si>
  <si>
    <t>CRL236</t>
  </si>
  <si>
    <t>8435311530786</t>
  </si>
  <si>
    <t>CRL237</t>
  </si>
  <si>
    <t>8435311542321</t>
  </si>
  <si>
    <t>Faience CROMATICA</t>
  </si>
  <si>
    <t>CRL519</t>
  </si>
  <si>
    <t>SMALL</t>
  </si>
  <si>
    <t>8055061301841</t>
  </si>
  <si>
    <t>La collection CROMATICA met la couleur au centre du design avec un effet aquarelle subtil sur céramique. Disponible en douze teintes brillantes, elle offre une grande diversité de styles à travers ses formats variés.</t>
  </si>
  <si>
    <t>Relief</t>
  </si>
  <si>
    <t>6,5x20 cm</t>
  </si>
  <si>
    <t>Amalfi</t>
  </si>
  <si>
    <t>CRL520</t>
  </si>
  <si>
    <t>8055061302060</t>
  </si>
  <si>
    <t>10x10 cm</t>
  </si>
  <si>
    <t>CRL521</t>
  </si>
  <si>
    <t>8055061301957</t>
  </si>
  <si>
    <t>5,1x16,1 cm</t>
  </si>
  <si>
    <t>CRL522</t>
  </si>
  <si>
    <t>8055061301162</t>
  </si>
  <si>
    <t xml:space="preserve">Beige </t>
  </si>
  <si>
    <t>CRL523</t>
  </si>
  <si>
    <t>8055061301520</t>
  </si>
  <si>
    <t>CRL524</t>
  </si>
  <si>
    <t>8055061301285</t>
  </si>
  <si>
    <t>CRL525</t>
  </si>
  <si>
    <t>8055061301070</t>
  </si>
  <si>
    <t>CRL526</t>
  </si>
  <si>
    <t>8055061301438</t>
  </si>
  <si>
    <t>CRL527</t>
  </si>
  <si>
    <t>8055061301193</t>
  </si>
  <si>
    <t>CRL528</t>
  </si>
  <si>
    <t>8055061301100</t>
  </si>
  <si>
    <t>Emeraude</t>
  </si>
  <si>
    <t>CRL529</t>
  </si>
  <si>
    <t>8055061301469</t>
  </si>
  <si>
    <t>CRL530</t>
  </si>
  <si>
    <t>8055061301223</t>
  </si>
  <si>
    <t>CRL531</t>
  </si>
  <si>
    <t>8055061301155</t>
  </si>
  <si>
    <t>Flamingo</t>
  </si>
  <si>
    <t>CRL532</t>
  </si>
  <si>
    <t>8055061301513</t>
  </si>
  <si>
    <t>CRL533</t>
  </si>
  <si>
    <t>8055061301278</t>
  </si>
  <si>
    <t>CRL534</t>
  </si>
  <si>
    <t>CRL535</t>
  </si>
  <si>
    <t>CRL536</t>
  </si>
  <si>
    <t>8055061302282</t>
  </si>
  <si>
    <t>CRL537</t>
  </si>
  <si>
    <t>8055061301131</t>
  </si>
  <si>
    <t>Bleu clair</t>
  </si>
  <si>
    <t>CRL538</t>
  </si>
  <si>
    <t>8055061301490</t>
  </si>
  <si>
    <t>CRL539</t>
  </si>
  <si>
    <t>8055061301254</t>
  </si>
  <si>
    <t>CRL540</t>
  </si>
  <si>
    <t>8055061301087</t>
  </si>
  <si>
    <t>CRL541</t>
  </si>
  <si>
    <t>8055061301445</t>
  </si>
  <si>
    <t>CRL542</t>
  </si>
  <si>
    <t>8055061301209</t>
  </si>
  <si>
    <t>CRL543</t>
  </si>
  <si>
    <t>8055061301179</t>
  </si>
  <si>
    <t>Ocher</t>
  </si>
  <si>
    <t>CRL544</t>
  </si>
  <si>
    <t>8055061301537</t>
  </si>
  <si>
    <t>CRL545</t>
  </si>
  <si>
    <t>8055061301292</t>
  </si>
  <si>
    <t>CRL546</t>
  </si>
  <si>
    <t>8055061301186</t>
  </si>
  <si>
    <t>Prune</t>
  </si>
  <si>
    <t>CRL547</t>
  </si>
  <si>
    <t>8055061301544</t>
  </si>
  <si>
    <t>CRL548</t>
  </si>
  <si>
    <t>8055061301308</t>
  </si>
  <si>
    <t>CRL549</t>
  </si>
  <si>
    <t>8055061301094</t>
  </si>
  <si>
    <t>Prussian</t>
  </si>
  <si>
    <t>CRL550</t>
  </si>
  <si>
    <t>8055061301452</t>
  </si>
  <si>
    <t>CRL551</t>
  </si>
  <si>
    <t>8055061301216</t>
  </si>
  <si>
    <t>CRL552</t>
  </si>
  <si>
    <t>8055061301124</t>
  </si>
  <si>
    <t>Sage</t>
  </si>
  <si>
    <t>CRL553</t>
  </si>
  <si>
    <t>8055061301483</t>
  </si>
  <si>
    <t>CRL554</t>
  </si>
  <si>
    <t>8055061301247</t>
  </si>
  <si>
    <t>CRL555</t>
  </si>
  <si>
    <t>8055061301148</t>
  </si>
  <si>
    <t>CRL556</t>
  </si>
  <si>
    <t>8055061301506</t>
  </si>
  <si>
    <t>CRL557</t>
  </si>
  <si>
    <t>8055061301261</t>
  </si>
  <si>
    <t>Carrelage effet Marbre STATUARIO</t>
  </si>
  <si>
    <t>CRL016</t>
  </si>
  <si>
    <t>STATUARIO</t>
  </si>
  <si>
    <t>8445583316926</t>
  </si>
  <si>
    <t>La collection STATUARIO s’inspire du marbre éponyme pour habiller les murs avec élégance et raffinement. Ses veines dorées et grises apportent du dynamisme, tandis que les technologies d’impression avancées renforcent son réalisme. Disponible en plusieurs formats et finitions, elle sublime chaque espace.</t>
  </si>
  <si>
    <t>Statuario</t>
  </si>
  <si>
    <t>CRL065</t>
  </si>
  <si>
    <t>8435311597154</t>
  </si>
  <si>
    <t>CRL192</t>
  </si>
  <si>
    <t>8445583322200</t>
  </si>
  <si>
    <t>CRL233</t>
  </si>
  <si>
    <t>8435311500451</t>
  </si>
  <si>
    <t>CRL289</t>
  </si>
  <si>
    <t>8445583187229</t>
  </si>
  <si>
    <t>CRL290</t>
  </si>
  <si>
    <t>8435311515110</t>
  </si>
  <si>
    <t>CRL336</t>
  </si>
  <si>
    <t>8445583217216</t>
  </si>
  <si>
    <t>Carrelage effet marbre MISTIK</t>
  </si>
  <si>
    <t>CRL618</t>
  </si>
  <si>
    <t>SYBIL</t>
  </si>
  <si>
    <t>8023484053258</t>
  </si>
  <si>
    <t>La collection MISTIK, dans la finition polie spéciale et mat, rehausse l'authenticité et l'unicité de la pierre marbrée en reproduisant les veines envoûtantes du grès cérame. Cinq essences différentes, d'une rare richesse chromatique, assure un résultat esthétique maximal.</t>
  </si>
  <si>
    <t xml:space="preserve">Beige                                             </t>
  </si>
  <si>
    <t>CRL619</t>
  </si>
  <si>
    <t>8023484063073</t>
  </si>
  <si>
    <t xml:space="preserve">Black                                             </t>
  </si>
  <si>
    <t>CRL620</t>
  </si>
  <si>
    <t>8023484053302</t>
  </si>
  <si>
    <t xml:space="preserve">Ivory                                             </t>
  </si>
  <si>
    <t>CRL621</t>
  </si>
  <si>
    <t>8023484053333</t>
  </si>
  <si>
    <t xml:space="preserve">Light Grey                                        </t>
  </si>
  <si>
    <t>CRL622</t>
  </si>
  <si>
    <t>8023484053357</t>
  </si>
  <si>
    <t xml:space="preserve">Silver                                            </t>
  </si>
  <si>
    <t>CRL623</t>
  </si>
  <si>
    <t>8023484053241</t>
  </si>
  <si>
    <t>CRL624</t>
  </si>
  <si>
    <t>8023484053272</t>
  </si>
  <si>
    <t>CRL625</t>
  </si>
  <si>
    <t>8023484053296</t>
  </si>
  <si>
    <t>CRL626</t>
  </si>
  <si>
    <t>8023484053326</t>
  </si>
  <si>
    <t>CRL627</t>
  </si>
  <si>
    <t>8023484063080</t>
  </si>
  <si>
    <t>CRL628</t>
  </si>
  <si>
    <t>8023484062564</t>
  </si>
  <si>
    <t>CRL629</t>
  </si>
  <si>
    <t>8023484058659</t>
  </si>
  <si>
    <t>CRL630</t>
  </si>
  <si>
    <t>8023484053203</t>
  </si>
  <si>
    <t>CRL631</t>
  </si>
  <si>
    <t>8023484053227</t>
  </si>
  <si>
    <t>CRL632</t>
  </si>
  <si>
    <t>8023484062595</t>
  </si>
  <si>
    <t>CRL633</t>
  </si>
  <si>
    <t>8023484053388</t>
  </si>
  <si>
    <t>CRL634</t>
  </si>
  <si>
    <t>8023484053418</t>
  </si>
  <si>
    <t>CRL635</t>
  </si>
  <si>
    <t>8023484053449</t>
  </si>
  <si>
    <t>CRL636</t>
  </si>
  <si>
    <t>8023484053470</t>
  </si>
  <si>
    <t>CRL637</t>
  </si>
  <si>
    <t>8023484053500</t>
  </si>
  <si>
    <t>CRL638</t>
  </si>
  <si>
    <t>8023484053371</t>
  </si>
  <si>
    <t>CRL639</t>
  </si>
  <si>
    <t>8023484053401</t>
  </si>
  <si>
    <t>CRL640</t>
  </si>
  <si>
    <t>8023484053432</t>
  </si>
  <si>
    <t>CRL641</t>
  </si>
  <si>
    <t>8023484053463</t>
  </si>
  <si>
    <t>CRL642</t>
  </si>
  <si>
    <t>8023484053494</t>
  </si>
  <si>
    <t>CRL643</t>
  </si>
  <si>
    <t>8023484062557</t>
  </si>
  <si>
    <t>CRL644</t>
  </si>
  <si>
    <t>8023484062571</t>
  </si>
  <si>
    <t>CRL645</t>
  </si>
  <si>
    <t>8023484053197</t>
  </si>
  <si>
    <t>CRL646</t>
  </si>
  <si>
    <t>8023484062601</t>
  </si>
  <si>
    <t>CRL647</t>
  </si>
  <si>
    <t>8023484062588</t>
  </si>
  <si>
    <t>Faience FUN Biscuit</t>
  </si>
  <si>
    <t>CRL421</t>
  </si>
  <si>
    <t>UP</t>
  </si>
  <si>
    <t>8055061308499</t>
  </si>
  <si>
    <t>La collection FUN sublime les surfaces avec des effets géométriques en relief, où ombre et lumière se mêlent pour créer une esthétique sculpturale unique. Déclinée en deux formats et deux finitions (mate et brillante), ainsi qu'en sept couleurs élégantes , elle offre une grande liberté de composition. Polyvalente et raffinée, cette série de revêtements muraux modernes apporte une touche distinctive et élégante à tout intérieur.</t>
  </si>
  <si>
    <t>Avana</t>
  </si>
  <si>
    <t>CRL422</t>
  </si>
  <si>
    <t>8055061308420</t>
  </si>
  <si>
    <t>CRL423</t>
  </si>
  <si>
    <t>8055061308468</t>
  </si>
  <si>
    <t>CRL424</t>
  </si>
  <si>
    <t>8055061308390</t>
  </si>
  <si>
    <t>CRL425</t>
  </si>
  <si>
    <t>8055061308512</t>
  </si>
  <si>
    <t>Bleu</t>
  </si>
  <si>
    <t>CRL426</t>
  </si>
  <si>
    <t>8055061308444</t>
  </si>
  <si>
    <t>CRL427</t>
  </si>
  <si>
    <t>8055061308482</t>
  </si>
  <si>
    <t>Bone</t>
  </si>
  <si>
    <t>CRL428</t>
  </si>
  <si>
    <t>8055061308413</t>
  </si>
  <si>
    <t>CRL429</t>
  </si>
  <si>
    <t>8055061308505</t>
  </si>
  <si>
    <t>CRL430</t>
  </si>
  <si>
    <t>8055061308437</t>
  </si>
  <si>
    <t>CRL431</t>
  </si>
  <si>
    <t>8055061308475</t>
  </si>
  <si>
    <t>CRL432</t>
  </si>
  <si>
    <t>8055061308406</t>
  </si>
  <si>
    <t>CRL433</t>
  </si>
  <si>
    <t>8055061308451</t>
  </si>
  <si>
    <t>CRL434</t>
  </si>
  <si>
    <t>8055061308383</t>
  </si>
  <si>
    <t>Faience FUN 3D WAVY</t>
  </si>
  <si>
    <t>CRL435</t>
  </si>
  <si>
    <t>8055061309014</t>
  </si>
  <si>
    <t>CRL436</t>
  </si>
  <si>
    <t>8055061308949</t>
  </si>
  <si>
    <t>CRL437</t>
  </si>
  <si>
    <t>8055061308987</t>
  </si>
  <si>
    <t>CRL438</t>
  </si>
  <si>
    <t>8055061308918</t>
  </si>
  <si>
    <t>CRL439</t>
  </si>
  <si>
    <t>8055061309038</t>
  </si>
  <si>
    <t>CRL440</t>
  </si>
  <si>
    <t>8055061308963</t>
  </si>
  <si>
    <t>CRL441</t>
  </si>
  <si>
    <t>8055061309007</t>
  </si>
  <si>
    <t>CRL442</t>
  </si>
  <si>
    <t>8055061308932</t>
  </si>
  <si>
    <t>CRL443</t>
  </si>
  <si>
    <t>8055061309021</t>
  </si>
  <si>
    <t>CRL444</t>
  </si>
  <si>
    <t>8055061308956</t>
  </si>
  <si>
    <t>CRL445</t>
  </si>
  <si>
    <t>8055061308994</t>
  </si>
  <si>
    <t>CRL446</t>
  </si>
  <si>
    <t>8055061308925</t>
  </si>
  <si>
    <t>CRL447</t>
  </si>
  <si>
    <t>8055061308901</t>
  </si>
  <si>
    <t>CRL448</t>
  </si>
  <si>
    <t>8055061308970</t>
  </si>
  <si>
    <t>Faience FUN 3D STRIPES</t>
  </si>
  <si>
    <t>CRL449</t>
  </si>
  <si>
    <t>8055061308871</t>
  </si>
  <si>
    <t>CRL450</t>
  </si>
  <si>
    <t>8055061308802</t>
  </si>
  <si>
    <t>CRL451</t>
  </si>
  <si>
    <t>8055061308840</t>
  </si>
  <si>
    <t>CRL452</t>
  </si>
  <si>
    <t>8055061308772</t>
  </si>
  <si>
    <t>CRL453</t>
  </si>
  <si>
    <t>8055061308895</t>
  </si>
  <si>
    <t>CRL454</t>
  </si>
  <si>
    <t>8055061308826</t>
  </si>
  <si>
    <t>CRL455</t>
  </si>
  <si>
    <t>8055061308864</t>
  </si>
  <si>
    <t>CRL456</t>
  </si>
  <si>
    <t>8055061308796</t>
  </si>
  <si>
    <t>CRL457</t>
  </si>
  <si>
    <t>8055061308888</t>
  </si>
  <si>
    <t>CRL458</t>
  </si>
  <si>
    <t>8055061308819</t>
  </si>
  <si>
    <t>CRL459</t>
  </si>
  <si>
    <t>8055061308857</t>
  </si>
  <si>
    <t>CRL460</t>
  </si>
  <si>
    <t>8055061308789</t>
  </si>
  <si>
    <t>CRL461</t>
  </si>
  <si>
    <t>8055061308765</t>
  </si>
  <si>
    <t>CRL462</t>
  </si>
  <si>
    <t>8055061308833</t>
  </si>
  <si>
    <t>Faience FUN NAVETTE</t>
  </si>
  <si>
    <t>CRL463</t>
  </si>
  <si>
    <t>8055061309083</t>
  </si>
  <si>
    <t>25x5 cm</t>
  </si>
  <si>
    <t>15mm</t>
  </si>
  <si>
    <t>CRL464</t>
  </si>
  <si>
    <t>8055061309151</t>
  </si>
  <si>
    <t>CRL465</t>
  </si>
  <si>
    <t>8055061309052</t>
  </si>
  <si>
    <t>CRL466</t>
  </si>
  <si>
    <t>8055061309120</t>
  </si>
  <si>
    <t>CRL467</t>
  </si>
  <si>
    <t>8055061309175</t>
  </si>
  <si>
    <t>CRL468</t>
  </si>
  <si>
    <t>8055061309106</t>
  </si>
  <si>
    <t>CRL469</t>
  </si>
  <si>
    <t>8055061309144</t>
  </si>
  <si>
    <t>CRL470</t>
  </si>
  <si>
    <t>8055061309076</t>
  </si>
  <si>
    <t>CRL471</t>
  </si>
  <si>
    <t>8055061309168</t>
  </si>
  <si>
    <t>CRL472</t>
  </si>
  <si>
    <t>8055061309090</t>
  </si>
  <si>
    <t>CRL473</t>
  </si>
  <si>
    <t>8055061309137</t>
  </si>
  <si>
    <t>CRL474</t>
  </si>
  <si>
    <t>8055061309069</t>
  </si>
  <si>
    <t>CRL475</t>
  </si>
  <si>
    <t>8055061309045</t>
  </si>
  <si>
    <t>CRL476</t>
  </si>
  <si>
    <t>8055061309113</t>
  </si>
  <si>
    <t>Faience FUN NAVETTE 3D CANNELE</t>
  </si>
  <si>
    <t>CRL477</t>
  </si>
  <si>
    <t>8055061309571</t>
  </si>
  <si>
    <t>CRL478</t>
  </si>
  <si>
    <t>8055061309502</t>
  </si>
  <si>
    <t>CRL479</t>
  </si>
  <si>
    <t>8055061309564</t>
  </si>
  <si>
    <t>CRL480</t>
  </si>
  <si>
    <t>8055061309496</t>
  </si>
  <si>
    <t>CRL481</t>
  </si>
  <si>
    <t>8055061309540</t>
  </si>
  <si>
    <t>CRL482</t>
  </si>
  <si>
    <t>8055061309472</t>
  </si>
  <si>
    <t>CRL483</t>
  </si>
  <si>
    <t>8055061309595</t>
  </si>
  <si>
    <t>CRL484</t>
  </si>
  <si>
    <t>8055061309526</t>
  </si>
  <si>
    <t>CRL485</t>
  </si>
  <si>
    <t>8055061309588</t>
  </si>
  <si>
    <t>CRL486</t>
  </si>
  <si>
    <t>8055061309519</t>
  </si>
  <si>
    <t>CRL487</t>
  </si>
  <si>
    <t>8055061309557</t>
  </si>
  <si>
    <t>CRL488</t>
  </si>
  <si>
    <t>8055061309489</t>
  </si>
  <si>
    <t>CRL489</t>
  </si>
  <si>
    <t>8055061309465</t>
  </si>
  <si>
    <t>CRL490</t>
  </si>
  <si>
    <t>8055061309533</t>
  </si>
  <si>
    <t>Faience FUN NAVETTE 3D WAVY</t>
  </si>
  <si>
    <t>CRL491</t>
  </si>
  <si>
    <t>8055061309458</t>
  </si>
  <si>
    <t>CRL492</t>
  </si>
  <si>
    <t>8055061309380</t>
  </si>
  <si>
    <t>CRL493</t>
  </si>
  <si>
    <t>8055061309434</t>
  </si>
  <si>
    <t>CRL494</t>
  </si>
  <si>
    <t>8055061309366</t>
  </si>
  <si>
    <t>CRL495</t>
  </si>
  <si>
    <t>8055061309403</t>
  </si>
  <si>
    <t>CRL496</t>
  </si>
  <si>
    <t>8055061309335</t>
  </si>
  <si>
    <t>CRL497</t>
  </si>
  <si>
    <t>8055061309427</t>
  </si>
  <si>
    <t>CRL498</t>
  </si>
  <si>
    <t>8055061309359</t>
  </si>
  <si>
    <t>CRL499</t>
  </si>
  <si>
    <t>8055061309441</t>
  </si>
  <si>
    <t>CRL500</t>
  </si>
  <si>
    <t>8055061309373</t>
  </si>
  <si>
    <t>CRL501</t>
  </si>
  <si>
    <t>8055061309410</t>
  </si>
  <si>
    <t>CRL502</t>
  </si>
  <si>
    <t>8055061309342</t>
  </si>
  <si>
    <t>CRL503</t>
  </si>
  <si>
    <t>8055061309397</t>
  </si>
  <si>
    <t>CRL504</t>
  </si>
  <si>
    <t>8055061309328</t>
  </si>
  <si>
    <t>Faience FUN NAVETTE 3D STRIPES</t>
  </si>
  <si>
    <t>CRL505</t>
  </si>
  <si>
    <t>8055061309298</t>
  </si>
  <si>
    <t>CRL506</t>
  </si>
  <si>
    <t>8055061309229</t>
  </si>
  <si>
    <t>CRL507</t>
  </si>
  <si>
    <t>8055061309267</t>
  </si>
  <si>
    <t>CRL508</t>
  </si>
  <si>
    <t>8055061309199</t>
  </si>
  <si>
    <t>CRL509</t>
  </si>
  <si>
    <t>8055061309311</t>
  </si>
  <si>
    <t>CRL510</t>
  </si>
  <si>
    <t>8055061309243</t>
  </si>
  <si>
    <t>CRL511</t>
  </si>
  <si>
    <t>8055061309281</t>
  </si>
  <si>
    <t>CRL512</t>
  </si>
  <si>
    <t>8055061309212</t>
  </si>
  <si>
    <t>CRL513</t>
  </si>
  <si>
    <t>8055061309304</t>
  </si>
  <si>
    <t>CRL514</t>
  </si>
  <si>
    <t>8055061309236</t>
  </si>
  <si>
    <t>CRL515</t>
  </si>
  <si>
    <t>8055061309274</t>
  </si>
  <si>
    <t>CRL516</t>
  </si>
  <si>
    <t>8055061309205</t>
  </si>
  <si>
    <t>CRL517</t>
  </si>
  <si>
    <t>8055061309250</t>
  </si>
  <si>
    <t>CRL518</t>
  </si>
  <si>
    <t>8055061309182</t>
  </si>
  <si>
    <t>Carrelage effet bois NATUREL</t>
  </si>
  <si>
    <t>CRL089</t>
  </si>
  <si>
    <t>VERMONT</t>
  </si>
  <si>
    <t>8445583220773</t>
  </si>
  <si>
    <t>Les carreaux de la collection NATUREL capturent l'authenticité du bois avec un réalisme saisissant. Leur finition mate subtile met en valeur le grain naturel, rappelant des essences telles que le chêne, l'érable ou le noyer, pour apporter chaleur et élégance aux espaces.</t>
  </si>
  <si>
    <t>CRL090</t>
  </si>
  <si>
    <t>8445583220797</t>
  </si>
  <si>
    <t>CRL091</t>
  </si>
  <si>
    <t>8445583221152</t>
  </si>
  <si>
    <t>CRL092</t>
  </si>
  <si>
    <t>8445583221169</t>
  </si>
  <si>
    <t>Silver</t>
  </si>
  <si>
    <t>CRL135</t>
  </si>
  <si>
    <t>8445583223385</t>
  </si>
  <si>
    <t>CRL136</t>
  </si>
  <si>
    <t>8445583223408</t>
  </si>
  <si>
    <t>CRL137</t>
  </si>
  <si>
    <t>8445583190069</t>
  </si>
  <si>
    <t>CRL138</t>
  </si>
  <si>
    <t>8445583223460</t>
  </si>
  <si>
    <t>Carrelage effet bois YUKA</t>
  </si>
  <si>
    <t>CRL097</t>
  </si>
  <si>
    <t>YUKON</t>
  </si>
  <si>
    <t>8445583220599</t>
  </si>
  <si>
    <t>La collection YUKA imite parfaitement le bois avec des nœuds subtils et des veinures délicates, alliant authenticité et performance du grès cérame. Déclinée en quatre teintes et deux formats, elle s’adapte à tous les styles d’intérieur.</t>
  </si>
  <si>
    <t>CRL098</t>
  </si>
  <si>
    <t>8445583220605</t>
  </si>
  <si>
    <t>CRL099</t>
  </si>
  <si>
    <t>8445583220612</t>
  </si>
  <si>
    <t>CRL100</t>
  </si>
  <si>
    <t>8445583220629</t>
  </si>
  <si>
    <t>CRL139</t>
  </si>
  <si>
    <t>8445583221503</t>
  </si>
  <si>
    <t>CRL140</t>
  </si>
  <si>
    <t>8445583223477</t>
  </si>
  <si>
    <t>CRL141</t>
  </si>
  <si>
    <t>8445583223491</t>
  </si>
  <si>
    <t>CRL142</t>
  </si>
  <si>
    <t>8445583223507</t>
  </si>
  <si>
    <t>Carrelage effet zellige MARRAKECH</t>
  </si>
  <si>
    <t>CRL001</t>
  </si>
  <si>
    <t>ZELLIGE</t>
  </si>
  <si>
    <t>8445583317992</t>
  </si>
  <si>
    <t>La collection ZELLIGE revisite l’élégance des carreaux traditionnels marocains avec une touche de modernité et de raffinement. Son petit format polyvalent permet de créer des espaces originaux et sophistiqués en toute simplicité. Déclinée en sept couleurs, elle est idéale pour des intérieurs audacieux et inspirants.</t>
  </si>
  <si>
    <t>10mm</t>
  </si>
  <si>
    <t>CRL002</t>
  </si>
  <si>
    <t>8445583318005</t>
  </si>
  <si>
    <t>CRL003</t>
  </si>
  <si>
    <t>8445583318012</t>
  </si>
  <si>
    <t>CRL004</t>
  </si>
  <si>
    <t>8445583318029</t>
  </si>
  <si>
    <t>Aqua</t>
  </si>
  <si>
    <t>CRL005</t>
  </si>
  <si>
    <t>8445583318036</t>
  </si>
  <si>
    <t>CRL006</t>
  </si>
  <si>
    <t>8445583318043</t>
  </si>
  <si>
    <t>Graphite</t>
  </si>
  <si>
    <t>CRL007</t>
  </si>
  <si>
    <t>8445583318050</t>
  </si>
  <si>
    <t>Olive</t>
  </si>
  <si>
    <t>Carrelage effet pierre SUNNY</t>
  </si>
  <si>
    <t>Carrelage effet pierre STAR</t>
  </si>
  <si>
    <t>CRLEXT001</t>
  </si>
  <si>
    <t>STATALE</t>
  </si>
  <si>
    <t>8445583215533</t>
  </si>
  <si>
    <t>STAR est une collection de céramique qui séduit par la douceur de ses nuances et ses textures subtiles. Son contraste délicat entre motifs et fond homogène reflète toute l’élégance du ciment. Disponible en quatre teintes mates, elle s’adapte aussi bien aux murs qu’aux sols pour des espaces raffinés et contemporains.</t>
  </si>
  <si>
    <t>Carrelage &gt; Exterieur</t>
  </si>
  <si>
    <t xml:space="preserve">Collée </t>
  </si>
  <si>
    <t>Antidérapant N PLUS</t>
  </si>
  <si>
    <t>Sol</t>
  </si>
  <si>
    <t>CRLEXT002</t>
  </si>
  <si>
    <t>8445583048490</t>
  </si>
  <si>
    <t>CRLEXT003</t>
  </si>
  <si>
    <t>8445583215526</t>
  </si>
  <si>
    <t>CRLEXT004</t>
  </si>
  <si>
    <t>8445583215502</t>
  </si>
  <si>
    <t>CRLEXT005</t>
  </si>
  <si>
    <t>8445583048421</t>
  </si>
  <si>
    <t>CRLEXT006</t>
  </si>
  <si>
    <t>8445583218183</t>
  </si>
  <si>
    <t>CRLEXT007</t>
  </si>
  <si>
    <t>8445583229325</t>
  </si>
  <si>
    <t>CRLEXT008</t>
  </si>
  <si>
    <t>8445583291827</t>
  </si>
  <si>
    <t>CRLEXT009</t>
  </si>
  <si>
    <t>8445583035971</t>
  </si>
  <si>
    <t>CRLEXT010</t>
  </si>
  <si>
    <t>8445583035964</t>
  </si>
  <si>
    <t>CRLEXT011</t>
  </si>
  <si>
    <t>8445583036213</t>
  </si>
  <si>
    <t>CRLEXT012</t>
  </si>
  <si>
    <t>8445583493610</t>
  </si>
  <si>
    <t>Aspect lame</t>
  </si>
  <si>
    <t>Épaisseur du bois</t>
  </si>
  <si>
    <t>Épaisseur totale</t>
  </si>
  <si>
    <t>Système de fixation</t>
  </si>
  <si>
    <t>Finition</t>
  </si>
  <si>
    <t>Parquet contrecollé ESSENTIAL 3 frises</t>
  </si>
  <si>
    <t>PRQ001</t>
  </si>
  <si>
    <t>ESSENTIEL</t>
  </si>
  <si>
    <t>Ces produits naturels et respectueux de l’environnement ont pour but de vous offrir un espace de vie sain, proche de la nature mais surtout en accord vos valeurs. Soyez exigeants pour votre sol et votre lieu de vie.                                                                       - 4 formats de lames adaptés à vos besoins (selon les modèles)
- Pose simple et rapide avec le système de clic BestLoc X-TREME
- Produit résistant made in France : 15 à 30 ans de garantie fabricant
- Vernis révolutionnaire : protection du vernis avec l'effet du bois huilé !</t>
  </si>
  <si>
    <t>Parquet Sol stratifié et PVC&gt;Parquet contrecollé</t>
  </si>
  <si>
    <t>3 frises</t>
  </si>
  <si>
    <t>210x1180x13 mm</t>
  </si>
  <si>
    <t>Naturel authentique</t>
  </si>
  <si>
    <t>2,5 mm</t>
  </si>
  <si>
    <t>13 mm</t>
  </si>
  <si>
    <t>NA</t>
  </si>
  <si>
    <t>Flottante</t>
  </si>
  <si>
    <t xml:space="preserve">
Best Loc X-Treme</t>
  </si>
  <si>
    <t>Brossé - vernis mat</t>
  </si>
  <si>
    <t>Parquet contrecollé</t>
  </si>
  <si>
    <t>France</t>
  </si>
  <si>
    <t>10,82 / m2</t>
  </si>
  <si>
    <t>PRQ002</t>
  </si>
  <si>
    <t>Naturel Nude</t>
  </si>
  <si>
    <t>14 mm</t>
  </si>
  <si>
    <t>PRQ003</t>
  </si>
  <si>
    <t>Ambre</t>
  </si>
  <si>
    <t>15 mm</t>
  </si>
  <si>
    <t>PRQ004</t>
  </si>
  <si>
    <t>Kaolin</t>
  </si>
  <si>
    <t>16 mm</t>
  </si>
  <si>
    <t>PRQ005</t>
  </si>
  <si>
    <t>Albatre</t>
  </si>
  <si>
    <t>17 mm</t>
  </si>
  <si>
    <t>PRQ006</t>
  </si>
  <si>
    <t>Sepia</t>
  </si>
  <si>
    <t>18 mm</t>
  </si>
  <si>
    <t>PRQ007</t>
  </si>
  <si>
    <t>Naturel nature</t>
  </si>
  <si>
    <t>19 mm</t>
  </si>
  <si>
    <t>Parquet contrecollé ESSENTIAL XL</t>
  </si>
  <si>
    <t>PRQ009</t>
  </si>
  <si>
    <t>1 frise</t>
  </si>
  <si>
    <t xml:space="preserve">
1180 x 164 x 14 mm</t>
  </si>
  <si>
    <t>Nude Naturel</t>
  </si>
  <si>
    <t>3,3 mm</t>
  </si>
  <si>
    <t>Sur les 2 longueurs en V</t>
  </si>
  <si>
    <t>10,90 / m2</t>
  </si>
  <si>
    <t>PRQ010</t>
  </si>
  <si>
    <t>Argil Naturel</t>
  </si>
  <si>
    <t>PRQ011</t>
  </si>
  <si>
    <t>Terraccotta</t>
  </si>
  <si>
    <t>PRQ012</t>
  </si>
  <si>
    <t>PRQ013</t>
  </si>
  <si>
    <t>PRQ014</t>
  </si>
  <si>
    <t>Nature Naturel</t>
  </si>
  <si>
    <t>Parquet contrecollé ESSENTIAL REGULAR</t>
  </si>
  <si>
    <t>PRQ015</t>
  </si>
  <si>
    <t xml:space="preserve">
1180 x 130 x 11 mm</t>
  </si>
  <si>
    <t>Nude naturel</t>
  </si>
  <si>
    <t>11 mm</t>
  </si>
  <si>
    <t>8,82 /m2</t>
  </si>
  <si>
    <t>PRQ016</t>
  </si>
  <si>
    <t>Kaolin naturel</t>
  </si>
  <si>
    <t>PRQ017</t>
  </si>
  <si>
    <t>PRQ018</t>
  </si>
  <si>
    <t>PRQ019</t>
  </si>
  <si>
    <t>Sepia Naturel</t>
  </si>
  <si>
    <t>PRQ020</t>
  </si>
  <si>
    <t>Albatre Naturel</t>
  </si>
  <si>
    <t>PRQ021</t>
  </si>
  <si>
    <t>PRQ022</t>
  </si>
  <si>
    <t>Perçage robinetterie (oui/non)</t>
  </si>
  <si>
    <t>Baignoire îlot en acrylique MAJORELLE</t>
  </si>
  <si>
    <t>SDB001</t>
  </si>
  <si>
    <t>MAGGIORE</t>
  </si>
  <si>
    <t>8445583457407</t>
  </si>
  <si>
    <t>La baignoire ilôt MAJORELLE se distingue par ses lignes courbes et légèrement irrégulières, apportant une touche d’expressivité à la salle de bains. Sa finition mate et son toucher doux sont personnalisables avec 12 teintes standard et 6 nuances métallisées pour l'extérieur. Fabriquée en Acrylique, un matériau léger et flexible, elle est à la fois facile à installer et hautement résistante</t>
  </si>
  <si>
    <t>Salle de bains&gt;Baignoire</t>
  </si>
  <si>
    <t>Interieur</t>
  </si>
  <si>
    <t>170x80 cm</t>
  </si>
  <si>
    <t>Acrylique</t>
  </si>
  <si>
    <t>Blanc Mat</t>
  </si>
  <si>
    <t>SDB002</t>
  </si>
  <si>
    <t>8445583473100</t>
  </si>
  <si>
    <t>Cuivre</t>
  </si>
  <si>
    <t>SDB003</t>
  </si>
  <si>
    <t>8445583473117</t>
  </si>
  <si>
    <t xml:space="preserve">Or </t>
  </si>
  <si>
    <t>SDB004</t>
  </si>
  <si>
    <t>8445583473124</t>
  </si>
  <si>
    <t>Titane</t>
  </si>
  <si>
    <t>SDB005</t>
  </si>
  <si>
    <t>8445583473131</t>
  </si>
  <si>
    <t>Or vieilli</t>
  </si>
  <si>
    <t>SDB006</t>
  </si>
  <si>
    <t>8445583473148</t>
  </si>
  <si>
    <t>Argent</t>
  </si>
  <si>
    <t>SDB007</t>
  </si>
  <si>
    <t>8445583473155</t>
  </si>
  <si>
    <t>Rose metallisé</t>
  </si>
  <si>
    <t>SDB008</t>
  </si>
  <si>
    <t>8445583473162</t>
  </si>
  <si>
    <t>RAL spécial</t>
  </si>
  <si>
    <t>SDB009</t>
  </si>
  <si>
    <t>8445583473179</t>
  </si>
  <si>
    <t>SDB010</t>
  </si>
  <si>
    <t>8445583473186</t>
  </si>
  <si>
    <t>SDB011</t>
  </si>
  <si>
    <t>8445583473193</t>
  </si>
  <si>
    <t>SDB012</t>
  </si>
  <si>
    <t>8445583473209</t>
  </si>
  <si>
    <t>Ciment</t>
  </si>
  <si>
    <t>SDB013</t>
  </si>
  <si>
    <t>8445583473216</t>
  </si>
  <si>
    <t>Terre cuite</t>
  </si>
  <si>
    <t>SDB014</t>
  </si>
  <si>
    <t>8445583473223</t>
  </si>
  <si>
    <t>SDB015</t>
  </si>
  <si>
    <t>8445583473230</t>
  </si>
  <si>
    <t>Moka</t>
  </si>
  <si>
    <t>SDB016</t>
  </si>
  <si>
    <t>8445583473247</t>
  </si>
  <si>
    <t>Naturel</t>
  </si>
  <si>
    <t>SDB017</t>
  </si>
  <si>
    <t>8445583473254</t>
  </si>
  <si>
    <t>Sauge</t>
  </si>
  <si>
    <t>SDB018</t>
  </si>
  <si>
    <t>8445583473261</t>
  </si>
  <si>
    <t>Cobalt</t>
  </si>
  <si>
    <t>SDB019</t>
  </si>
  <si>
    <t>8445583473278</t>
  </si>
  <si>
    <t>Perle</t>
  </si>
  <si>
    <t>SDB020</t>
  </si>
  <si>
    <t>8445583473285</t>
  </si>
  <si>
    <t>Turquoise</t>
  </si>
  <si>
    <t>Niche murale à encastrer RITA</t>
  </si>
  <si>
    <t>SDB021</t>
  </si>
  <si>
    <t>HORNACINA</t>
  </si>
  <si>
    <t>8445583509601</t>
  </si>
  <si>
    <t>Les niches RITA allient design et praticité, offrant une solution élégante et fonctionnelle. Disponibles en 12 couleurs Gel Coat, elles s'intègrent parfaitement à tous nos carrelages pour une harmonie totale.</t>
  </si>
  <si>
    <t>Salle de bains&gt;Niche</t>
  </si>
  <si>
    <t>30x30 cm</t>
  </si>
  <si>
    <t>Gel coat</t>
  </si>
  <si>
    <t>SDB022</t>
  </si>
  <si>
    <t>8445583509618</t>
  </si>
  <si>
    <t>30x60 cm</t>
  </si>
  <si>
    <t>SDB023</t>
  </si>
  <si>
    <t>8445583509625</t>
  </si>
  <si>
    <t>30X90 cm</t>
  </si>
  <si>
    <t>SDB024</t>
  </si>
  <si>
    <t>8445583509632</t>
  </si>
  <si>
    <t>SDB025</t>
  </si>
  <si>
    <t>8445583509649</t>
  </si>
  <si>
    <t>SDB026</t>
  </si>
  <si>
    <t>8445583509656</t>
  </si>
  <si>
    <t>SDB027</t>
  </si>
  <si>
    <t>8445583509663</t>
  </si>
  <si>
    <t>SDB028</t>
  </si>
  <si>
    <t>8445583509670</t>
  </si>
  <si>
    <t>SDB029</t>
  </si>
  <si>
    <t>8445583509977</t>
  </si>
  <si>
    <t>SDB030</t>
  </si>
  <si>
    <t>8445583509984</t>
  </si>
  <si>
    <t>Terracotta</t>
  </si>
  <si>
    <t>SDB031</t>
  </si>
  <si>
    <t>8445583509991</t>
  </si>
  <si>
    <t>SDB032</t>
  </si>
  <si>
    <t>8445583510003</t>
  </si>
  <si>
    <t>SDB033</t>
  </si>
  <si>
    <t>8445583510010</t>
  </si>
  <si>
    <t>SDB034</t>
  </si>
  <si>
    <t>8445583510027</t>
  </si>
  <si>
    <t>SDB035</t>
  </si>
  <si>
    <t>8445583510034</t>
  </si>
  <si>
    <t>SDB036</t>
  </si>
  <si>
    <t>8445583510041</t>
  </si>
  <si>
    <t>SDB037</t>
  </si>
  <si>
    <t>8445583510058</t>
  </si>
  <si>
    <t>SDB038</t>
  </si>
  <si>
    <t>8445583510065</t>
  </si>
  <si>
    <t>SDB039</t>
  </si>
  <si>
    <t>8445583510072</t>
  </si>
  <si>
    <t>SDB040</t>
  </si>
  <si>
    <t>8445583510089</t>
  </si>
  <si>
    <t>SDB041</t>
  </si>
  <si>
    <t>8445583510096</t>
  </si>
  <si>
    <t>SDB042</t>
  </si>
  <si>
    <t>8445583510102</t>
  </si>
  <si>
    <t>Gris perle</t>
  </si>
  <si>
    <t>SDB043</t>
  </si>
  <si>
    <t>8445583510119</t>
  </si>
  <si>
    <t>SDB044</t>
  </si>
  <si>
    <t>8445583510126</t>
  </si>
  <si>
    <t>SDB045</t>
  </si>
  <si>
    <t>8445583510133</t>
  </si>
  <si>
    <t>SDB046</t>
  </si>
  <si>
    <t>8445583510140</t>
  </si>
  <si>
    <t>SDB047</t>
  </si>
  <si>
    <t>8445583510157</t>
  </si>
  <si>
    <t>SDB048</t>
  </si>
  <si>
    <t>8445583510164</t>
  </si>
  <si>
    <t>SDB049</t>
  </si>
  <si>
    <t>8445583510171</t>
  </si>
  <si>
    <t>SDB050</t>
  </si>
  <si>
    <t>8445583510188</t>
  </si>
  <si>
    <t>SDB051</t>
  </si>
  <si>
    <t>8445583510195</t>
  </si>
  <si>
    <t>SDB052</t>
  </si>
  <si>
    <t>8445583510201</t>
  </si>
  <si>
    <t>SDB053</t>
  </si>
  <si>
    <t>8445583510218</t>
  </si>
  <si>
    <t>SDB054</t>
  </si>
  <si>
    <t>8445583510225</t>
  </si>
  <si>
    <t>SDB055</t>
  </si>
  <si>
    <t>8445583510232</t>
  </si>
  <si>
    <t>SDB056</t>
  </si>
  <si>
    <t>8445583510249</t>
  </si>
  <si>
    <t>SDB057</t>
  </si>
  <si>
    <t>8445583510256</t>
  </si>
  <si>
    <t>SDB058</t>
  </si>
  <si>
    <t>8445583510263</t>
  </si>
  <si>
    <t>SDB059</t>
  </si>
  <si>
    <t>8445583510270</t>
  </si>
  <si>
    <t>Receveur de douche extra plat en résine surface ardoisée SILEX</t>
  </si>
  <si>
    <t>SDB060</t>
  </si>
  <si>
    <t>SMART</t>
  </si>
  <si>
    <t>8445583175233</t>
  </si>
  <si>
    <t>SILEX transforme la salle de bains avec son receveur de douche en Gel Coat, alliant légèreté, toucher doux et texture ardoise. Facile à installer et ajustable en taille, il s’adapte à tous les espaces et est disponible en blanc ainsi qu’en huit autres couleurs.</t>
  </si>
  <si>
    <t>Salle de bains&gt;Receveur</t>
  </si>
  <si>
    <t>Slate</t>
  </si>
  <si>
    <t>100X100 cm</t>
  </si>
  <si>
    <t>SDB061</t>
  </si>
  <si>
    <t>8445583172539</t>
  </si>
  <si>
    <t>100X110 cm</t>
  </si>
  <si>
    <t>SDB062</t>
  </si>
  <si>
    <t>8445583169614</t>
  </si>
  <si>
    <t>100X120 cm</t>
  </si>
  <si>
    <t>SDB063</t>
  </si>
  <si>
    <t>8445583171532</t>
  </si>
  <si>
    <t>100X130 cm</t>
  </si>
  <si>
    <t>SDB064</t>
  </si>
  <si>
    <t>8445583167573</t>
  </si>
  <si>
    <t>100X140 cm</t>
  </si>
  <si>
    <t>SDB065</t>
  </si>
  <si>
    <t>8445583175431</t>
  </si>
  <si>
    <t>100X150 cm</t>
  </si>
  <si>
    <t>SDB066</t>
  </si>
  <si>
    <t>8445583170344</t>
  </si>
  <si>
    <t>100X160 cm</t>
  </si>
  <si>
    <t>SDB067</t>
  </si>
  <si>
    <t>8445583173130</t>
  </si>
  <si>
    <t>100X170 cm</t>
  </si>
  <si>
    <t>SDB068</t>
  </si>
  <si>
    <t>8445583173437</t>
  </si>
  <si>
    <t>100X180 cm</t>
  </si>
  <si>
    <t>SDB069</t>
  </si>
  <si>
    <t>8445583170214</t>
  </si>
  <si>
    <t>100X190 cm</t>
  </si>
  <si>
    <t>SDB070</t>
  </si>
  <si>
    <t>8445583172034</t>
  </si>
  <si>
    <t>100x200 cm</t>
  </si>
  <si>
    <t>SDB071</t>
  </si>
  <si>
    <t>8445583167474</t>
  </si>
  <si>
    <t>70X100 cm</t>
  </si>
  <si>
    <t>SDB072</t>
  </si>
  <si>
    <t>8445583169027</t>
  </si>
  <si>
    <t>70X110 cm</t>
  </si>
  <si>
    <t>SDB073</t>
  </si>
  <si>
    <t>8445583168334</t>
  </si>
  <si>
    <t>70X120 cm</t>
  </si>
  <si>
    <t>SDB074</t>
  </si>
  <si>
    <t>8445583170115</t>
  </si>
  <si>
    <t>70X130 cm</t>
  </si>
  <si>
    <t>SDB075</t>
  </si>
  <si>
    <t>8445583168723</t>
  </si>
  <si>
    <t>70X140 cm</t>
  </si>
  <si>
    <t>SDB076</t>
  </si>
  <si>
    <t>8445583169218</t>
  </si>
  <si>
    <t>70X150 cm</t>
  </si>
  <si>
    <t>SDB077</t>
  </si>
  <si>
    <t>8445583168921</t>
  </si>
  <si>
    <t>70X160 cm</t>
  </si>
  <si>
    <t>SDB078</t>
  </si>
  <si>
    <t>8445583168624</t>
  </si>
  <si>
    <t>70X170 cm</t>
  </si>
  <si>
    <t>SDB079</t>
  </si>
  <si>
    <t>8445583168822</t>
  </si>
  <si>
    <t>70X180 cm</t>
  </si>
  <si>
    <t>SDB080</t>
  </si>
  <si>
    <t>8445583172133</t>
  </si>
  <si>
    <t>70X190 cm</t>
  </si>
  <si>
    <t>SDB081</t>
  </si>
  <si>
    <t>8445583171839</t>
  </si>
  <si>
    <t>70X200 cm</t>
  </si>
  <si>
    <t>SDB082</t>
  </si>
  <si>
    <t>8445583170283</t>
  </si>
  <si>
    <t>70X70 cm</t>
  </si>
  <si>
    <t>SDB083</t>
  </si>
  <si>
    <t>8445583168525</t>
  </si>
  <si>
    <t>70X80 cm</t>
  </si>
  <si>
    <t>SDB084</t>
  </si>
  <si>
    <t>8445583169713</t>
  </si>
  <si>
    <t>70X90 cm</t>
  </si>
  <si>
    <t>SDB085</t>
  </si>
  <si>
    <t>8445583169126</t>
  </si>
  <si>
    <t>80X100 cm</t>
  </si>
  <si>
    <t>SDB086</t>
  </si>
  <si>
    <t>8445583169416</t>
  </si>
  <si>
    <t>80X110 cm</t>
  </si>
  <si>
    <t>SDB087</t>
  </si>
  <si>
    <t>8445583167672</t>
  </si>
  <si>
    <t>80x120 cm</t>
  </si>
  <si>
    <t>SDB088</t>
  </si>
  <si>
    <t>8445583169515</t>
  </si>
  <si>
    <t>80X130 cm</t>
  </si>
  <si>
    <t>SDB089</t>
  </si>
  <si>
    <t>8445583176032</t>
  </si>
  <si>
    <t>80X140 cm</t>
  </si>
  <si>
    <t>SDB090</t>
  </si>
  <si>
    <t>8445583168235</t>
  </si>
  <si>
    <t>80X150 cm</t>
  </si>
  <si>
    <t>SDB091</t>
  </si>
  <si>
    <t>8445583167764</t>
  </si>
  <si>
    <t>80X160 cm</t>
  </si>
  <si>
    <t>SDB092</t>
  </si>
  <si>
    <t>8445583168136</t>
  </si>
  <si>
    <t>80X170 cm</t>
  </si>
  <si>
    <t>SDB093</t>
  </si>
  <si>
    <t>8445583168426</t>
  </si>
  <si>
    <t>80X180 cm</t>
  </si>
  <si>
    <t>SDB094</t>
  </si>
  <si>
    <t>8445583169911</t>
  </si>
  <si>
    <t>80X190 cm</t>
  </si>
  <si>
    <t>SDB095</t>
  </si>
  <si>
    <t>8445583172232</t>
  </si>
  <si>
    <t>80X200 cm</t>
  </si>
  <si>
    <t>SDB096</t>
  </si>
  <si>
    <t>8445583175332</t>
  </si>
  <si>
    <t>SDB097</t>
  </si>
  <si>
    <t>8445583170443</t>
  </si>
  <si>
    <t>80X90 cm</t>
  </si>
  <si>
    <t>SDB098</t>
  </si>
  <si>
    <t>8445583170740</t>
  </si>
  <si>
    <t>90X100 cm</t>
  </si>
  <si>
    <t>SDB099</t>
  </si>
  <si>
    <t>8445583171334</t>
  </si>
  <si>
    <t>90X110 cm</t>
  </si>
  <si>
    <t>SDB100</t>
  </si>
  <si>
    <t>8445583167856</t>
  </si>
  <si>
    <t>90X120 cm</t>
  </si>
  <si>
    <t>SDB101</t>
  </si>
  <si>
    <t>8445583171044</t>
  </si>
  <si>
    <t>90X130 cm</t>
  </si>
  <si>
    <t>SDB102</t>
  </si>
  <si>
    <t>8445583167948</t>
  </si>
  <si>
    <t>90X140 cm</t>
  </si>
  <si>
    <t>SDB103</t>
  </si>
  <si>
    <t>8445583169317</t>
  </si>
  <si>
    <t>90X150 cm</t>
  </si>
  <si>
    <t>SDB104</t>
  </si>
  <si>
    <t>8445583168037</t>
  </si>
  <si>
    <t>90X160 cm</t>
  </si>
  <si>
    <t>SDB105</t>
  </si>
  <si>
    <t>8445583170948</t>
  </si>
  <si>
    <t>90X170 cm</t>
  </si>
  <si>
    <t>SDB106</t>
  </si>
  <si>
    <t>8445583170641</t>
  </si>
  <si>
    <t>90X180 cm</t>
  </si>
  <si>
    <t>SDB107</t>
  </si>
  <si>
    <t>8445583171235</t>
  </si>
  <si>
    <t>90X190 cm</t>
  </si>
  <si>
    <t>SDB108</t>
  </si>
  <si>
    <t>8445583173031</t>
  </si>
  <si>
    <t>90X200 cm</t>
  </si>
  <si>
    <t>SDB109</t>
  </si>
  <si>
    <t>8445583171143</t>
  </si>
  <si>
    <t>90X90 cm</t>
  </si>
  <si>
    <t>SDB110</t>
  </si>
  <si>
    <t>8445583175240</t>
  </si>
  <si>
    <t>SDB111</t>
  </si>
  <si>
    <t>8445583172546</t>
  </si>
  <si>
    <t>SDB112</t>
  </si>
  <si>
    <t>8445583169621</t>
  </si>
  <si>
    <t>SDB113</t>
  </si>
  <si>
    <t>8445583171549</t>
  </si>
  <si>
    <t>SDB114</t>
  </si>
  <si>
    <t>8445583167580</t>
  </si>
  <si>
    <t>SDB115</t>
  </si>
  <si>
    <t>8445583175448</t>
  </si>
  <si>
    <t>SDB116</t>
  </si>
  <si>
    <t>8445583170351</t>
  </si>
  <si>
    <t>SDB117</t>
  </si>
  <si>
    <t>8445583173147</t>
  </si>
  <si>
    <t>SDB118</t>
  </si>
  <si>
    <t>8445583173444</t>
  </si>
  <si>
    <t>SDB119</t>
  </si>
  <si>
    <t>8445583170221</t>
  </si>
  <si>
    <t>SDB120</t>
  </si>
  <si>
    <t>8445583172041</t>
  </si>
  <si>
    <t>SDB121</t>
  </si>
  <si>
    <t>8445583167481</t>
  </si>
  <si>
    <t>SDB122</t>
  </si>
  <si>
    <t>8445583169034</t>
  </si>
  <si>
    <t>SDB123</t>
  </si>
  <si>
    <t>8445583168341</t>
  </si>
  <si>
    <t>SDB124</t>
  </si>
  <si>
    <t>8445583170122</t>
  </si>
  <si>
    <t>SDB125</t>
  </si>
  <si>
    <t>8445583168730</t>
  </si>
  <si>
    <t>SDB126</t>
  </si>
  <si>
    <t>8445583169225</t>
  </si>
  <si>
    <t>SDB127</t>
  </si>
  <si>
    <t>8445583168938</t>
  </si>
  <si>
    <t>SDB128</t>
  </si>
  <si>
    <t>8445583168631</t>
  </si>
  <si>
    <t>SDB129</t>
  </si>
  <si>
    <t>8445583168839</t>
  </si>
  <si>
    <t>SDB130</t>
  </si>
  <si>
    <t>8445583172140</t>
  </si>
  <si>
    <t>SDB131</t>
  </si>
  <si>
    <t>8445583171846</t>
  </si>
  <si>
    <t>SDB132</t>
  </si>
  <si>
    <t>8445583109689</t>
  </si>
  <si>
    <t>SDB133</t>
  </si>
  <si>
    <t>8445583168532</t>
  </si>
  <si>
    <t>SDB134</t>
  </si>
  <si>
    <t>8445583169720</t>
  </si>
  <si>
    <t>SDB135</t>
  </si>
  <si>
    <t>8445583169133</t>
  </si>
  <si>
    <t>SDB136</t>
  </si>
  <si>
    <t>8445583169423</t>
  </si>
  <si>
    <t>SDB137</t>
  </si>
  <si>
    <t>8445583167689</t>
  </si>
  <si>
    <t>SDB138</t>
  </si>
  <si>
    <t>8445583169522</t>
  </si>
  <si>
    <t>SDB139</t>
  </si>
  <si>
    <t>8445583176049</t>
  </si>
  <si>
    <t>SDB140</t>
  </si>
  <si>
    <t>8445583168242</t>
  </si>
  <si>
    <t>SDB141</t>
  </si>
  <si>
    <t>8445583167771</t>
  </si>
  <si>
    <t>SDB142</t>
  </si>
  <si>
    <t>8445583168143</t>
  </si>
  <si>
    <t>SDB143</t>
  </si>
  <si>
    <t>8445583168433</t>
  </si>
  <si>
    <t>SDB144</t>
  </si>
  <si>
    <t>8445583169928</t>
  </si>
  <si>
    <t>SDB145</t>
  </si>
  <si>
    <t>8445583172249</t>
  </si>
  <si>
    <t>SDB146</t>
  </si>
  <si>
    <t>8445583175349</t>
  </si>
  <si>
    <t>SDB147</t>
  </si>
  <si>
    <t>8445583170450</t>
  </si>
  <si>
    <t>SDB148</t>
  </si>
  <si>
    <t>8445583170757</t>
  </si>
  <si>
    <t>SDB149</t>
  </si>
  <si>
    <t>8445583171341</t>
  </si>
  <si>
    <t>SDB150</t>
  </si>
  <si>
    <t>8445583167863</t>
  </si>
  <si>
    <t>SDB151</t>
  </si>
  <si>
    <t>8445583171051</t>
  </si>
  <si>
    <t>SDB152</t>
  </si>
  <si>
    <t>8445583167955</t>
  </si>
  <si>
    <t>SDB153</t>
  </si>
  <si>
    <t>8445583169324</t>
  </si>
  <si>
    <t>SDB154</t>
  </si>
  <si>
    <t>8445583168044</t>
  </si>
  <si>
    <t>SDB155</t>
  </si>
  <si>
    <t>8445583170955</t>
  </si>
  <si>
    <t>SDB156</t>
  </si>
  <si>
    <t>8445583170658</t>
  </si>
  <si>
    <t>SDB157</t>
  </si>
  <si>
    <t>8445583171242</t>
  </si>
  <si>
    <t>SDB158</t>
  </si>
  <si>
    <t>8445583173048</t>
  </si>
  <si>
    <t>SDB159</t>
  </si>
  <si>
    <t>8445583171150</t>
  </si>
  <si>
    <t>SDB160</t>
  </si>
  <si>
    <t>8445583175295</t>
  </si>
  <si>
    <t>SDB161</t>
  </si>
  <si>
    <t>8445583172591</t>
  </si>
  <si>
    <t>SDB162</t>
  </si>
  <si>
    <t>8445583169676</t>
  </si>
  <si>
    <t>SDB163</t>
  </si>
  <si>
    <t>8445583171594</t>
  </si>
  <si>
    <t>SDB164</t>
  </si>
  <si>
    <t>8445583167634</t>
  </si>
  <si>
    <t>SDB165</t>
  </si>
  <si>
    <t>8445583175493</t>
  </si>
  <si>
    <t>SDB166</t>
  </si>
  <si>
    <t>8445583170405</t>
  </si>
  <si>
    <t>SDB167</t>
  </si>
  <si>
    <t>8445583173192</t>
  </si>
  <si>
    <t>SDB168</t>
  </si>
  <si>
    <t>8445583173499</t>
  </si>
  <si>
    <t>SDB169</t>
  </si>
  <si>
    <t>8445583170276</t>
  </si>
  <si>
    <t>SDB170</t>
  </si>
  <si>
    <t>8445583172096</t>
  </si>
  <si>
    <t>SDB171</t>
  </si>
  <si>
    <t>8445583167535</t>
  </si>
  <si>
    <t>SDB172</t>
  </si>
  <si>
    <t>8445583169089</t>
  </si>
  <si>
    <t>SDB173</t>
  </si>
  <si>
    <t>8445583168389</t>
  </si>
  <si>
    <t>SDB174</t>
  </si>
  <si>
    <t>8445583170177</t>
  </si>
  <si>
    <t>SDB175</t>
  </si>
  <si>
    <t>8445583168785</t>
  </si>
  <si>
    <t>SDB176</t>
  </si>
  <si>
    <t>8445583169270</t>
  </si>
  <si>
    <t>SDB177</t>
  </si>
  <si>
    <t>8445583168983</t>
  </si>
  <si>
    <t>SDB178</t>
  </si>
  <si>
    <t>8445583168686</t>
  </si>
  <si>
    <t>SDB179</t>
  </si>
  <si>
    <t>8445583168884</t>
  </si>
  <si>
    <t>SDB180</t>
  </si>
  <si>
    <t>8445583172195</t>
  </si>
  <si>
    <t>SDB181</t>
  </si>
  <si>
    <t>8445583171891</t>
  </si>
  <si>
    <t>SDB182</t>
  </si>
  <si>
    <t>8445583109719</t>
  </si>
  <si>
    <t>SDB183</t>
  </si>
  <si>
    <t>8445583168587</t>
  </si>
  <si>
    <t>SDB184</t>
  </si>
  <si>
    <t>8445583169775</t>
  </si>
  <si>
    <t>SDB185</t>
  </si>
  <si>
    <t>8445583169171</t>
  </si>
  <si>
    <t>SDB186</t>
  </si>
  <si>
    <t>8445583169478</t>
  </si>
  <si>
    <t>SDB187</t>
  </si>
  <si>
    <t>8445583167726</t>
  </si>
  <si>
    <t>SDB188</t>
  </si>
  <si>
    <t>8445583169577</t>
  </si>
  <si>
    <t>SDB189</t>
  </si>
  <si>
    <t>8445583176087</t>
  </si>
  <si>
    <t>SDB190</t>
  </si>
  <si>
    <t>8445583168297</t>
  </si>
  <si>
    <t>SDB191</t>
  </si>
  <si>
    <t>8445583167818</t>
  </si>
  <si>
    <t>SDB192</t>
  </si>
  <si>
    <t>8445583168198</t>
  </si>
  <si>
    <t>SDB193</t>
  </si>
  <si>
    <t>8445583168488</t>
  </si>
  <si>
    <t>SDB194</t>
  </si>
  <si>
    <t>8445583169973</t>
  </si>
  <si>
    <t>SDB195</t>
  </si>
  <si>
    <t>8445583172294</t>
  </si>
  <si>
    <t>SDB196</t>
  </si>
  <si>
    <t>8445583175394</t>
  </si>
  <si>
    <t>SDB197</t>
  </si>
  <si>
    <t>8445583170504</t>
  </si>
  <si>
    <t>SDB198</t>
  </si>
  <si>
    <t>8445583170801</t>
  </si>
  <si>
    <t>SDB199</t>
  </si>
  <si>
    <t>8445583171396</t>
  </si>
  <si>
    <t>SDB200</t>
  </si>
  <si>
    <t>8445583167900</t>
  </si>
  <si>
    <t>SDB201</t>
  </si>
  <si>
    <t>8445583171105</t>
  </si>
  <si>
    <t>SDB202</t>
  </si>
  <si>
    <t>8445583167993</t>
  </si>
  <si>
    <t>SDB203</t>
  </si>
  <si>
    <t>8445583169379</t>
  </si>
  <si>
    <t>SDB204</t>
  </si>
  <si>
    <t>8445583168099</t>
  </si>
  <si>
    <t>SDB205</t>
  </si>
  <si>
    <t>8445583171006</t>
  </si>
  <si>
    <t>SDB206</t>
  </si>
  <si>
    <t>8445583170702</t>
  </si>
  <si>
    <t>SDB207</t>
  </si>
  <si>
    <t>8445583171297</t>
  </si>
  <si>
    <t>SDB208</t>
  </si>
  <si>
    <t>8445583173093</t>
  </si>
  <si>
    <t>SDB209</t>
  </si>
  <si>
    <t>8445583171198</t>
  </si>
  <si>
    <t>SDB210</t>
  </si>
  <si>
    <t>8445583175257</t>
  </si>
  <si>
    <t>SDB211</t>
  </si>
  <si>
    <t>8445583172553</t>
  </si>
  <si>
    <t>SDB212</t>
  </si>
  <si>
    <t>8445583169638</t>
  </si>
  <si>
    <t>SDB213</t>
  </si>
  <si>
    <t>8445583171556</t>
  </si>
  <si>
    <t>SDB214</t>
  </si>
  <si>
    <t>8445583167597</t>
  </si>
  <si>
    <t>SDB215</t>
  </si>
  <si>
    <t>8445583175455</t>
  </si>
  <si>
    <t>SDB216</t>
  </si>
  <si>
    <t>8445583170368</t>
  </si>
  <si>
    <t>SDB217</t>
  </si>
  <si>
    <t>8445583173154</t>
  </si>
  <si>
    <t>SDB218</t>
  </si>
  <si>
    <t>8445583173451</t>
  </si>
  <si>
    <t>SDB219</t>
  </si>
  <si>
    <t>8445583170238</t>
  </si>
  <si>
    <t>SDB220</t>
  </si>
  <si>
    <t>8445583172058</t>
  </si>
  <si>
    <t>SDB221</t>
  </si>
  <si>
    <t>8445583167498</t>
  </si>
  <si>
    <t>SDB222</t>
  </si>
  <si>
    <t>8445583169041</t>
  </si>
  <si>
    <t>SDB223</t>
  </si>
  <si>
    <t>8445583168358</t>
  </si>
  <si>
    <t>SDB224</t>
  </si>
  <si>
    <t>8445583170139</t>
  </si>
  <si>
    <t>SDB225</t>
  </si>
  <si>
    <t>8445583168747</t>
  </si>
  <si>
    <t>SDB226</t>
  </si>
  <si>
    <t>8445583169232</t>
  </si>
  <si>
    <t>SDB227</t>
  </si>
  <si>
    <t>8445583168945</t>
  </si>
  <si>
    <t>SDB228</t>
  </si>
  <si>
    <t>8445583168648</t>
  </si>
  <si>
    <t>SDB229</t>
  </si>
  <si>
    <t>8445583168846</t>
  </si>
  <si>
    <t>SDB230</t>
  </si>
  <si>
    <t>8445583172157</t>
  </si>
  <si>
    <t>SDB231</t>
  </si>
  <si>
    <t>8445583171853</t>
  </si>
  <si>
    <t>SDB232</t>
  </si>
  <si>
    <t>8445583109696</t>
  </si>
  <si>
    <t>SDB233</t>
  </si>
  <si>
    <t>8445583168549</t>
  </si>
  <si>
    <t>SDB234</t>
  </si>
  <si>
    <t>8445583169737</t>
  </si>
  <si>
    <t>SDB235</t>
  </si>
  <si>
    <t>8445583169140</t>
  </si>
  <si>
    <t>SDB236</t>
  </si>
  <si>
    <t>8445583169430</t>
  </si>
  <si>
    <t>SDB237</t>
  </si>
  <si>
    <t>8445583167696</t>
  </si>
  <si>
    <t>SDB238</t>
  </si>
  <si>
    <t>8445583169539</t>
  </si>
  <si>
    <t>SDB239</t>
  </si>
  <si>
    <t>8445583176056</t>
  </si>
  <si>
    <t>SDB240</t>
  </si>
  <si>
    <t>8445583168259</t>
  </si>
  <si>
    <t>SDB241</t>
  </si>
  <si>
    <t>8445583167788</t>
  </si>
  <si>
    <t>SDB242</t>
  </si>
  <si>
    <t>8445583168150</t>
  </si>
  <si>
    <t>SDB243</t>
  </si>
  <si>
    <t>8445583168440</t>
  </si>
  <si>
    <t>SDB244</t>
  </si>
  <si>
    <t>8445583169935</t>
  </si>
  <si>
    <t>SDB245</t>
  </si>
  <si>
    <t>8445583172256</t>
  </si>
  <si>
    <t>SDB246</t>
  </si>
  <si>
    <t>8445583175356</t>
  </si>
  <si>
    <t>SDB247</t>
  </si>
  <si>
    <t>8445583170467</t>
  </si>
  <si>
    <t>SDB248</t>
  </si>
  <si>
    <t>8445583170764</t>
  </si>
  <si>
    <t>SDB249</t>
  </si>
  <si>
    <t>8445583171358</t>
  </si>
  <si>
    <t>SDB250</t>
  </si>
  <si>
    <t>8445583167870</t>
  </si>
  <si>
    <t>SDB251</t>
  </si>
  <si>
    <t>8445583171068</t>
  </si>
  <si>
    <t>SDB252</t>
  </si>
  <si>
    <t>8445583167962</t>
  </si>
  <si>
    <t>SDB253</t>
  </si>
  <si>
    <t>8445583169331</t>
  </si>
  <si>
    <t>SDB254</t>
  </si>
  <si>
    <t>8445583168051</t>
  </si>
  <si>
    <t>SDB255</t>
  </si>
  <si>
    <t>8445583170962</t>
  </si>
  <si>
    <t>SDB256</t>
  </si>
  <si>
    <t>8445583170665</t>
  </si>
  <si>
    <t>SDB257</t>
  </si>
  <si>
    <t>8445583171259</t>
  </si>
  <si>
    <t>SDB258</t>
  </si>
  <si>
    <t>8445583173055</t>
  </si>
  <si>
    <t>SDB259</t>
  </si>
  <si>
    <t>8445583171167</t>
  </si>
  <si>
    <t>SDB260</t>
  </si>
  <si>
    <t>8445583175288</t>
  </si>
  <si>
    <t>SDB261</t>
  </si>
  <si>
    <t>8445583172584</t>
  </si>
  <si>
    <t>SDB262</t>
  </si>
  <si>
    <t>8445583169669</t>
  </si>
  <si>
    <t>SDB263</t>
  </si>
  <si>
    <t>8445583171587</t>
  </si>
  <si>
    <t>SDB264</t>
  </si>
  <si>
    <t>8445583167627</t>
  </si>
  <si>
    <t>SDB265</t>
  </si>
  <si>
    <t>8445583175486</t>
  </si>
  <si>
    <t>SDB266</t>
  </si>
  <si>
    <t>8445583170399</t>
  </si>
  <si>
    <t>SDB267</t>
  </si>
  <si>
    <t>8445583173185</t>
  </si>
  <si>
    <t>SDB268</t>
  </si>
  <si>
    <t>8445583173482</t>
  </si>
  <si>
    <t>SDB269</t>
  </si>
  <si>
    <t>8445583170269</t>
  </si>
  <si>
    <t>SDB270</t>
  </si>
  <si>
    <t>8445583172089</t>
  </si>
  <si>
    <t>SDB271</t>
  </si>
  <si>
    <t>8445583167528</t>
  </si>
  <si>
    <t>SDB272</t>
  </si>
  <si>
    <t>8445583169072</t>
  </si>
  <si>
    <t>SDB273</t>
  </si>
  <si>
    <t>8445583168372</t>
  </si>
  <si>
    <t>SDB274</t>
  </si>
  <si>
    <t>8445583170160</t>
  </si>
  <si>
    <t>SDB275</t>
  </si>
  <si>
    <t>8445583168778</t>
  </si>
  <si>
    <t>SDB276</t>
  </si>
  <si>
    <t>8445583169263</t>
  </si>
  <si>
    <t>SDB277</t>
  </si>
  <si>
    <t>8445583168976</t>
  </si>
  <si>
    <t>SDB278</t>
  </si>
  <si>
    <t>8445583168679</t>
  </si>
  <si>
    <t>SDB279</t>
  </si>
  <si>
    <t>8445583168877</t>
  </si>
  <si>
    <t>SDB280</t>
  </si>
  <si>
    <t>8445583172188</t>
  </si>
  <si>
    <t>SDB281</t>
  </si>
  <si>
    <t>8445583171884</t>
  </si>
  <si>
    <t>SDB282</t>
  </si>
  <si>
    <t>8445583170306</t>
  </si>
  <si>
    <t>SDB283</t>
  </si>
  <si>
    <t>8445583168570</t>
  </si>
  <si>
    <t>SDB284</t>
  </si>
  <si>
    <t>8445583169768</t>
  </si>
  <si>
    <t>SDB285</t>
  </si>
  <si>
    <t>8445583169164</t>
  </si>
  <si>
    <t>SDB286</t>
  </si>
  <si>
    <t>8445583169461</t>
  </si>
  <si>
    <t>SDB287</t>
  </si>
  <si>
    <t>8445583167719</t>
  </si>
  <si>
    <t>SDB288</t>
  </si>
  <si>
    <t>8445583169560</t>
  </si>
  <si>
    <t>SDB289</t>
  </si>
  <si>
    <t>8445583176070</t>
  </si>
  <si>
    <t>SDB290</t>
  </si>
  <si>
    <t>8445583168280</t>
  </si>
  <si>
    <t>SDB291</t>
  </si>
  <si>
    <t>8445583167801</t>
  </si>
  <si>
    <t>SDB292</t>
  </si>
  <si>
    <t>8445583168181</t>
  </si>
  <si>
    <t>SDB293</t>
  </si>
  <si>
    <t>8445583168471</t>
  </si>
  <si>
    <t>SDB294</t>
  </si>
  <si>
    <t>8445583169966</t>
  </si>
  <si>
    <t>SDB295</t>
  </si>
  <si>
    <t>8445583172287</t>
  </si>
  <si>
    <t>SDB296</t>
  </si>
  <si>
    <t>8445583175387</t>
  </si>
  <si>
    <t>SDB297</t>
  </si>
  <si>
    <t>8445583170498</t>
  </si>
  <si>
    <t>SDB298</t>
  </si>
  <si>
    <t>8445583170795</t>
  </si>
  <si>
    <t>SDB299</t>
  </si>
  <si>
    <t>8445583171389</t>
  </si>
  <si>
    <t>SDB300</t>
  </si>
  <si>
    <t>8445583167894</t>
  </si>
  <si>
    <t>SDB301</t>
  </si>
  <si>
    <t>8445583171099</t>
  </si>
  <si>
    <t>SDB302</t>
  </si>
  <si>
    <t>8445583167986</t>
  </si>
  <si>
    <t>SDB303</t>
  </si>
  <si>
    <t>8445583169362</t>
  </si>
  <si>
    <t>SDB304</t>
  </si>
  <si>
    <t>8445583168082</t>
  </si>
  <si>
    <t>SDB305</t>
  </si>
  <si>
    <t>8445583170993</t>
  </si>
  <si>
    <t>SDB306</t>
  </si>
  <si>
    <t>8445583170696</t>
  </si>
  <si>
    <t>SDB307</t>
  </si>
  <si>
    <t>8445583171280</t>
  </si>
  <si>
    <t>SDB308</t>
  </si>
  <si>
    <t>8445583173086</t>
  </si>
  <si>
    <t>SDB309</t>
  </si>
  <si>
    <t>8445583171181</t>
  </si>
  <si>
    <t>SDB310</t>
  </si>
  <si>
    <t>8445583175226</t>
  </si>
  <si>
    <t>SDB311</t>
  </si>
  <si>
    <t>8445583172522</t>
  </si>
  <si>
    <t>SDB312</t>
  </si>
  <si>
    <t>8445583169607</t>
  </si>
  <si>
    <t>SDB313</t>
  </si>
  <si>
    <t>8445583171525</t>
  </si>
  <si>
    <t>SDB314</t>
  </si>
  <si>
    <t>8445583167566</t>
  </si>
  <si>
    <t>SDB315</t>
  </si>
  <si>
    <t>8445583175424</t>
  </si>
  <si>
    <t>SDB316</t>
  </si>
  <si>
    <t>8445583170337</t>
  </si>
  <si>
    <t>SDB317</t>
  </si>
  <si>
    <t>8445583173123</t>
  </si>
  <si>
    <t>SDB318</t>
  </si>
  <si>
    <t>8445583173420</t>
  </si>
  <si>
    <t>SDB319</t>
  </si>
  <si>
    <t>8445583170207</t>
  </si>
  <si>
    <t>SDB320</t>
  </si>
  <si>
    <t>8445583172027</t>
  </si>
  <si>
    <t>SDB321</t>
  </si>
  <si>
    <t>8445583167467</t>
  </si>
  <si>
    <t>SDB322</t>
  </si>
  <si>
    <t>8445583169010</t>
  </si>
  <si>
    <t>SDB323</t>
  </si>
  <si>
    <t>8445583168327</t>
  </si>
  <si>
    <t>SDB324</t>
  </si>
  <si>
    <t>8445583170108</t>
  </si>
  <si>
    <t>SDB325</t>
  </si>
  <si>
    <t>8445583168716</t>
  </si>
  <si>
    <t>SDB326</t>
  </si>
  <si>
    <t>8445583169201</t>
  </si>
  <si>
    <t>SDB327</t>
  </si>
  <si>
    <t>8445583168914</t>
  </si>
  <si>
    <t>SDB328</t>
  </si>
  <si>
    <t>8445583168617</t>
  </si>
  <si>
    <t>SDB329</t>
  </si>
  <si>
    <t>8445583168815</t>
  </si>
  <si>
    <t>SDB330</t>
  </si>
  <si>
    <t>8445583172126</t>
  </si>
  <si>
    <t>SDB331</t>
  </si>
  <si>
    <t>8445583171822</t>
  </si>
  <si>
    <t>SDB332</t>
  </si>
  <si>
    <t>8445583109665</t>
  </si>
  <si>
    <t>SDB333</t>
  </si>
  <si>
    <t>8445583168518</t>
  </si>
  <si>
    <t>SDB334</t>
  </si>
  <si>
    <t>8445583169706</t>
  </si>
  <si>
    <t>SDB335</t>
  </si>
  <si>
    <t>8445583169119</t>
  </si>
  <si>
    <t>SDB336</t>
  </si>
  <si>
    <t>8445583169409</t>
  </si>
  <si>
    <t>SDB337</t>
  </si>
  <si>
    <t>8445583167665</t>
  </si>
  <si>
    <t>SDB338</t>
  </si>
  <si>
    <t>8445583169508</t>
  </si>
  <si>
    <t>SDB339</t>
  </si>
  <si>
    <t>8445583176025</t>
  </si>
  <si>
    <t>SDB340</t>
  </si>
  <si>
    <t>8445583168228</t>
  </si>
  <si>
    <t>SDB341</t>
  </si>
  <si>
    <t>8445583167757</t>
  </si>
  <si>
    <t>SDB342</t>
  </si>
  <si>
    <t>8445583168129</t>
  </si>
  <si>
    <t>SDB343</t>
  </si>
  <si>
    <t>8445583168419</t>
  </si>
  <si>
    <t>SDB344</t>
  </si>
  <si>
    <t>8445583169904</t>
  </si>
  <si>
    <t>SDB345</t>
  </si>
  <si>
    <t>8445583172225</t>
  </si>
  <si>
    <t>SDB346</t>
  </si>
  <si>
    <t>8445583175325</t>
  </si>
  <si>
    <t>SDB347</t>
  </si>
  <si>
    <t>8445583170436</t>
  </si>
  <si>
    <t>SDB348</t>
  </si>
  <si>
    <t>8445583170733</t>
  </si>
  <si>
    <t>SDB349</t>
  </si>
  <si>
    <t>8445583171327</t>
  </si>
  <si>
    <t>SDB350</t>
  </si>
  <si>
    <t>8445583167849</t>
  </si>
  <si>
    <t>SDB351</t>
  </si>
  <si>
    <t>8445583171037</t>
  </si>
  <si>
    <t>SDB352</t>
  </si>
  <si>
    <t>8445583167931</t>
  </si>
  <si>
    <t>SDB353</t>
  </si>
  <si>
    <t>8445583169300</t>
  </si>
  <si>
    <t>SDB354</t>
  </si>
  <si>
    <t>8445583168020</t>
  </si>
  <si>
    <t>SDB355</t>
  </si>
  <si>
    <t>8445583170931</t>
  </si>
  <si>
    <t>SDB356</t>
  </si>
  <si>
    <t>8445583170634</t>
  </si>
  <si>
    <t>SDB357</t>
  </si>
  <si>
    <t>8445583171228</t>
  </si>
  <si>
    <t>SDB358</t>
  </si>
  <si>
    <t>8445583173024</t>
  </si>
  <si>
    <t>SDB359</t>
  </si>
  <si>
    <t>8445583171136</t>
  </si>
  <si>
    <t>SDB360</t>
  </si>
  <si>
    <t>8445583175202</t>
  </si>
  <si>
    <t>SDB361</t>
  </si>
  <si>
    <t>8445583172508</t>
  </si>
  <si>
    <t>SDB362</t>
  </si>
  <si>
    <t>8445583169584</t>
  </si>
  <si>
    <t>SDB363</t>
  </si>
  <si>
    <t>8445583171501</t>
  </si>
  <si>
    <t>SDB364</t>
  </si>
  <si>
    <t>8445583167542</t>
  </si>
  <si>
    <t>SDB365</t>
  </si>
  <si>
    <t>8445583175400</t>
  </si>
  <si>
    <t>SDB366</t>
  </si>
  <si>
    <t>8445583170313</t>
  </si>
  <si>
    <t>SDB367</t>
  </si>
  <si>
    <t>8445583173109</t>
  </si>
  <si>
    <t>SDB368</t>
  </si>
  <si>
    <t>8445583173406</t>
  </si>
  <si>
    <t>SDB369</t>
  </si>
  <si>
    <t>8445583170184</t>
  </si>
  <si>
    <t>SDB370</t>
  </si>
  <si>
    <t>8445583172003</t>
  </si>
  <si>
    <t>SDB371</t>
  </si>
  <si>
    <t>8445583167443</t>
  </si>
  <si>
    <t>SDB372</t>
  </si>
  <si>
    <t>8445583168990</t>
  </si>
  <si>
    <t>SDB373</t>
  </si>
  <si>
    <t>8445583168303</t>
  </si>
  <si>
    <t>SDB374</t>
  </si>
  <si>
    <t>8445583170085</t>
  </si>
  <si>
    <t>SDB375</t>
  </si>
  <si>
    <t>8445583168693</t>
  </si>
  <si>
    <t>SDB376</t>
  </si>
  <si>
    <t>8445583169188</t>
  </si>
  <si>
    <t>SDB377</t>
  </si>
  <si>
    <t>8445583168891</t>
  </si>
  <si>
    <t>SDB378</t>
  </si>
  <si>
    <t>8445583168594</t>
  </si>
  <si>
    <t>SDB379</t>
  </si>
  <si>
    <t>8445583168792</t>
  </si>
  <si>
    <t>SDB380</t>
  </si>
  <si>
    <t>8445583172102</t>
  </si>
  <si>
    <t>SDB381</t>
  </si>
  <si>
    <t>8445583171808</t>
  </si>
  <si>
    <t>SDB382</t>
  </si>
  <si>
    <t>8445583109634</t>
  </si>
  <si>
    <t>SDB383</t>
  </si>
  <si>
    <t>8445583168495</t>
  </si>
  <si>
    <t>SDB384</t>
  </si>
  <si>
    <t>8445583169683</t>
  </si>
  <si>
    <t>SDB385</t>
  </si>
  <si>
    <t>8445583169096</t>
  </si>
  <si>
    <t>SDB386</t>
  </si>
  <si>
    <t>8445583169386</t>
  </si>
  <si>
    <t>SDB387</t>
  </si>
  <si>
    <t>8445583167641</t>
  </si>
  <si>
    <t>SDB388</t>
  </si>
  <si>
    <t>8445583169485</t>
  </si>
  <si>
    <t>SDB389</t>
  </si>
  <si>
    <t>8445583176001</t>
  </si>
  <si>
    <t>SDB390</t>
  </si>
  <si>
    <t>8445583168204</t>
  </si>
  <si>
    <t>SDB391</t>
  </si>
  <si>
    <t>8445583167733</t>
  </si>
  <si>
    <t>SDB392</t>
  </si>
  <si>
    <t>8445583168105</t>
  </si>
  <si>
    <t>SDB393</t>
  </si>
  <si>
    <t>8445583168396</t>
  </si>
  <si>
    <t>SDB394</t>
  </si>
  <si>
    <t>8445583169881</t>
  </si>
  <si>
    <t>SDB395</t>
  </si>
  <si>
    <t>8445583172201</t>
  </si>
  <si>
    <t>SDB396</t>
  </si>
  <si>
    <t>8445583175301</t>
  </si>
  <si>
    <t>SDB397</t>
  </si>
  <si>
    <t>8445583170412</t>
  </si>
  <si>
    <t>SDB398</t>
  </si>
  <si>
    <t>8445583170719</t>
  </si>
  <si>
    <t>SDB399</t>
  </si>
  <si>
    <t>8445583171303</t>
  </si>
  <si>
    <t>SDB400</t>
  </si>
  <si>
    <t>8445583167825</t>
  </si>
  <si>
    <t>SDB401</t>
  </si>
  <si>
    <t>8445583171013</t>
  </si>
  <si>
    <t>SDB402</t>
  </si>
  <si>
    <t>8445583167917</t>
  </si>
  <si>
    <t>SDB403</t>
  </si>
  <si>
    <t>8445583169287</t>
  </si>
  <si>
    <t>SDB404</t>
  </si>
  <si>
    <t>8445583168006</t>
  </si>
  <si>
    <t>SDB405</t>
  </si>
  <si>
    <t>8445583170917</t>
  </si>
  <si>
    <t>SDB406</t>
  </si>
  <si>
    <t>8445583170610</t>
  </si>
  <si>
    <t>SDB407</t>
  </si>
  <si>
    <t>8445583171204</t>
  </si>
  <si>
    <t>SDB408</t>
  </si>
  <si>
    <t>8445583173000</t>
  </si>
  <si>
    <t>SDB409</t>
  </si>
  <si>
    <t>8445583171112</t>
  </si>
  <si>
    <t>SDB410</t>
  </si>
  <si>
    <t>8445583175264</t>
  </si>
  <si>
    <t>Blanc écru</t>
  </si>
  <si>
    <t>SDB411</t>
  </si>
  <si>
    <t>8445583172560</t>
  </si>
  <si>
    <t>SDB412</t>
  </si>
  <si>
    <t>8445583169645</t>
  </si>
  <si>
    <t>SDB413</t>
  </si>
  <si>
    <t>8445583171563</t>
  </si>
  <si>
    <t>SDB414</t>
  </si>
  <si>
    <t>8445583167603</t>
  </si>
  <si>
    <t>SDB415</t>
  </si>
  <si>
    <t>8445583175462</t>
  </si>
  <si>
    <t>SDB416</t>
  </si>
  <si>
    <t>8445583170375</t>
  </si>
  <si>
    <t>SDB417</t>
  </si>
  <si>
    <t>8445583173161</t>
  </si>
  <si>
    <t>SDB418</t>
  </si>
  <si>
    <t>8445583173468</t>
  </si>
  <si>
    <t>SDB419</t>
  </si>
  <si>
    <t>8445583170245</t>
  </si>
  <si>
    <t>SDB420</t>
  </si>
  <si>
    <t>8445583172065</t>
  </si>
  <si>
    <t>SDB421</t>
  </si>
  <si>
    <t>8445583167504</t>
  </si>
  <si>
    <t>SDB422</t>
  </si>
  <si>
    <t>8445583169058</t>
  </si>
  <si>
    <t>SDB423</t>
  </si>
  <si>
    <t>8445583197754</t>
  </si>
  <si>
    <t>SDB424</t>
  </si>
  <si>
    <t>8445583170146</t>
  </si>
  <si>
    <t>SDB425</t>
  </si>
  <si>
    <t>8445583168754</t>
  </si>
  <si>
    <t>SDB426</t>
  </si>
  <si>
    <t>8445583169249</t>
  </si>
  <si>
    <t>SDB427</t>
  </si>
  <si>
    <t>8445583168952</t>
  </si>
  <si>
    <t>SDB428</t>
  </si>
  <si>
    <t>8445583168655</t>
  </si>
  <si>
    <t>SDB429</t>
  </si>
  <si>
    <t>8445583168853</t>
  </si>
  <si>
    <t>SDB430</t>
  </si>
  <si>
    <t>8445583172164</t>
  </si>
  <si>
    <t>SDB431</t>
  </si>
  <si>
    <t>8445583171860</t>
  </si>
  <si>
    <t>SDB432</t>
  </si>
  <si>
    <t>8445583170290</t>
  </si>
  <si>
    <t>SDB433</t>
  </si>
  <si>
    <t>8445583168556</t>
  </si>
  <si>
    <t>SDB434</t>
  </si>
  <si>
    <t>8445583169744</t>
  </si>
  <si>
    <t>SDB435</t>
  </si>
  <si>
    <t>8445583197761</t>
  </si>
  <si>
    <t>SDB436</t>
  </si>
  <si>
    <t>8445583169447</t>
  </si>
  <si>
    <t>SDB437</t>
  </si>
  <si>
    <t>8445583197778</t>
  </si>
  <si>
    <t>SDB438</t>
  </si>
  <si>
    <t>8445583169546</t>
  </si>
  <si>
    <t>SDB439</t>
  </si>
  <si>
    <t>8445583197808</t>
  </si>
  <si>
    <t>SDB440</t>
  </si>
  <si>
    <t>8445583168266</t>
  </si>
  <si>
    <t>SDB441</t>
  </si>
  <si>
    <t>8445583197785</t>
  </si>
  <si>
    <t>SDB442</t>
  </si>
  <si>
    <t>8445583168167</t>
  </si>
  <si>
    <t>SDB443</t>
  </si>
  <si>
    <t>8445583168457</t>
  </si>
  <si>
    <t>SDB444</t>
  </si>
  <si>
    <t>8445583169942</t>
  </si>
  <si>
    <t>SDB445</t>
  </si>
  <si>
    <t>8445583172263</t>
  </si>
  <si>
    <t>SDB446</t>
  </si>
  <si>
    <t>8445583175363</t>
  </si>
  <si>
    <t>SDB447</t>
  </si>
  <si>
    <t>8445583170474</t>
  </si>
  <si>
    <t>SDB448</t>
  </si>
  <si>
    <t>8445583170771</t>
  </si>
  <si>
    <t>SDB449</t>
  </si>
  <si>
    <t>8445583171365</t>
  </si>
  <si>
    <t>SDB450</t>
  </si>
  <si>
    <t>8445583197792</t>
  </si>
  <si>
    <t>SDB451</t>
  </si>
  <si>
    <t>8445583171075</t>
  </si>
  <si>
    <t>SDB452</t>
  </si>
  <si>
    <t>8445583197822</t>
  </si>
  <si>
    <t>SDB453</t>
  </si>
  <si>
    <t>8445583169348</t>
  </si>
  <si>
    <t>SDB454</t>
  </si>
  <si>
    <t>8445583168068</t>
  </si>
  <si>
    <t>SDB455</t>
  </si>
  <si>
    <t>8445583170979</t>
  </si>
  <si>
    <t>SDB456</t>
  </si>
  <si>
    <t>8445583170672</t>
  </si>
  <si>
    <t>SDB457</t>
  </si>
  <si>
    <t>8445583171266</t>
  </si>
  <si>
    <t>SDB458</t>
  </si>
  <si>
    <t>8445583173062</t>
  </si>
  <si>
    <t>SDB459</t>
  </si>
  <si>
    <t>8445583197815</t>
  </si>
  <si>
    <t>SDB460</t>
  </si>
  <si>
    <t>8445583175271</t>
  </si>
  <si>
    <t>SDB461</t>
  </si>
  <si>
    <t>8445583172577</t>
  </si>
  <si>
    <t>SDB462</t>
  </si>
  <si>
    <t>8445583169652</t>
  </si>
  <si>
    <t>SDB463</t>
  </si>
  <si>
    <t>8445583171570</t>
  </si>
  <si>
    <t>SDB464</t>
  </si>
  <si>
    <t>8445583167610</t>
  </si>
  <si>
    <t>SDB465</t>
  </si>
  <si>
    <t>8445583175479</t>
  </si>
  <si>
    <t>SDB466</t>
  </si>
  <si>
    <t>8445583170382</t>
  </si>
  <si>
    <t>SDB467</t>
  </si>
  <si>
    <t>8445583173178</t>
  </si>
  <si>
    <t>SDB468</t>
  </si>
  <si>
    <t>8445583173475</t>
  </si>
  <si>
    <t>SDB469</t>
  </si>
  <si>
    <t>8445583170252</t>
  </si>
  <si>
    <t>SDB470</t>
  </si>
  <si>
    <t>8445583172072</t>
  </si>
  <si>
    <t>SDB471</t>
  </si>
  <si>
    <t>8445583167511</t>
  </si>
  <si>
    <t>SDB472</t>
  </si>
  <si>
    <t>8445583169065</t>
  </si>
  <si>
    <t>SDB473</t>
  </si>
  <si>
    <t>8445583168365</t>
  </si>
  <si>
    <t>SDB474</t>
  </si>
  <si>
    <t>8445583170153</t>
  </si>
  <si>
    <t>SDB475</t>
  </si>
  <si>
    <t>8445583168761</t>
  </si>
  <si>
    <t>SDB476</t>
  </si>
  <si>
    <t>8445583169256</t>
  </si>
  <si>
    <t>SDB477</t>
  </si>
  <si>
    <t>8445583168969</t>
  </si>
  <si>
    <t>SDB478</t>
  </si>
  <si>
    <t>8445583168662</t>
  </si>
  <si>
    <t>SDB479</t>
  </si>
  <si>
    <t>8445583168860</t>
  </si>
  <si>
    <t>SDB480</t>
  </si>
  <si>
    <t>8445583172171</t>
  </si>
  <si>
    <t>SDB481</t>
  </si>
  <si>
    <t>8445583171877</t>
  </si>
  <si>
    <t>SDB482</t>
  </si>
  <si>
    <t>8445583109702</t>
  </si>
  <si>
    <t>SDB483</t>
  </si>
  <si>
    <t>8445583168563</t>
  </si>
  <si>
    <t>SDB484</t>
  </si>
  <si>
    <t>8445583169751</t>
  </si>
  <si>
    <t>SDB485</t>
  </si>
  <si>
    <t>8445583169157</t>
  </si>
  <si>
    <t>SDB486</t>
  </si>
  <si>
    <t>8445583169454</t>
  </si>
  <si>
    <t>SDB487</t>
  </si>
  <si>
    <t>8445583167702</t>
  </si>
  <si>
    <t>SDB488</t>
  </si>
  <si>
    <t>8445583169553</t>
  </si>
  <si>
    <t>SDB489</t>
  </si>
  <si>
    <t>8445583176063</t>
  </si>
  <si>
    <t>SDB490</t>
  </si>
  <si>
    <t>8445583168273</t>
  </si>
  <si>
    <t>SDB491</t>
  </si>
  <si>
    <t>8445583167795</t>
  </si>
  <si>
    <t>SDB492</t>
  </si>
  <si>
    <t>8445583168174</t>
  </si>
  <si>
    <t>SDB493</t>
  </si>
  <si>
    <t>8445583168464</t>
  </si>
  <si>
    <t>SDB494</t>
  </si>
  <si>
    <t>8445583169959</t>
  </si>
  <si>
    <t>SDB495</t>
  </si>
  <si>
    <t>8445583172270</t>
  </si>
  <si>
    <t>SDB496</t>
  </si>
  <si>
    <t>8445583175370</t>
  </si>
  <si>
    <t>SDB497</t>
  </si>
  <si>
    <t>8445583170481</t>
  </si>
  <si>
    <t>SDB498</t>
  </si>
  <si>
    <t>8445583170788</t>
  </si>
  <si>
    <t>SDB499</t>
  </si>
  <si>
    <t>8445583171372</t>
  </si>
  <si>
    <t>SDB500</t>
  </si>
  <si>
    <t>8445583167887</t>
  </si>
  <si>
    <t>SDB501</t>
  </si>
  <si>
    <t>8445583171082</t>
  </si>
  <si>
    <t>SDB502</t>
  </si>
  <si>
    <t>8445583167979</t>
  </si>
  <si>
    <t>SDB503</t>
  </si>
  <si>
    <t>8445583169355</t>
  </si>
  <si>
    <t>SDB504</t>
  </si>
  <si>
    <t>8445583168075</t>
  </si>
  <si>
    <t>SDB505</t>
  </si>
  <si>
    <t>8445583170986</t>
  </si>
  <si>
    <t>SDB506</t>
  </si>
  <si>
    <t>8445583170689</t>
  </si>
  <si>
    <t>SDB507</t>
  </si>
  <si>
    <t>8445583171273</t>
  </si>
  <si>
    <t>SDB508</t>
  </si>
  <si>
    <t>8445583173079</t>
  </si>
  <si>
    <t>SDB509</t>
  </si>
  <si>
    <t>8445583171174</t>
  </si>
  <si>
    <t>SDB510</t>
  </si>
  <si>
    <t>8445583327830</t>
  </si>
  <si>
    <t>SDB511</t>
  </si>
  <si>
    <t>8445583327847</t>
  </si>
  <si>
    <t>SDB512</t>
  </si>
  <si>
    <t>8445583327854</t>
  </si>
  <si>
    <t>SDB513</t>
  </si>
  <si>
    <t>8445583327861</t>
  </si>
  <si>
    <t>SDB514</t>
  </si>
  <si>
    <t>8445583327878</t>
  </si>
  <si>
    <t>SDB515</t>
  </si>
  <si>
    <t>8445583327885</t>
  </si>
  <si>
    <t>SDB516</t>
  </si>
  <si>
    <t>8445583327892</t>
  </si>
  <si>
    <t>SDB517</t>
  </si>
  <si>
    <t>8445583327908</t>
  </si>
  <si>
    <t>SDB518</t>
  </si>
  <si>
    <t>8445583327915</t>
  </si>
  <si>
    <t>SDB519</t>
  </si>
  <si>
    <t>8445583327922</t>
  </si>
  <si>
    <t>SDB520</t>
  </si>
  <si>
    <t>8445583327939</t>
  </si>
  <si>
    <t>SDB521</t>
  </si>
  <si>
    <t>8445583328233</t>
  </si>
  <si>
    <t>SDB522</t>
  </si>
  <si>
    <t>8445583328240</t>
  </si>
  <si>
    <t>SDB523</t>
  </si>
  <si>
    <t>8445583328257</t>
  </si>
  <si>
    <t>SDB524</t>
  </si>
  <si>
    <t>8445583328264</t>
  </si>
  <si>
    <t>SDB525</t>
  </si>
  <si>
    <t>8445583328271</t>
  </si>
  <si>
    <t>SDB526</t>
  </si>
  <si>
    <t>8445583328288</t>
  </si>
  <si>
    <t>SDB527</t>
  </si>
  <si>
    <t>8445583328295</t>
  </si>
  <si>
    <t>SDB528</t>
  </si>
  <si>
    <t>8445583328301</t>
  </si>
  <si>
    <t>SDB529</t>
  </si>
  <si>
    <t>8445583328318</t>
  </si>
  <si>
    <t>SDB530</t>
  </si>
  <si>
    <t>8445583328325</t>
  </si>
  <si>
    <t>SDB531</t>
  </si>
  <si>
    <t>8445583328332</t>
  </si>
  <si>
    <t>SDB532</t>
  </si>
  <si>
    <t>8445583328363</t>
  </si>
  <si>
    <t>SDB533</t>
  </si>
  <si>
    <t>8445583328370</t>
  </si>
  <si>
    <t>SDB534</t>
  </si>
  <si>
    <t>8445583328387</t>
  </si>
  <si>
    <t>SDB535</t>
  </si>
  <si>
    <t>8445583328394</t>
  </si>
  <si>
    <t>SDB536</t>
  </si>
  <si>
    <t>8445583328400</t>
  </si>
  <si>
    <t>SDB537</t>
  </si>
  <si>
    <t>8445583328417</t>
  </si>
  <si>
    <t>SDB538</t>
  </si>
  <si>
    <t>8445583328424</t>
  </si>
  <si>
    <t>SDB539</t>
  </si>
  <si>
    <t>8445583328431</t>
  </si>
  <si>
    <t>SDB540</t>
  </si>
  <si>
    <t>8445583328448</t>
  </si>
  <si>
    <t>SDB541</t>
  </si>
  <si>
    <t>8445583328455</t>
  </si>
  <si>
    <t>SDB542</t>
  </si>
  <si>
    <t>8445583328462</t>
  </si>
  <si>
    <t>SDB543</t>
  </si>
  <si>
    <t>8445583328479</t>
  </si>
  <si>
    <t>SDB544</t>
  </si>
  <si>
    <t>8445583328486</t>
  </si>
  <si>
    <t>SDB545</t>
  </si>
  <si>
    <t>8445583328493</t>
  </si>
  <si>
    <t>SDB546</t>
  </si>
  <si>
    <t>8445583328523</t>
  </si>
  <si>
    <t>SDB547</t>
  </si>
  <si>
    <t>8445583328530</t>
  </si>
  <si>
    <t>SDB548</t>
  </si>
  <si>
    <t>8445583328547</t>
  </si>
  <si>
    <t>SDB549</t>
  </si>
  <si>
    <t>8445583328554</t>
  </si>
  <si>
    <t>SDB550</t>
  </si>
  <si>
    <t>8445583328561</t>
  </si>
  <si>
    <t>SDB551</t>
  </si>
  <si>
    <t>8445583328578</t>
  </si>
  <si>
    <t>SDB552</t>
  </si>
  <si>
    <t>8445583328585</t>
  </si>
  <si>
    <t>SDB553</t>
  </si>
  <si>
    <t>8445583328592</t>
  </si>
  <si>
    <t>SDB554</t>
  </si>
  <si>
    <t>8445583328608</t>
  </si>
  <si>
    <t>SDB555</t>
  </si>
  <si>
    <t>8445583328615</t>
  </si>
  <si>
    <t>SDB556</t>
  </si>
  <si>
    <t>8445583328622</t>
  </si>
  <si>
    <t>SDB557</t>
  </si>
  <si>
    <t>8445583328639</t>
  </si>
  <si>
    <t>SDB558</t>
  </si>
  <si>
    <t>8445583328646</t>
  </si>
  <si>
    <t>SDB559</t>
  </si>
  <si>
    <t>8445583328677</t>
  </si>
  <si>
    <t>SDB560</t>
  </si>
  <si>
    <t>8445583328714</t>
  </si>
  <si>
    <t>SDB561</t>
  </si>
  <si>
    <t>8445583328721</t>
  </si>
  <si>
    <t>SDB562</t>
  </si>
  <si>
    <t>8445583328738</t>
  </si>
  <si>
    <t>SDB563</t>
  </si>
  <si>
    <t>8445583328745</t>
  </si>
  <si>
    <t>SDB564</t>
  </si>
  <si>
    <t>8445583328752</t>
  </si>
  <si>
    <t>SDB565</t>
  </si>
  <si>
    <t>8445583328769</t>
  </si>
  <si>
    <t>SDB566</t>
  </si>
  <si>
    <t>8445583328776</t>
  </si>
  <si>
    <t>SDB567</t>
  </si>
  <si>
    <t>8445583328783</t>
  </si>
  <si>
    <t>SDB568</t>
  </si>
  <si>
    <t>8445583328790</t>
  </si>
  <si>
    <t>SDB569</t>
  </si>
  <si>
    <t>8445583328806</t>
  </si>
  <si>
    <t>SDB570</t>
  </si>
  <si>
    <t>8445583328813</t>
  </si>
  <si>
    <t>SDB571</t>
  </si>
  <si>
    <t>8445583329117</t>
  </si>
  <si>
    <t>SDB572</t>
  </si>
  <si>
    <t>8445583329124</t>
  </si>
  <si>
    <t>SDB573</t>
  </si>
  <si>
    <t>8445583329131</t>
  </si>
  <si>
    <t>SDB574</t>
  </si>
  <si>
    <t>8445583329148</t>
  </si>
  <si>
    <t>SDB575</t>
  </si>
  <si>
    <t>8445583329155</t>
  </si>
  <si>
    <t>SDB576</t>
  </si>
  <si>
    <t>8445583329162</t>
  </si>
  <si>
    <t>SDB577</t>
  </si>
  <si>
    <t>8445583329179</t>
  </si>
  <si>
    <t>SDB578</t>
  </si>
  <si>
    <t>8445583329186</t>
  </si>
  <si>
    <t>SDB579</t>
  </si>
  <si>
    <t>8445583329193</t>
  </si>
  <si>
    <t>SDB580</t>
  </si>
  <si>
    <t>8445583329209</t>
  </si>
  <si>
    <t>SDB581</t>
  </si>
  <si>
    <t>8445583329216</t>
  </si>
  <si>
    <t>SDB582</t>
  </si>
  <si>
    <t>8445583329247</t>
  </si>
  <si>
    <t>SDB583</t>
  </si>
  <si>
    <t>8445583329254</t>
  </si>
  <si>
    <t>SDB584</t>
  </si>
  <si>
    <t>8445583329261</t>
  </si>
  <si>
    <t>SDB585</t>
  </si>
  <si>
    <t>8445583329278</t>
  </si>
  <si>
    <t>SDB586</t>
  </si>
  <si>
    <t>8445583329285</t>
  </si>
  <si>
    <t>SDB587</t>
  </si>
  <si>
    <t>8445583329292</t>
  </si>
  <si>
    <t>SDB588</t>
  </si>
  <si>
    <t>8445583329308</t>
  </si>
  <si>
    <t>SDB589</t>
  </si>
  <si>
    <t>8445583329315</t>
  </si>
  <si>
    <t>SDB590</t>
  </si>
  <si>
    <t>8445583329322</t>
  </si>
  <si>
    <t>SDB591</t>
  </si>
  <si>
    <t>8445583329339</t>
  </si>
  <si>
    <t>SDB592</t>
  </si>
  <si>
    <t>8445583329346</t>
  </si>
  <si>
    <t>SDB593</t>
  </si>
  <si>
    <t>8445583329353</t>
  </si>
  <si>
    <t>SDB594</t>
  </si>
  <si>
    <t>8445583329360</t>
  </si>
  <si>
    <t>SDB595</t>
  </si>
  <si>
    <t>8445583329377</t>
  </si>
  <si>
    <t>SDB596</t>
  </si>
  <si>
    <t>8445583329407</t>
  </si>
  <si>
    <t>SDB597</t>
  </si>
  <si>
    <t>8445583329414</t>
  </si>
  <si>
    <t>SDB598</t>
  </si>
  <si>
    <t>8445583329421</t>
  </si>
  <si>
    <t>SDB599</t>
  </si>
  <si>
    <t>8445583329438</t>
  </si>
  <si>
    <t>SDB600</t>
  </si>
  <si>
    <t>8445583329445</t>
  </si>
  <si>
    <t>SDB601</t>
  </si>
  <si>
    <t>8445583329452</t>
  </si>
  <si>
    <t>SDB602</t>
  </si>
  <si>
    <t>8445583329469</t>
  </si>
  <si>
    <t>SDB603</t>
  </si>
  <si>
    <t>8445583329476</t>
  </si>
  <si>
    <t>SDB604</t>
  </si>
  <si>
    <t>8445583329483</t>
  </si>
  <si>
    <t>SDB605</t>
  </si>
  <si>
    <t>8445583329490</t>
  </si>
  <si>
    <t>SDB606</t>
  </si>
  <si>
    <t>8445583329506</t>
  </si>
  <si>
    <t>SDB607</t>
  </si>
  <si>
    <t>8445583329513</t>
  </si>
  <si>
    <t>SDB608</t>
  </si>
  <si>
    <t>8445583329520</t>
  </si>
  <si>
    <t>SDB609</t>
  </si>
  <si>
    <t>8445583329551</t>
  </si>
  <si>
    <t>SDB610</t>
  </si>
  <si>
    <t>8445583329599</t>
  </si>
  <si>
    <t>SDB611</t>
  </si>
  <si>
    <t>8445583329605</t>
  </si>
  <si>
    <t>SDB612</t>
  </si>
  <si>
    <t>8445583329612</t>
  </si>
  <si>
    <t>SDB613</t>
  </si>
  <si>
    <t>8445583329629</t>
  </si>
  <si>
    <t>SDB614</t>
  </si>
  <si>
    <t>8445583329636</t>
  </si>
  <si>
    <t>SDB615</t>
  </si>
  <si>
    <t>8445583329643</t>
  </si>
  <si>
    <t>SDB616</t>
  </si>
  <si>
    <t>8445583329650</t>
  </si>
  <si>
    <t>SDB617</t>
  </si>
  <si>
    <t>8445583329667</t>
  </si>
  <si>
    <t>SDB618</t>
  </si>
  <si>
    <t>8445583329674</t>
  </si>
  <si>
    <t>SDB619</t>
  </si>
  <si>
    <t>8445583329681</t>
  </si>
  <si>
    <t>SDB620</t>
  </si>
  <si>
    <t>8445583329698</t>
  </si>
  <si>
    <t>SDB621</t>
  </si>
  <si>
    <t>8445583329995</t>
  </si>
  <si>
    <t>SDB622</t>
  </si>
  <si>
    <t>8445583330007</t>
  </si>
  <si>
    <t>SDB623</t>
  </si>
  <si>
    <t>8445583330014</t>
  </si>
  <si>
    <t>SDB624</t>
  </si>
  <si>
    <t>8445583330021</t>
  </si>
  <si>
    <t>SDB625</t>
  </si>
  <si>
    <t>8445583330038</t>
  </si>
  <si>
    <t>SDB626</t>
  </si>
  <si>
    <t>8445583330045</t>
  </si>
  <si>
    <t>SDB627</t>
  </si>
  <si>
    <t>8445583330052</t>
  </si>
  <si>
    <t>SDB628</t>
  </si>
  <si>
    <t>8445583330069</t>
  </si>
  <si>
    <t>SDB629</t>
  </si>
  <si>
    <t>8445583330076</t>
  </si>
  <si>
    <t>SDB630</t>
  </si>
  <si>
    <t>8445583330083</t>
  </si>
  <si>
    <t>SDB631</t>
  </si>
  <si>
    <t>8445583330090</t>
  </si>
  <si>
    <t>SDB632</t>
  </si>
  <si>
    <t>8445583330120</t>
  </si>
  <si>
    <t>SDB633</t>
  </si>
  <si>
    <t>8445583330137</t>
  </si>
  <si>
    <t>SDB634</t>
  </si>
  <si>
    <t>8445583330144</t>
  </si>
  <si>
    <t>SDB635</t>
  </si>
  <si>
    <t>8445583330151</t>
  </si>
  <si>
    <t>SDB636</t>
  </si>
  <si>
    <t>8445583330168</t>
  </si>
  <si>
    <t>SDB637</t>
  </si>
  <si>
    <t>8445583330175</t>
  </si>
  <si>
    <t>SDB638</t>
  </si>
  <si>
    <t>8445583330182</t>
  </si>
  <si>
    <t>SDB639</t>
  </si>
  <si>
    <t>8445583330199</t>
  </si>
  <si>
    <t>SDB640</t>
  </si>
  <si>
    <t>8445583330205</t>
  </si>
  <si>
    <t>SDB641</t>
  </si>
  <si>
    <t>8445583330212</t>
  </si>
  <si>
    <t>SDB642</t>
  </si>
  <si>
    <t>8445583330229</t>
  </si>
  <si>
    <t>SDB643</t>
  </si>
  <si>
    <t>8445583330236</t>
  </si>
  <si>
    <t>SDB644</t>
  </si>
  <si>
    <t>8445583330243</t>
  </si>
  <si>
    <t>SDB645</t>
  </si>
  <si>
    <t>8445583330250</t>
  </si>
  <si>
    <t>SDB646</t>
  </si>
  <si>
    <t>8445583330281</t>
  </si>
  <si>
    <t>SDB647</t>
  </si>
  <si>
    <t>8445583330298</t>
  </si>
  <si>
    <t>SDB648</t>
  </si>
  <si>
    <t>8445583330304</t>
  </si>
  <si>
    <t>SDB649</t>
  </si>
  <si>
    <t>8445583330311</t>
  </si>
  <si>
    <t>SDB650</t>
  </si>
  <si>
    <t>8445583330328</t>
  </si>
  <si>
    <t>SDB651</t>
  </si>
  <si>
    <t>8445583330335</t>
  </si>
  <si>
    <t>SDB652</t>
  </si>
  <si>
    <t>8445583330342</t>
  </si>
  <si>
    <t>SDB653</t>
  </si>
  <si>
    <t>8445583330359</t>
  </si>
  <si>
    <t>SDB654</t>
  </si>
  <si>
    <t>8445583330366</t>
  </si>
  <si>
    <t>SDB655</t>
  </si>
  <si>
    <t>8445583330373</t>
  </si>
  <si>
    <t>SDB656</t>
  </si>
  <si>
    <t>8445583330380</t>
  </si>
  <si>
    <t>SDB657</t>
  </si>
  <si>
    <t>8445583330397</t>
  </si>
  <si>
    <t>SDB658</t>
  </si>
  <si>
    <t>8445583330403</t>
  </si>
  <si>
    <t>SDB659</t>
  </si>
  <si>
    <t>8445583330434</t>
  </si>
  <si>
    <t>Lavabo suspendu design en résine minérale ARIELLE</t>
  </si>
  <si>
    <t>SDB660</t>
  </si>
  <si>
    <t>ARIEL</t>
  </si>
  <si>
    <t>8445583290530</t>
  </si>
  <si>
    <t>Ce petit lavabo avec cuvette inclinée et jupe sera une valeur sûre pour donner praticité et harmonie à votre salle de bains, Grâce aux avantages techniques de notre matériau Solid, ARIELLE devient un design tout en masse avec une finition parfaite,</t>
  </si>
  <si>
    <t>Salle de bains&gt;Lavabo</t>
  </si>
  <si>
    <t>Oui</t>
  </si>
  <si>
    <t>35X50 cm</t>
  </si>
  <si>
    <t>Solid</t>
  </si>
  <si>
    <t>SDB661</t>
  </si>
  <si>
    <t>8445583290547</t>
  </si>
  <si>
    <t>SDB662</t>
  </si>
  <si>
    <t>8445583506389</t>
  </si>
  <si>
    <t>SDB663</t>
  </si>
  <si>
    <t>8445583506396</t>
  </si>
  <si>
    <t>SDB664</t>
  </si>
  <si>
    <t>8445583506402</t>
  </si>
  <si>
    <t>SDB665</t>
  </si>
  <si>
    <t>8445583506419</t>
  </si>
  <si>
    <t>SDB666</t>
  </si>
  <si>
    <t>8445583506426</t>
  </si>
  <si>
    <t>SDB667</t>
  </si>
  <si>
    <t>8445583506433</t>
  </si>
  <si>
    <t>SDB668</t>
  </si>
  <si>
    <t>8445583506440</t>
  </si>
  <si>
    <t>SDB669</t>
  </si>
  <si>
    <t>8445583506457</t>
  </si>
  <si>
    <t>SDB670</t>
  </si>
  <si>
    <t>8445583506464</t>
  </si>
  <si>
    <t>SDB671</t>
  </si>
  <si>
    <t>8445583506471</t>
  </si>
  <si>
    <t>SDB673</t>
  </si>
  <si>
    <t>8445583506495</t>
  </si>
  <si>
    <t>Or</t>
  </si>
  <si>
    <t>SDB674</t>
  </si>
  <si>
    <t>8445583506501</t>
  </si>
  <si>
    <t>SDB675</t>
  </si>
  <si>
    <t>8445583506518</t>
  </si>
  <si>
    <t>Marron</t>
  </si>
  <si>
    <t>SDB676</t>
  </si>
  <si>
    <t>8445583506525</t>
  </si>
  <si>
    <t>SDB677</t>
  </si>
  <si>
    <t>8445583506532</t>
  </si>
  <si>
    <t>SDB678</t>
  </si>
  <si>
    <t>8445583506549</t>
  </si>
  <si>
    <t>SDB679</t>
  </si>
  <si>
    <t>8445583506556</t>
  </si>
  <si>
    <t>Lavabo suspendu design en résine minérale ARIANNE</t>
  </si>
  <si>
    <t>SDB680</t>
  </si>
  <si>
    <t>ARIS</t>
  </si>
  <si>
    <t>8445583457087</t>
  </si>
  <si>
    <t>ARIANNE est un lavabo mural au design carré aux bords arrondis, alliant fonctionnalité et style avant-gardiste. Fabriqué en Solid Surface pour une finition sans joint et un toucher doux, il offre des propriétés hygiéniques et une finition mate élégante. Possibilité de personnalisation avec douze couleurs différentes et sept teintes métallisées.</t>
  </si>
  <si>
    <t>42X42 cm</t>
  </si>
  <si>
    <t>SDB681</t>
  </si>
  <si>
    <t>8445583457445</t>
  </si>
  <si>
    <t>SDB682</t>
  </si>
  <si>
    <t>8445583477825</t>
  </si>
  <si>
    <t>SDB683</t>
  </si>
  <si>
    <t>8445583477832</t>
  </si>
  <si>
    <t>SDB684</t>
  </si>
  <si>
    <t>8445583477849</t>
  </si>
  <si>
    <t>SDB685</t>
  </si>
  <si>
    <t>8445583477856</t>
  </si>
  <si>
    <t>SDB686</t>
  </si>
  <si>
    <t>8445583477863</t>
  </si>
  <si>
    <t>Rose métallisée</t>
  </si>
  <si>
    <t>SDB687</t>
  </si>
  <si>
    <t>8445583477887</t>
  </si>
  <si>
    <t>SDB688</t>
  </si>
  <si>
    <t>8445583477894</t>
  </si>
  <si>
    <t>SDB689</t>
  </si>
  <si>
    <t>8445583477900</t>
  </si>
  <si>
    <t>SDB690</t>
  </si>
  <si>
    <t>8445583477917</t>
  </si>
  <si>
    <t>SDB691</t>
  </si>
  <si>
    <t>8445583477924</t>
  </si>
  <si>
    <t>SDB692</t>
  </si>
  <si>
    <t>8445583477931</t>
  </si>
  <si>
    <t>SDB693</t>
  </si>
  <si>
    <t>8445583477948</t>
  </si>
  <si>
    <t>SDB694</t>
  </si>
  <si>
    <t>8445583477955</t>
  </si>
  <si>
    <t>SDB695</t>
  </si>
  <si>
    <t>8445583477962</t>
  </si>
  <si>
    <t>SDB696</t>
  </si>
  <si>
    <t>8445583477979</t>
  </si>
  <si>
    <t>SDB697</t>
  </si>
  <si>
    <t>SDB698</t>
  </si>
  <si>
    <t>8445583477993</t>
  </si>
  <si>
    <t>Lavabo colonne design en résine minérale SUN</t>
  </si>
  <si>
    <t>SDB699</t>
  </si>
  <si>
    <t>SUNSHINE</t>
  </si>
  <si>
    <t>8445583467932</t>
  </si>
  <si>
    <t>La vasque à poser SUN, inspirée de la forme du soleil, apporte une touche élégante et essentielle à la salle de bains. Fabriquée en Solid Surface, un matériau résistant et antibactérien, elle est disponible en finition blanche avec une robinetterie assortie et l'option d'un trop-plein.</t>
  </si>
  <si>
    <t>40X40 cm</t>
  </si>
  <si>
    <t xml:space="preserve">Lavabo colonne design en résine minérale SUN </t>
  </si>
  <si>
    <t>SDB700</t>
  </si>
  <si>
    <t>8445583467949</t>
  </si>
  <si>
    <t>Détails du produit</t>
  </si>
  <si>
    <t>Conseils de pose</t>
  </si>
  <si>
    <t>Questions fréquentes</t>
  </si>
  <si>
    <t>Ultracolor PLUS - Mortier de jointoiement CG2FWA, hautes performances, hydrofugé, antiacide, à prise et séchage rapides, pour la réalisation de joints jusqu'à 20 mm.</t>
  </si>
  <si>
    <t>PF01</t>
  </si>
  <si>
    <t>MAPEI</t>
  </si>
  <si>
    <t>6010005AFR</t>
  </si>
  <si>
    <t>Mapei Ultracolor Plus est le mortier de jointoiement polyvalent qui s’adapte à toutes les exigences, pour des joints esthétiques et durables sur les sols et les murs. Grâce à ses technologies innovantes DropEffect et BioBlock, ce mortier assure une protection contre l’humidité, la moisissure, et garde un aspect frais et impeccable.</t>
  </si>
  <si>
    <t xml:space="preserve">
Technologies innovantes
Technologie DropEffect : rend la surface hydrofuge, avec une résistance accrue aux taches
Technologie BioBlock : empêche la prolifération des moisissures et assure des joints sains et hygiéniques
Sans efflorescence : pour un résultat esthétique parfait sans décoloration indésirable
Caractéristiques du produit
Caractéristique	Détail
Numéro de l'article	40619-100-5
Quantité	1
Composants	1 composant
Matériau de surface cible	Céramique, Marbre, Granit, Mosaïque en verre, Mosaïque de marbre, Pierre naturelle, Terre cuite, Porcelaine
Marque	Mapei
Cohérence	Poudre fine
Consistance du mélange	Pâte liquide
EAN	8022452092824
Signe(s) de danger	Non
Méthode de traitement	Main
Lieu	À l'intérieur, À l'extérieur, À l'intérieur et à l'extérieur, Pièce humide
Couleurs de la carte Mapei	100 Blanc
Projet	Salle de bains, Piscine, Terrasse, Espace commercial, Espace public, Piscine (hors d'eau)
Résistant au vieillissement	Bien
Résistant aux intempéries	Bien
Résistant à l'humidité	Bien
Résistant au savon et aux détergents	Bien
Résistant aux acides	Bon à pH &gt; 3
Résistant aux alcalis	Excellent
Résistant aux huiles	Excellent
Résistant aux solvants	Excellent
Fonction spéciale	Ajouter des tuiles
État du substrat	Sans poussière, Sans gras, Beau, Sec
Genre d'emballage	Poche
Gamme d'application	Mur, Sol
Usage	Semi-professionnel, Professionnel
Emballage	5 kg
Poids brut	5.13 kg
(Léger) praticable à pied	3 h
Largeur de joint maximale	20 mm
Température de traitement maximale	35 °C
Largeur de joint minimale	1 mm
Température de traitement minimale	5 °C
Temps de traitement du mélange	25 min
Prêt à l'emploi	24 h
Résistance à la température (maximale)	60 °C
Résistance à la température (minimale)	-20 °C</t>
  </si>
  <si>
    <t>Applications et Domaines d'utilisation:
Convient pour le jointoiement des carreaux en céramique, grès, porcelaine, pierre naturelle et mosaïques. Idéal pour les projets intérieurs et extérieurs tels que les balcons, terrasses, façades, piscines et autres espaces nécessitant une haute durabilité.
Temps de séchage et utilisation rapide
Temps de séchage initial : 3 heures pour une utilisation légère des sols
Utilisation complète : 24 heures après application pour les surfaces générales
Pour les bassins/piscines : attendre 48 heures avant de remplir d’eauMode d'emploi
Pour un résultat optimal :
Mesurez la quantité d’eau nécessaire en fonction des instructions sur l'emballage.
Mélangez Ultracolor Plus avec de l’eau jusqu’à obtenir une pâte homogène sans grumeaux. Laissez reposer, puis remuez brièvement avant application.
Utilisez une éponge humide Scotch-Brite pour lisser les joints après 50-60 minutes si nécessaire.</t>
  </si>
  <si>
    <t>Questions fréquentes
Combien de mortier Ultracolor Plus dois-je prévoir ?
La quantité dépend de la surface à couvrir, de la taille et de l’épaisseur des carreaux. Consultez notre calculateur de quantité pour une estimation précise.
Comment préparer correctement le produit ?
Ajoutez lentement la poudre Ultracolor Plus dans l’eau mesurée et mélangez avec une perceuse équipée d’un mélangeur. Suivez les instructions d’utilisation pour un résultat optimal.</t>
  </si>
  <si>
    <t>Pose &amp; Finition</t>
  </si>
  <si>
    <t>ULTRACOLOR PLUS 100    Blanc</t>
  </si>
  <si>
    <t>Alupack 5 kg</t>
  </si>
  <si>
    <t>en stock</t>
  </si>
  <si>
    <t>PF02</t>
  </si>
  <si>
    <t>6010305AFR</t>
  </si>
  <si>
    <t>ULTRACOLOR PLUS 103    Blanc lune</t>
  </si>
  <si>
    <t>PF03</t>
  </si>
  <si>
    <t>6011005AFR</t>
  </si>
  <si>
    <t>ULTRACOLOR PLUS 110    Manhattan</t>
  </si>
  <si>
    <t>PF04</t>
  </si>
  <si>
    <t>6011105AFR</t>
  </si>
  <si>
    <t>ULTRACOLOR PLUS 111    Gris argenté</t>
  </si>
  <si>
    <t>PF05</t>
  </si>
  <si>
    <t>6011205AFR</t>
  </si>
  <si>
    <t>ULTRACOLOR PLUS 112    Gris moyen</t>
  </si>
  <si>
    <t>PF06</t>
  </si>
  <si>
    <t>6011305AFR</t>
  </si>
  <si>
    <t>ULTRACOLOR PLUS 113    Gris ciment</t>
  </si>
  <si>
    <t>PF07</t>
  </si>
  <si>
    <t>6011405AFR</t>
  </si>
  <si>
    <t>ULTRACOLOR PLUS 114    Anthracite</t>
  </si>
  <si>
    <t>PF08</t>
  </si>
  <si>
    <t>6011605AFR</t>
  </si>
  <si>
    <t xml:space="preserve">ULTRACOLOR PLUS 123   Vieux blanc    </t>
  </si>
  <si>
    <t>PF09</t>
  </si>
  <si>
    <t>6011905AFR</t>
  </si>
  <si>
    <t>ULTRACOLOR PLUS 119   Gris Londres</t>
  </si>
  <si>
    <t>PF10</t>
  </si>
  <si>
    <t>6012005AFR</t>
  </si>
  <si>
    <t>ULTRACOLOR PLUS 120   Noir</t>
  </si>
  <si>
    <t>PF11</t>
  </si>
  <si>
    <t>6013005AFR</t>
  </si>
  <si>
    <t>ULTRACOLOR PLUS 130   Jasmin</t>
  </si>
  <si>
    <t>PF12</t>
  </si>
  <si>
    <t>6013105AFR</t>
  </si>
  <si>
    <t>ULTRACOLOR PLUS 131   Vanille</t>
  </si>
  <si>
    <t>PF13</t>
  </si>
  <si>
    <t>6013205AFR</t>
  </si>
  <si>
    <t>ULTRACOLOR PLUS 132    Beige 2000</t>
  </si>
  <si>
    <t>PF14</t>
  </si>
  <si>
    <t>6013305AFR</t>
  </si>
  <si>
    <t>ULTRACOLOR PLUS 133    Sable</t>
  </si>
  <si>
    <t>PF15</t>
  </si>
  <si>
    <t>6013405AFR</t>
  </si>
  <si>
    <t>ULTRACOLOR PLUS 134    Soie</t>
  </si>
  <si>
    <t>PF16</t>
  </si>
  <si>
    <t>6013505AFR</t>
  </si>
  <si>
    <t>ULTRACOLOR PLUS 135    Poussière d'or</t>
  </si>
  <si>
    <t>PF17</t>
  </si>
  <si>
    <t>6013605AFR</t>
  </si>
  <si>
    <t>ULTRACOLOR PLUS 136    Taupe</t>
  </si>
  <si>
    <t>PF18</t>
  </si>
  <si>
    <t>6013705AFR</t>
  </si>
  <si>
    <t>ULTRACOLOR PLUS 137    Caraîbes</t>
  </si>
  <si>
    <t>PF19</t>
  </si>
  <si>
    <t>6013805AFR</t>
  </si>
  <si>
    <t>ULTRACOLOR PLUS 138    Amande</t>
  </si>
  <si>
    <t>PF20</t>
  </si>
  <si>
    <t>6014105AFR</t>
  </si>
  <si>
    <t>ULTRACOLOR PLUS 141    Caramel</t>
  </si>
  <si>
    <t>PF21</t>
  </si>
  <si>
    <t>6014205AFR</t>
  </si>
  <si>
    <t>ULTRACOLOR PLUS 142    Marron</t>
  </si>
  <si>
    <t>PF22</t>
  </si>
  <si>
    <t>6014305AFR</t>
  </si>
  <si>
    <t>ULTRACOLOR PLUS 143    Terre cuite</t>
  </si>
  <si>
    <t>PF23</t>
  </si>
  <si>
    <t>6014405AFR</t>
  </si>
  <si>
    <t>ULTRACOLOR PLUS 144    chocolat</t>
  </si>
  <si>
    <t>PF24</t>
  </si>
  <si>
    <t>6014505AFR</t>
  </si>
  <si>
    <t>ULTRACOLOR PLUS 145    Terre de sienne</t>
  </si>
  <si>
    <t>PF25</t>
  </si>
  <si>
    <t>6014905AFR</t>
  </si>
  <si>
    <t>ULTRACOLOR PLUS 149    Pierre volcanique</t>
  </si>
  <si>
    <t>PF26</t>
  </si>
  <si>
    <t>6015005AFR</t>
  </si>
  <si>
    <t>ULTRACOLOR PLUS 150    Jaune</t>
  </si>
  <si>
    <t>PF27</t>
  </si>
  <si>
    <t>6015205AFR</t>
  </si>
  <si>
    <t>ULTRACOLOR PLUS 152    Réglisse</t>
  </si>
  <si>
    <t>PF28</t>
  </si>
  <si>
    <t>6017205AFR</t>
  </si>
  <si>
    <t>ULTRACOLOR PLUS 172    Bleu espace</t>
  </si>
  <si>
    <t>PF29</t>
  </si>
  <si>
    <t>6017405AFR</t>
  </si>
  <si>
    <t>ULTRACOLOR PLUS 174    Tornade</t>
  </si>
  <si>
    <t>Primaire d’adhérence universel</t>
  </si>
  <si>
    <t>PF30</t>
  </si>
  <si>
    <t>Primaire d’adhérence universel pour tous types de supports en neuf et rénovation.  Vendu à l’unité en seau  5 kg.</t>
  </si>
  <si>
    <t xml:space="preserve">DONNÉES TECHNIQUES
Couleur : blanc
Température d’application : de + 5 °C à + 30 °C
Délai de séchage : 30 minutes (support absorbant), 1 heure (ancien carrelage), 6 heures (planchers bois)
Consommation : 100 à 200 g/m²
Conditionnement : Bidons de 2, 5, 20 kg et citerne de 1000 kg
Stockage : 12 mois en emballage d'origine fermé non entamé et en local tempéré </t>
  </si>
  <si>
    <t>Délai de séchage : 30 minutes (support absorbant), 1 heure (ancien carrelage), 6 heures (planchers bois)Les domaines d’application :
Domaines d'utilisation:
Sur pierre naturelle et ancien carrelage
Sur chape ou dalle béton
Sur dalles thermoplastiques
Sur plancher bois</t>
  </si>
  <si>
    <t>Seau 5 kg</t>
  </si>
  <si>
    <t>PF31</t>
  </si>
  <si>
    <t>PF32</t>
  </si>
  <si>
    <t>PF33</t>
  </si>
  <si>
    <t>PF34</t>
  </si>
  <si>
    <t>Ensemble de douche monocommande Monza black gun metal</t>
  </si>
  <si>
    <t xml:space="preserve">Ensemble de douche monocommande Monza noir mat </t>
  </si>
  <si>
    <t>Ensemble de douche monocommande Monza or brossé</t>
  </si>
  <si>
    <t>Ensemble de douche monocommande Monza or rose brossé</t>
  </si>
  <si>
    <t>Ensemble de douche monocommande Monza chromé</t>
  </si>
  <si>
    <t>SUR FOND BLANC</t>
  </si>
  <si>
    <t>AMBIENCE</t>
  </si>
  <si>
    <t>AMBIANCE 2</t>
  </si>
  <si>
    <t>AMBIANCE 3</t>
  </si>
  <si>
    <t>FICHE TECHNIQUE</t>
  </si>
  <si>
    <t>VIDEOS DE MONTAGE</t>
  </si>
  <si>
    <t>3D</t>
  </si>
  <si>
    <t>URL PRODUIT</t>
  </si>
  <si>
    <t>https://imexproducts.es/producto/barra-de-ducha-monomando-cromada-serie-monza/</t>
  </si>
  <si>
    <t>https://imexproducts.es/producto/BDM039</t>
  </si>
  <si>
    <t>https://imexproducts.es/wp-content/uploads/2022/12/1CDC001-5-scaled.jpg</t>
  </si>
  <si>
    <t>https://imexproducts.es/wp-content/uploads/2022/12/1CDC001-2-scaled.jpg</t>
  </si>
  <si>
    <t>https://imexproducts.es/wp-content/uploads/2022/12/1CDC001-1-scaled.jpg; https://imexproducts.es/wp-content/uploads/2022/12/1CDC001-1GDC001-scaled-e1671199884381.jpg</t>
  </si>
  <si>
    <t>https://imexproducts.es/wp-content/uploads/2022/12/BDM039ES.pdf</t>
  </si>
  <si>
    <t>https://imexproducts.es/wp-content/uploads/2023/01/TODAS-LAS-DUCHAS-ENGLISH.pdf</t>
  </si>
  <si>
    <t>https://imexproducts.es/producto/barra-de-ducha-monomando-black-gun-metal-serie-monza/</t>
  </si>
  <si>
    <t>https://imexproducts.es/producto/BDM039-BGM</t>
  </si>
  <si>
    <t>https://imexproducts.es/wp-content/uploads/2022/12/DSC_1319-scaled.jpg</t>
  </si>
  <si>
    <t>https://imexproducts.es/wp-content/uploads/2022/12/DSC_1245-scaled.jpg</t>
  </si>
  <si>
    <t>https://imexproducts.es/wp-content/uploads/2022/12/DSC_1233-scaled.jpg</t>
  </si>
  <si>
    <t>https://imexproducts.es/producto/barra-de-ducha-monomando-negro-mate-serie-monza/</t>
  </si>
  <si>
    <t>https://imexproducts.es/producto/BDM039-NG</t>
  </si>
  <si>
    <t>https://imexproducts.es/wp-content/uploads/2022/12/1CDN002-2-1-scaled.jpg</t>
  </si>
  <si>
    <t>https://imexproducts.es/wp-content/uploads/2022/12/1CDN002-5-scaled.jpg</t>
  </si>
  <si>
    <t>https://imexproducts.es/wp-content/uploads/2022/12/1CDN002-1-scaled.jpg</t>
  </si>
  <si>
    <t>https://imexproducts.es/producto/barra-de-ducha-monomando-oro-cepillado-serie-monza/</t>
  </si>
  <si>
    <t>https://imexproducts.es/producto/BDM039-OC</t>
  </si>
  <si>
    <t>https://imexproducts.es/wp-content/uploads/2022/12/1CDO003-2-scaled.jpg</t>
  </si>
  <si>
    <t>https://imexproducts.es/wp-content/uploads/2022/12/1CDO003-1GDO003-scaled.jpg</t>
  </si>
  <si>
    <t>https://imexproducts.es/wp-content/uploads/2022/12/1CDO003-1-scaled.jpg</t>
  </si>
  <si>
    <t>https://imexproducts.es/producto/barra-de-ducha-monomando-oro-rosa-cepillado-serie-monza/</t>
  </si>
  <si>
    <t>https://imexproducts.es/producto/BDM039-ORC</t>
  </si>
  <si>
    <t>https://imexproducts.es/wp-content/uploads/2022/12/1CDR004-1-scaled.jpg</t>
  </si>
  <si>
    <t>https://imexproducts.es/wp-content/uploads/2022/12/1CDR004-1GDR044-scaled.jpg</t>
  </si>
  <si>
    <t>https://imexproducts.es/wp-content/uploads/2022/12/1CDR004-2-scaled.jpg</t>
  </si>
  <si>
    <t>Colonne de douche avec pomme haute et pommeau de douche.
Réglable en hauteur, avec robinet mitigeur.
Pomme haute de douche arrondie et extra-plate, bénéficiant d'un traitement anti-calcaire.
De 20 cm de diamètre et tube de 36,5 cm de long.
Fabriquée en acier inoxydable S.304.
Pommeau de douche arrondi, à une position.
Fabriqué en laiton, avec une finition chromée.
Hauteur réglable entre 88 et 124 cm.
Tube de la colonne de douche de 22 mm de diamètre.
Doté d'une cartouche en céramique de 35 mm de diamètre.
Mitigeur de 29,5 cm de largeur x 15,3 cm de profondeur.
Pommeau de douche avec flexible renforcé de 1,5 m.
Débit d'eau moyen : 12 L/min.
Distributeur intégré.</t>
  </si>
  <si>
    <t>Colonne de douche avec pomme haute et pommeau de douche.
Réglable en hauteur, avec robinet mitigeur.
Pomme haute de douche arrondie et extra-plate, bénéficiant d'un traitement anti-calcaire.
De 20 cm de diamètre et tube de 36,5 cm de profondeur.
Fabriquée en acier inoxydable S.304.
Pommeau de douche arrondi, à une position.
Fabriqué en laiton, avec une finition black gun metal.
Hauteur réglable entre 88 et 124 cm.
Tube de la colonne de 22 mm de diamètre.
Doté d'une cartouche en céramique mitigeur de 35 mm.
Robinet de 29,5 cm de largeur x 15,3 cm de profondeur.
Pommeau de douche avec flexible renforcé de 1,5 m.
Débit d'eau moyen : 12 L/min.
Distributeur intégré.</t>
  </si>
  <si>
    <t>Colonne de douche avec pomme haute et pommeau de douche.
Réglable en hauteur, avec robinet mitigeur.
Pomme haute de douche arrondie et extra-plate, bénéficiant d'un traitement anti-calcaire.
De 20 cm de diamètre et tube de 36,5 cm de profondeur.
Fabriquée en acier inoxydable S.304.
Pommeau de douche arrondi, à une position.
Fabriqué en laiton avec une finition noir mat.
Traitement réalisé par électrophorèse, garantissant une meilleure durabilité des finitions noir mat face au calcaire et facilitant le nettoyage.
Hauteur réglable entre 88 et 124 cm.
Tube de la colonne de douche de 22 mm de diamètre.
Doté d'une cartouche en céramique de 35 mm.
Robinet de 29,5 cm de largeur x 15,3 cm de profondeur.
Pommeau de douche avec flexible renforcé de 1,5 m.
Débit d'eau moyen : 12 L/min.
Distributeur intégré.</t>
  </si>
  <si>
    <t>Colonne de douche avec pomme haute et pommeau de douche.
Réglable en hauteur, avec robinet mitigeur.
Colonne de douche fabriquée en acier inoxydable S.304.
Processus de revêtement (PVD) lui donnant une finition or rose brossé.
Robinet mitigeur.
Robinet fabriqué en laiton.
Pomme haute de douche extra-plate incluse, fabriquée en acier inoxydable S.304, avec traitement anti-calcaire.
Diamètre de 20 cm, tube de 36,5 cm de profondeur.
Pommeau de douche arrondi à une position.
Support de douche réglable en hauteur.
Hauteur réglable entre 88 et 124 cm.
Débit d'eau moyen : 12 L/min.
Distributeur intégré.
Flexible de douche en PVC de 1,5 m de long.
Doté d'une cartouche en céramique de 35 mm.
Robinet de 29,5 cm de largeur x 15,3 cm de profondeur.</t>
  </si>
  <si>
    <t>Acier / Laiton</t>
  </si>
  <si>
    <t>Acier /Laiton / Finition PVD</t>
  </si>
  <si>
    <t>Chromée</t>
  </si>
  <si>
    <t>black gun metal</t>
  </si>
  <si>
    <t>Noir Mat</t>
  </si>
  <si>
    <t>Or brossé</t>
  </si>
  <si>
    <t>Or rose</t>
  </si>
  <si>
    <t>Rond</t>
  </si>
  <si>
    <t>Monocommande lavabo Monza</t>
  </si>
  <si>
    <t>Monocommmande lavabo Monza black gun metal</t>
  </si>
  <si>
    <t>Monocommande lavabo Monza noir mat</t>
  </si>
  <si>
    <t>Monocommande lavabo Monza or brossé</t>
  </si>
  <si>
    <t>Monocommande lavabo Monza or rose brossé</t>
  </si>
  <si>
    <t>Monocommande lavabo bec haut Monza</t>
  </si>
  <si>
    <t>Monocommande lavabo bec haut Monza black gun metal</t>
  </si>
  <si>
    <t>Monocommande lavabo bec haut Monza noir mat</t>
  </si>
  <si>
    <t>Monocommande lavabo bec haut Monza or brossé</t>
  </si>
  <si>
    <t>Monocommande lavabo bec haut Monza or rose brossé</t>
  </si>
  <si>
    <t>Monocommande bain/douche Monza</t>
  </si>
  <si>
    <t>Monocommande bian/douche Monza black gun metal</t>
  </si>
  <si>
    <t>Monocommande bain/douche Monza noir mat</t>
  </si>
  <si>
    <t>Monocommande bain/douche Monza or brossé</t>
  </si>
  <si>
    <t>Monocommande bain/douche Monza or rose brossé</t>
  </si>
  <si>
    <t>Monocommande douche Monza</t>
  </si>
  <si>
    <t>Monocommande douche Monza black gun metal</t>
  </si>
  <si>
    <t>Monocommande douche Monza noir mat</t>
  </si>
  <si>
    <t>Monocommande douche Monza or brossé</t>
  </si>
  <si>
    <t>Monocommande douche Monza or rose brossé</t>
  </si>
  <si>
    <t>Ensemble de douche thermostatique Monza</t>
  </si>
  <si>
    <t>Ensemble de douche thermostatique Monza black gun metal</t>
  </si>
  <si>
    <t>Ensemble de douche thermostatique Monza noir mat</t>
  </si>
  <si>
    <t>Ensemble de douche thermostatique Monza or brossé</t>
  </si>
  <si>
    <t>Ensemble de douche thermostatique Monza or rose brossé</t>
  </si>
  <si>
    <t>Mélangeur thermostatique bain/douche Monza</t>
  </si>
  <si>
    <t>Mélangeur thermostatique bain/douche Monza black gun metal</t>
  </si>
  <si>
    <t>Mélangeur thermostatique bain/douche Monza noir mat</t>
  </si>
  <si>
    <t>Mélangeur thermostatique bain/douche Monza or brossé</t>
  </si>
  <si>
    <t>Mélangeur thermostatique bain/douche Monza or rose brossé</t>
  </si>
  <si>
    <t>Mélangeur thermostatique douche Monza</t>
  </si>
  <si>
    <t>Mélangeur thermostatique douche Monza black gun metal</t>
  </si>
  <si>
    <t>Mélangeur thermostatique douche Monza noir mat</t>
  </si>
  <si>
    <t>Mélangeur thermostatique douche Monza or brossé</t>
  </si>
  <si>
    <t>Mélangeur thermostatique douche Monza or rose brossé</t>
  </si>
  <si>
    <t>Monocommande lavabo encastré Monza chromé</t>
  </si>
  <si>
    <t xml:space="preserve">Monocommande lavabo encastré Monza black gun metal </t>
  </si>
  <si>
    <t>Monocommande lavabo encastré Monza noir mat</t>
  </si>
  <si>
    <t>Monocommande lavabo encastré Monza or brossé</t>
  </si>
  <si>
    <t>Monocommande lavabo encastré Monza or rose brossé</t>
  </si>
  <si>
    <t>Ensemble de douche monocommande encastré Monza</t>
  </si>
  <si>
    <t>Ensemble de douche monocommande encastré Monza black gun metal</t>
  </si>
  <si>
    <t>Ensemble de douche monocommande encastré Monza noir mat</t>
  </si>
  <si>
    <t>Ensemble de douche monocommande encastré Monza or brossé</t>
  </si>
  <si>
    <t>Ensemble de douche monocommande encastré Monza or rose brossé</t>
  </si>
  <si>
    <t>Ensemble de douche thermostatique encastré Monza</t>
  </si>
  <si>
    <t>Ensemble de douche thermostatique encastré Monza black gun metal</t>
  </si>
  <si>
    <t>Ensemble de douche thermostatique encastré Monza noir mat</t>
  </si>
  <si>
    <t>Ensemble de douche thermostatique encastré Monza or brossé</t>
  </si>
  <si>
    <t>Ensemble de douche thermostatique encastré Monza or rose brossé</t>
  </si>
  <si>
    <t>ROB001</t>
  </si>
  <si>
    <t>ROB002</t>
  </si>
  <si>
    <t>ROB003</t>
  </si>
  <si>
    <t>ROB004</t>
  </si>
  <si>
    <t>ROB005</t>
  </si>
  <si>
    <t>ROB006</t>
  </si>
  <si>
    <t>ROB007</t>
  </si>
  <si>
    <t>ROB008</t>
  </si>
  <si>
    <t>ROB009</t>
  </si>
  <si>
    <t>ROB010</t>
  </si>
  <si>
    <t>ROB011</t>
  </si>
  <si>
    <t>ROB012</t>
  </si>
  <si>
    <t>ROB013</t>
  </si>
  <si>
    <t>ROB014</t>
  </si>
  <si>
    <t>ROB015</t>
  </si>
  <si>
    <t>ROB016</t>
  </si>
  <si>
    <t>ROB017</t>
  </si>
  <si>
    <t>ROB018</t>
  </si>
  <si>
    <t>ROB019</t>
  </si>
  <si>
    <t>ROB020</t>
  </si>
  <si>
    <t>ROB021</t>
  </si>
  <si>
    <t>ROB022</t>
  </si>
  <si>
    <t>ROB023</t>
  </si>
  <si>
    <t>ROB024</t>
  </si>
  <si>
    <t>ROB025</t>
  </si>
  <si>
    <t>ROB026</t>
  </si>
  <si>
    <t>ROB027</t>
  </si>
  <si>
    <t>ROB028</t>
  </si>
  <si>
    <t>ROB029</t>
  </si>
  <si>
    <t>ROB030</t>
  </si>
  <si>
    <t>ROB031</t>
  </si>
  <si>
    <t>ROB032</t>
  </si>
  <si>
    <t>ROB033</t>
  </si>
  <si>
    <t>ROB034</t>
  </si>
  <si>
    <t>ROB035</t>
  </si>
  <si>
    <t>ROB036</t>
  </si>
  <si>
    <t>ROB037</t>
  </si>
  <si>
    <t>ROB038</t>
  </si>
  <si>
    <t>ROB039</t>
  </si>
  <si>
    <t>ROB040</t>
  </si>
  <si>
    <t>ROB041</t>
  </si>
  <si>
    <t>ROB042</t>
  </si>
  <si>
    <t>ROB043</t>
  </si>
  <si>
    <t>ROB044</t>
  </si>
  <si>
    <t>ROB045</t>
  </si>
  <si>
    <t>ROB046</t>
  </si>
  <si>
    <t>ROB047</t>
  </si>
  <si>
    <t>ROB048</t>
  </si>
  <si>
    <t>ROB049</t>
  </si>
  <si>
    <t>ROB050</t>
  </si>
  <si>
    <t>ROB051</t>
  </si>
  <si>
    <t>ROB052</t>
  </si>
  <si>
    <t>ROB053</t>
  </si>
  <si>
    <t>ROB054</t>
  </si>
  <si>
    <t>ROB055</t>
  </si>
  <si>
    <t>https://imexproducts.es/producto/monomando-lavabo-cromo-serie-monza/</t>
  </si>
  <si>
    <t>https://imexproducts.es/producto/BDM039-1</t>
  </si>
  <si>
    <t>https://imexproducts.es/wp-content/uploads/2022/11/1LC011-4-scaled.jpg</t>
  </si>
  <si>
    <t>https://imexproducts.es/wp-content/uploads/2022/11/1LC011-5-scaled.jpg</t>
  </si>
  <si>
    <t>https://imexproducts.es/wp-content/uploads/2022/12/BDM039-1ES.pdf</t>
  </si>
  <si>
    <t>https://imexproducts.es/wp-content/uploads/2022/12/LAVABO-BIDE-LAVABO-ALTO-INSTRUCCIONES.pdf</t>
  </si>
  <si>
    <t>https://youtu.be/6RgtbhBXtQE</t>
  </si>
  <si>
    <t>https://imexproducts.es/producto/monomando-lavabo-black-gun-metal-serie-monza/</t>
  </si>
  <si>
    <t>https://imexproducts.es/producto/BDM039-1BGM</t>
  </si>
  <si>
    <t>https://imexproducts.es/wp-content/uploads/2022/12/1LM015-Black-gun-metal-4-scaled.jpg</t>
  </si>
  <si>
    <t>https://imexproducts.es/wp-content/uploads/2022/12/1LM015-Black-gun-metal-2-scaled.jpg</t>
  </si>
  <si>
    <t>https://imexproducts.es/producto/monomando-lavabo-negro-mate-serie-monza/</t>
  </si>
  <si>
    <t>https://imexproducts.es/producto/BDM039-1NG</t>
  </si>
  <si>
    <t>https://imexproducts.es/wp-content/uploads/2022/12/1LN012-2-scaled.jpg</t>
  </si>
  <si>
    <t>https://imexproducts.es/wp-content/uploads/2022/12/1LN012-6-scaled.jpg</t>
  </si>
  <si>
    <t>https://imexproducts.es/producto/monomando-lavabo-oro-cepillado-serie-monza/</t>
  </si>
  <si>
    <t>https://imexproducts.es/producto/BDM039-1OC</t>
  </si>
  <si>
    <t>https://imexproducts.es/wp-content/uploads/2022/12/1LO013-3-scaled.jpg</t>
  </si>
  <si>
    <t>https://imexproducts.es/wp-content/uploads/2022/12/1LO013-4-scaled.jpg</t>
  </si>
  <si>
    <t>https://imexproducts.es/producto/monomando-lavabo-oro-rosa-cepillado-serie-monza/</t>
  </si>
  <si>
    <t>https://imexproducts.es/producto/BDM039-1ORC</t>
  </si>
  <si>
    <t>https://imexproducts.es/wp-content/uploads/2022/12/1LR014-3-scaled.jpg</t>
  </si>
  <si>
    <t>https://imexproducts.es/wp-content/uploads/2022/12/1LR014-4-scaled.jpg</t>
  </si>
  <si>
    <t>https://imexproducts.es/producto/monomando-lavabo-alto-cromo-serie-monza/</t>
  </si>
  <si>
    <t>https://imexproducts.es/producto/BDM039-3</t>
  </si>
  <si>
    <t>https://imexproducts.es/wp-content/uploads/2022/12/1LAC031-7-scaled.jpg</t>
  </si>
  <si>
    <t>https://imexproducts.es/wp-content/uploads/2022/12/1LAC031-6-scaled.jpg</t>
  </si>
  <si>
    <t>https://imexproducts.es/wp-content/uploads/2022/12/BDM039-3ES.pdf</t>
  </si>
  <si>
    <t>https://imexproducts.es/producto/monomando-lavabo-alto-black-gun-metal-serie-monza/</t>
  </si>
  <si>
    <t>https://imexproducts.es/producto/BDM039-3BGM</t>
  </si>
  <si>
    <t>https://imexproducts.es/wp-content/uploads/2022/12/1LAM035-5-scaled.jpg</t>
  </si>
  <si>
    <t>https://imexproducts.es/wp-content/uploads/2022/12/1LAM035-4-scaled.jpg</t>
  </si>
  <si>
    <t>https://imexproducts.es/producto/monomando-lavabo-alto-negro-mate-serie-monza/</t>
  </si>
  <si>
    <t>https://imexproducts.es/producto/BDM039-3NG</t>
  </si>
  <si>
    <t>https://imexproducts.es/wp-content/uploads/2022/12/1LAN032-7-scaled.jpg</t>
  </si>
  <si>
    <t>https://imexproducts.es/wp-content/uploads/2022/12/1LAN032-6-scaled.jpg</t>
  </si>
  <si>
    <t>https://imexproducts.es/producto/monomando-lavabo-alto-oro-cepillado-serie-monza/</t>
  </si>
  <si>
    <t>https://imexproducts.es/producto/BDM039-3OC</t>
  </si>
  <si>
    <t>https://imexproducts.es/wp-content/uploads/2022/12/1LAO033-6-scaled.jpg</t>
  </si>
  <si>
    <t>https://imexproducts.es/wp-content/uploads/2022/12/1LAO033-7-scaled.jpg</t>
  </si>
  <si>
    <t>https://imexproducts.es/producto/monomando-lavabo-alto-oro-rosa-cepillado-serie-monza/</t>
  </si>
  <si>
    <t>https://imexproducts.es/producto/BDM039-3ORC</t>
  </si>
  <si>
    <t>https://imexproducts.es/wp-content/uploads/2022/12/1LAR034-2-scaled.jpg</t>
  </si>
  <si>
    <t>https://imexproducts.es/wp-content/uploads/2022/12/1LAR034-3-scaled.jpg</t>
  </si>
  <si>
    <t>https://imexproducts.es/producto/monomando-kit-bano-ducha-cromo-serie-monza/</t>
  </si>
  <si>
    <t>https://imexproducts.es/producto/BDM039-4</t>
  </si>
  <si>
    <t>https://imexproducts.es/wp-content/uploads/2022/12/DSC_1826-scaled.jpg</t>
  </si>
  <si>
    <t>https://imexproducts.es/wp-content/uploads/2022/12/BDM039-4ES.pdf</t>
  </si>
  <si>
    <t>https://imexproducts.es/wp-content/uploads/2022/12/KIT-BANO-DUCHA-INSTRUCCIONES.pdf</t>
  </si>
  <si>
    <t>https://imexproducts.es/producto/griferia-bano-y-ducha-monomando-black-gun-metal-serie-monza/</t>
  </si>
  <si>
    <t>https://imexproducts.es/producto/BDM039-4BGM</t>
  </si>
  <si>
    <t>https://imexproducts.es/wp-content/uploads/2022/12/DSC_1181-scaled.jpg</t>
  </si>
  <si>
    <t>https://imexproducts.es/wp-content/uploads/2022/12/DSC_1172-scaled.jpg</t>
  </si>
  <si>
    <t>https://imexproducts.es/wp-content/uploads/2022/12/DSC_1180-scaled.jpg</t>
  </si>
  <si>
    <t>https://imexproducts.es/producto/griferia-bano-y-ducha-monomando-negro-mate-serie-monza/</t>
  </si>
  <si>
    <t>https://imexproducts.es/producto/BDM039-4NG</t>
  </si>
  <si>
    <t>https://imexproducts.es/wp-content/uploads/2022/12/DSC_1152-scaled.jpg</t>
  </si>
  <si>
    <t>https://imexproducts.es/wp-content/uploads/2022/12/DSC_1858-scaled.jpg</t>
  </si>
  <si>
    <t>https://imexproducts.es/wp-content/uploads/2022/12/DSC_1122-scaled.jpg</t>
  </si>
  <si>
    <t>https://imexproducts.es/producto/griferia-bano-y-ducha-monomando-oro-cepillado-serie-monza/</t>
  </si>
  <si>
    <t>https://imexproducts.es/producto/BDM039-4OC</t>
  </si>
  <si>
    <t>https://imexproducts.es/wp-content/uploads/2022/12/DSC_1094-scaled.jpg</t>
  </si>
  <si>
    <t>https://imexproducts.es/wp-content/uploads/2022/12/DSC_1102-scaled.jpg</t>
  </si>
  <si>
    <t>https://imexproducts.es/wp-content/uploads/2022/12/DSC_1110-scaled.jpg; https://imexproducts.es/wp-content/uploads/2022/12/DSC_1866-scaled.jpg</t>
  </si>
  <si>
    <t>https://imexproducts.es/producto/griferia-bano-y-ducha-monomando-oro-rosa-cepillado-serie-monza/</t>
  </si>
  <si>
    <t>https://imexproducts.es/producto/BDM039-4ORC</t>
  </si>
  <si>
    <t>https://imexproducts.es/wp-content/uploads/2022/12/DSC_1064-scaled.jpg</t>
  </si>
  <si>
    <t>https://imexproducts.es/wp-content/uploads/2022/12/DSC_1064-scaled.jpg; https://imexproducts.es/wp-content/uploads/2022/12/DSC_1064-scaled.jpg</t>
  </si>
  <si>
    <t>https://imexproducts.es/producto/griferia-ducha-monomando-cromo-serie-monza/</t>
  </si>
  <si>
    <t>https://imexproducts.es/producto/BDM039-5</t>
  </si>
  <si>
    <t>https://imexproducts.es/wp-content/uploads/2022/12/DSC6518-scaled.jpg</t>
  </si>
  <si>
    <t>https://imexproducts.es/wp-content/uploads/2022/12/DSC6345-scaled.jpg</t>
  </si>
  <si>
    <t>https://imexproducts.es/wp-content/uploads/2022/12/DSC6353-scaled.jpg</t>
  </si>
  <si>
    <t>https://imexproducts.es/wp-content/uploads/2022/12/BDM039-5ES.pdf</t>
  </si>
  <si>
    <t>https://imexproducts.es/wp-content/uploads/2022/12/KIT-DUCHA-INSTRUCCIONES.pdf</t>
  </si>
  <si>
    <t>https://imexproducts.es/producto/griferia-de-ducha-monomando-black-gun-metal-serie-monza/</t>
  </si>
  <si>
    <t>https://imexproducts.es/producto/BDM039-5BGM</t>
  </si>
  <si>
    <t>https://imexproducts.es/wp-content/uploads/2022/12/DSC7021-scaled.jpg</t>
  </si>
  <si>
    <t>https://imexproducts.es/wp-content/uploads/2022/12/DSC7003-scaled.jpg</t>
  </si>
  <si>
    <t>https://imexproducts.es/wp-content/uploads/2022/12/DSC6917-scaled.jpg</t>
  </si>
  <si>
    <t>https://imexproducts.es/producto/griferia-de-ducha-monomando-negro-mate-serie-monza/</t>
  </si>
  <si>
    <t>https://imexproducts.es/producto/BDM039-5NG</t>
  </si>
  <si>
    <t>https://imexproducts.es/wp-content/uploads/2022/12/DSC6993-2-scaled.jpg</t>
  </si>
  <si>
    <t>https://imexproducts.es/wp-content/uploads/2022/12/DSC7000-scaled.jpg</t>
  </si>
  <si>
    <t>https://imexproducts.es/wp-content/uploads/2022/12/DSC6996-scaled.jpg</t>
  </si>
  <si>
    <t>https://imexproducts.es/producto/griferia-de-ducha-monomando-oro-cepillado-serie-monza/</t>
  </si>
  <si>
    <t>https://imexproducts.es/producto/BDM039-5OC</t>
  </si>
  <si>
    <t>https://imexproducts.es/wp-content/uploads/2022/12/DSC6594-scaled.jpg</t>
  </si>
  <si>
    <t>https://imexproducts.es/wp-content/uploads/2022/12/DSC6604-scaled.jpg</t>
  </si>
  <si>
    <t>https://imexproducts.es/wp-content/uploads/2022/12/DSC6609-scaled.jpg</t>
  </si>
  <si>
    <t>https://imexproducts.es/producto/griferia-de-ducha-monomando-oro-rosa-cepillado-serie-monza/</t>
  </si>
  <si>
    <t>https://imexproducts.es/producto/BDM039-5ORC</t>
  </si>
  <si>
    <t>https://imexproducts.es/wp-content/uploads/2022/12/DSC6894-scaled.jpg</t>
  </si>
  <si>
    <t>https://imexproducts.es/wp-content/uploads/2022/12/DSC6907-scaled.jpg</t>
  </si>
  <si>
    <t>https://imexproducts.es/wp-content/uploads/2022/12/DSC6911-scaled.jpg</t>
  </si>
  <si>
    <t>https://imexproducts.es/producto/barra-de-ducha-termostatica-cromada-serie-monza/</t>
  </si>
  <si>
    <t>https://imexproducts.es/producto/BTM039</t>
  </si>
  <si>
    <t>https://imexproducts.es/wp-content/uploads/2022/12/DSC_0377-2-scaled.jpg</t>
  </si>
  <si>
    <t>https://imexproducts.es/wp-content/uploads/2022/12/DSC_0445-scaled.jpg</t>
  </si>
  <si>
    <t>https://imexproducts.es/wp-content/uploads/2022/12/DSC_0440-scaled.jpg; https://imexproducts.es/wp-content/uploads/2022/12/DSC_0423-scaled.jpg</t>
  </si>
  <si>
    <t>https://imexproducts.es/wp-content/uploads/2022/12/BTM039ES.pdf</t>
  </si>
  <si>
    <t>https://imexproducts.es/producto/barra-de-ducha-termostatica-black-gun-metal-serie-monza/</t>
  </si>
  <si>
    <t>https://imexproducts.es/producto/BTM039-BGM</t>
  </si>
  <si>
    <t>https://imexproducts.es/wp-content/uploads/2022/12/DSC_1227-2-scaled.jpg</t>
  </si>
  <si>
    <t>https://imexproducts.es/wp-content/uploads/2022/12/DSC_1253-scaled.jpg</t>
  </si>
  <si>
    <t>https://imexproducts.es/wp-content/uploads/2022/12/DSC_1246-scaled.jpg; https://imexproducts.es/wp-content/uploads/2022/12/DSC_1233-1-scaled.jpg</t>
  </si>
  <si>
    <t>https://imexproducts.es/producto/barra-de-ducha-termostatica-negro-mate-serie-monza/</t>
  </si>
  <si>
    <t>https://imexproducts.es/producto/BTM039-NG</t>
  </si>
  <si>
    <t>https://imexproducts.es/wp-content/uploads/2022/12/DSC_0475-2-scaled.jpg</t>
  </si>
  <si>
    <t>https://imexproducts.es/wp-content/uploads/2022/12/DSC_0466-scaled.jpg</t>
  </si>
  <si>
    <t>https://imexproducts.es/wp-content/uploads/2022/12/DSC_0461-scaled.jpg; https://imexproducts.es/wp-content/uploads/2022/12/DSC_0454-scaled.jpg</t>
  </si>
  <si>
    <t>https://imexproducts.es/producto/barra-de-ducha-termostatica-oro-cepillado-serie-monza/</t>
  </si>
  <si>
    <t>https://imexproducts.es/producto/BTM039-OC</t>
  </si>
  <si>
    <t>https://imexproducts.es/wp-content/uploads/2022/12/DSC_0513-22-scaled.jpg; https://imexproducts.es/wp-content/uploads/2022/12/DSC_0513-22-scaled.jpg; https://imexproducts.es/wp-content/uploads/2022/12/DSC_0532-scaled.jpg; https://imexproducts.es/wp-content/uploads/2022/12/DSC_0523-scaled.jpg</t>
  </si>
  <si>
    <t>https://imexproducts.es/producto/barra-de-ducha-termostatica-oro-rosa-cepillado-serie-monza/</t>
  </si>
  <si>
    <t>https://imexproducts.es/producto/BTM039-ORC</t>
  </si>
  <si>
    <t>https://imexproducts.es/wp-content/uploads/2022/12/DSC_0577-22-scaled.jpg; https://imexproducts.es/wp-content/uploads/2022/12/DSC_0558-scaled.jpg; https://imexproducts.es/wp-content/uploads/2022/12/DSC_0558-scaled.jpg; https://imexproducts.es/wp-content/uploads/2022/12/DSC_0567-scaled.jpg</t>
  </si>
  <si>
    <t>https://imexproducts.es/producto/BTM039-4</t>
  </si>
  <si>
    <t>https://imexproducts.es/wp-content/uploads/2023/06/BTD039-4.png</t>
  </si>
  <si>
    <t>https://imexproducts.es/wp-content/uploads/2023/06/BTD039-4-DIBUJO-TECNICO.png</t>
  </si>
  <si>
    <t>https://imexproducts.es/producto/BTM039-4BGM</t>
  </si>
  <si>
    <t>https://imexproducts.es/wp-content/uploads/2023/06/BTD039-4BGM.png</t>
  </si>
  <si>
    <t>https://imexproducts.es/producto/BTM039-4NG</t>
  </si>
  <si>
    <t>https://imexproducts.es/wp-content/uploads/2023/06/BTD039-4NG.png</t>
  </si>
  <si>
    <t>https://imexproducts.es/producto/BTM039-4OC</t>
  </si>
  <si>
    <t>https://imexproducts.es/wp-content/uploads/2023/06/BTD039-4OC.png</t>
  </si>
  <si>
    <t>https://imexproducts.es/wp-content/uploads/2023/06/BTD039-4OC-detalle-grifo.png</t>
  </si>
  <si>
    <t>https://imexproducts.es/producto/BTM039-4ORC</t>
  </si>
  <si>
    <t>https://imexproducts.es/wp-content/uploads/2023/06/BTD039-4ORC.png</t>
  </si>
  <si>
    <t>https://imexproducts.es/producto/BTM039-5</t>
  </si>
  <si>
    <t>https://imexproducts.es/wp-content/uploads/2023/06/BTD039-5.png</t>
  </si>
  <si>
    <t>https://imexproducts.es/wp-content/uploads/2023/06/BTD039-5-detalle-grifo.png</t>
  </si>
  <si>
    <t>https://imexproducts.es/wp-content/uploads/2023/06/BTD039-5-DIBUJO-TECNICO.png</t>
  </si>
  <si>
    <t>https://imexproducts.es/producto/BTM039-5BGM</t>
  </si>
  <si>
    <t>https://imexproducts.es/wp-content/uploads/2023/06/BTD039-5bgm.png</t>
  </si>
  <si>
    <t>https://imexproducts.es/wp-content/uploads/2023/06/BTD039-5BGM-detalle-grifo.png</t>
  </si>
  <si>
    <t>https://imexproducts.es/producto/BTM039-5NG</t>
  </si>
  <si>
    <t>https://imexproducts.es/wp-content/uploads/2023/06/BTD039-5ng.png</t>
  </si>
  <si>
    <t>https://imexproducts.es/wp-content/uploads/2023/06/BTD039-5NG-detalle-grifo.png</t>
  </si>
  <si>
    <t>https://imexproducts.es/producto/BTM039-5OC</t>
  </si>
  <si>
    <t>https://imexproducts.es/wp-content/uploads/2023/06/BTD039-5OC.png</t>
  </si>
  <si>
    <t>https://imexproducts.es/wp-content/uploads/2023/06/BTD039-5OC-detalle-grifo.png</t>
  </si>
  <si>
    <t>https://imexproducts.es/producto/BTM039-5ORC</t>
  </si>
  <si>
    <t>https://imexproducts.es/wp-content/uploads/2023/06/BTD039-5ORC.png</t>
  </si>
  <si>
    <t>https://imexproducts.es/wp-content/uploads/2023/06/BTD039-5orc-detalle-grifo.png</t>
  </si>
  <si>
    <t>https://imexproducts.es/producto/grifo-de-lavabo-empotrado-monomando-cromado-serie-monza/</t>
  </si>
  <si>
    <t>https://imexproducts.es/producto/GLM039</t>
  </si>
  <si>
    <t>https://imexproducts.es/wp-content/uploads/2022/12/1LEC051-3-scaled.jpg; https://imexproducts.es/wp-content/uploads/2022/12/1LEC051-5-scaled.jpg</t>
  </si>
  <si>
    <t>https://imexproducts.es/wp-content/uploads/2022/12/GLM039ES.pdf</t>
  </si>
  <si>
    <t>https://imexproducts.es/wp-content/uploads/2022/12/LAVABO-EMPOTRADO-INSTRUCCIONES.pdf</t>
  </si>
  <si>
    <t>https://imexproducts.es/producto/grifo-de-lavabo-empotrado-monomando-black-gun-metal-serie-monza/</t>
  </si>
  <si>
    <t>https://imexproducts.es/producto/GLM039-BGM</t>
  </si>
  <si>
    <t>https://imexproducts.es/wp-content/uploads/2022/12/1LEM055-5-scaled.jpg; https://imexproducts.es/wp-content/uploads/2022/12/1LEM055-5-scaled.jpg</t>
  </si>
  <si>
    <t>https://imexproducts.es/producto/grifo-de-lavabo-empotrado-monomando-negro-mate-serie-monza/</t>
  </si>
  <si>
    <t>https://imexproducts.es/producto/GLM039-NG</t>
  </si>
  <si>
    <t>https://imexproducts.es/wp-content/uploads/2022/12/1LEN052-3-scaled.jpg; https://imexproducts.es/wp-content/uploads/2022/12/1LEN052-3-scaled.jpg</t>
  </si>
  <si>
    <t>https://imexproducts.es/producto/grifo-de-lavabo-empotrado-monomando-oro-cepillado-serie-monza/</t>
  </si>
  <si>
    <t>https://imexproducts.es/producto/GLM039-OC</t>
  </si>
  <si>
    <t>https://imexproducts.es/wp-content/uploads/2022/12/1LEO053-5-scaled.jpg; https://imexproducts.es/wp-content/uploads/2022/12/1LEO053-4-scaled.jpg; https://imexproducts.es/wp-content/uploads/2022/12/1LEO053-6-scaled.jpg</t>
  </si>
  <si>
    <t>https://imexproducts.es/producto/grifo-de-lavabo-empotrado-monomando-oro-rosa-cepillado-serie-monza/</t>
  </si>
  <si>
    <t>https://imexproducts.es/producto/GLM039-ORC</t>
  </si>
  <si>
    <t>https://imexproducts.es/wp-content/uploads/2022/12/1LER054-1-scaled.jpg; https://imexproducts.es/wp-content/uploads/2022/12/1LER054-6-scaled.jpg; https://imexproducts.es/wp-content/uploads/2022/12/1LER054-2-scaled.jpg</t>
  </si>
  <si>
    <t>https://imexproducts.es/producto/conjunto-de-ducha-monomando-empotrado-cromado-serie-monza/</t>
  </si>
  <si>
    <t>https://imexproducts.es/producto/GPM039</t>
  </si>
  <si>
    <t>https://imexproducts.es/wp-content/uploads/2022/12/1DEC061-3-scaled.jpg; https://imexproducts.es/wp-content/uploads/2022/12/1DEC061-2-scaled.jpg; https://imexproducts.es/wp-content/uploads/2022/12/1DEC061-5-scaled.jpg; https://imexproducts.es/wp-content/uploads/2022/12/1DEC061-7-scaled.jpg</t>
  </si>
  <si>
    <t>https://imexproducts.es/wp-content/uploads/2022/12/GPM039ES-GPT039ES.pdf</t>
  </si>
  <si>
    <t>https://imexproducts.es/wp-content/uploads/2023/01/DUCHAS-EMPOTRADAS-ENGLISH.pdf</t>
  </si>
  <si>
    <t>https://imexproducts.es/producto/conjunto-de-ducha-monomando-empotrado-black-gun-metal-serie-monza/</t>
  </si>
  <si>
    <t>https://imexproducts.es/producto/GPM039-BGM</t>
  </si>
  <si>
    <t>https://imexproducts.es/wp-content/uploads/2022/12/DSC_0620-2-scaled.jpg; https://imexproducts.es/wp-content/uploads/2022/12/DSC_0649-scaled.jpg; https://imexproducts.es/wp-content/uploads/2022/12/DSC_0671-scaled.jpg; https://imexproducts.es/wp-content/uploads/2022/12/DSC_0651-scaled.jpg</t>
  </si>
  <si>
    <t>https://imexproducts.es/producto/conjunto-de-ducha-monomando-empotrado-negro-mate-serie-monza/</t>
  </si>
  <si>
    <t>https://imexproducts.es/producto/GPM039-NG</t>
  </si>
  <si>
    <t>https://imexproducts.es/wp-content/uploads/2022/12/1DEN062-1-scaled.jpg; https://imexproducts.es/wp-content/uploads/2022/12/1DEN062-9-scaled.jpg; https://imexproducts.es/wp-content/uploads/2022/12/1DEN062-6-scaled.jpg; https://imexproducts.es/wp-content/uploads/2022/12/1DEN062-4-scaled.jpg</t>
  </si>
  <si>
    <t>https://imexproducts.es/producto/conjunto-de-ducha-monomando-empotrado-oro-cepillado-serie-monza/</t>
  </si>
  <si>
    <t>https://imexproducts.es/producto/GPM039-OC</t>
  </si>
  <si>
    <t>https://imexproducts.es/wp-content/uploads/2022/12/1DEO063-1-scaled.jpg; https://imexproducts.es/wp-content/uploads/2022/12/1DEO063-3-scaled.jpg; https://imexproducts.es/wp-content/uploads/2022/12/1DEO063-11-scaled.jpg; https://imexproducts.es/wp-content/uploads/2022/12/1DEO063-8-scaled.jpg</t>
  </si>
  <si>
    <t>https://imexproducts.es/producto/conjunto-de-ducha-monomando-empotrado-oro-rosa-cepillado-serie-monza/</t>
  </si>
  <si>
    <t>https://imexproducts.es/producto/GPM039-ORC</t>
  </si>
  <si>
    <t>https://imexproducts.es/wp-content/uploads/2022/12/1DER064-4-scaled.jpg; https://imexproducts.es/wp-content/uploads/2022/12/1DER064-3-scaled.jpg; https://imexproducts.es/wp-content/uploads/2022/12/1DER064-2-scaled.jpg; https://imexproducts.es/wp-content/uploads/2022/12/1DER064-1-scaled.jpg</t>
  </si>
  <si>
    <t>https://imexproducts.es/producto/conjunto-de-ducha-termostatico-empotrado-cromado-serie-monza/</t>
  </si>
  <si>
    <t>https://imexproducts.es/producto/GTM039</t>
  </si>
  <si>
    <t>https://imexproducts.es/wp-content/uploads/2022/12/DSC_1018-2-scaled.jpg; https://imexproducts.es/wp-content/uploads/2022/12/DSC_1029-scaled.jpg; https://imexproducts.es/wp-content/uploads/2022/12/DSC_1045-scaled.jpg; https://imexproducts.es/wp-content/uploads/2022/12/DSC_1036-scaled.jpg</t>
  </si>
  <si>
    <t>https://imexproducts.es/producto/conjunto-de-ducha-termostatico-empotrado-black-gun-metal-serie-monza/</t>
  </si>
  <si>
    <t>https://imexproducts.es/producto/GTM039-BGM</t>
  </si>
  <si>
    <t>https://imexproducts.es/wp-content/uploads/2022/12/DSC_0620-2-1-scaled.jpg; https://imexproducts.es/wp-content/uploads/2022/12/DSC_0649-1-scaled.jpg; https://imexproducts.es/wp-content/uploads/2022/12/DSC_0671-1-scaled.jpg; https://imexproducts.es/wp-content/uploads/2022/12/DSC_0669-scaled.jpg</t>
  </si>
  <si>
    <t>https://imexproducts.es/producto/conjunto-de-ducha-termostatico-empotrado-negro-mate-serie-monza/</t>
  </si>
  <si>
    <t>https://imexproducts.es/producto/GTM039-NG</t>
  </si>
  <si>
    <t>https://imexproducts.es/wp-content/uploads/2022/12/DSC_0885--scaled.jpg; https://imexproducts.es/wp-content/uploads/2022/12/DSC_0896-scaled.jpg; https://imexproducts.es/wp-content/uploads/2022/12/DSC_0898-scaled.jpg; https://imexproducts.es/wp-content/uploads/2022/12/DSC_0903-scaled.jpg</t>
  </si>
  <si>
    <t>https://imexproducts.es/producto/conjunto-de-ducha-termostatico-empotrado-oro-cepillado-serie-monza/</t>
  </si>
  <si>
    <t>https://imexproducts.es/producto/GTM039-OC</t>
  </si>
  <si>
    <t>https://imexproducts.es/wp-content/uploads/2022/12/DSC_0950-2-scaled.jpg; https://imexproducts.es/wp-content/uploads/2022/12/DSC_0918-scaled.jpg; https://imexproducts.es/wp-content/uploads/2022/12/DSC_0930-scaled.jpg; https://imexproducts.es/wp-content/uploads/2022/12/DSC_0925-scaled.jpg</t>
  </si>
  <si>
    <t>https://imexproducts.es/producto/conjunto-de-ducha-termostatico-empotrado-oro-rosa-cepillado-serie-monza/</t>
  </si>
  <si>
    <t>https://imexproducts.es/producto/GTM039-ORC</t>
  </si>
  <si>
    <t>https://imexproducts.es/wp-content/uploads/2022/12/DSC_0958-2-scaled.jpg; https://imexproducts.es/wp-content/uploads/2022/12/DSC_0970-scaled.jpg; https://imexproducts.es/wp-content/uploads/2022/12/DSC_0986-scaled.jpg; https://imexproducts.es/wp-content/uploads/2022/12/DSC_0977-scaled.jpg</t>
  </si>
  <si>
    <t>Robinetterie</t>
  </si>
  <si>
    <t>Laiton / Zinc / Finition PVD</t>
  </si>
  <si>
    <t>Laiton</t>
  </si>
  <si>
    <t>ROB056</t>
  </si>
  <si>
    <t>ROB057</t>
  </si>
  <si>
    <t>ROB059</t>
  </si>
  <si>
    <t>ROB060</t>
  </si>
  <si>
    <t>ROB061</t>
  </si>
  <si>
    <t>ROB062</t>
  </si>
  <si>
    <t>ROB063</t>
  </si>
  <si>
    <t>ROB064</t>
  </si>
  <si>
    <t>ROB065</t>
  </si>
  <si>
    <t>ROB066</t>
  </si>
  <si>
    <t>ROB067</t>
  </si>
  <si>
    <t>ROB068</t>
  </si>
  <si>
    <t>ROB069</t>
  </si>
  <si>
    <t>ROB070</t>
  </si>
  <si>
    <t>ROB072</t>
  </si>
  <si>
    <t>ROB073</t>
  </si>
  <si>
    <t>ROB074</t>
  </si>
  <si>
    <t>ROB075</t>
  </si>
  <si>
    <t>ROB076</t>
  </si>
  <si>
    <t>ROB077</t>
  </si>
  <si>
    <t>ROB078</t>
  </si>
  <si>
    <t>ROB079</t>
  </si>
  <si>
    <t>ROB080</t>
  </si>
  <si>
    <t>ROB081</t>
  </si>
  <si>
    <t>ROB082</t>
  </si>
  <si>
    <t>ROB084</t>
  </si>
  <si>
    <t>ROB085</t>
  </si>
  <si>
    <t>ROB086</t>
  </si>
  <si>
    <t>ROB087</t>
  </si>
  <si>
    <t>ROB088</t>
  </si>
  <si>
    <t>ROB089</t>
  </si>
  <si>
    <t>ROB090</t>
  </si>
  <si>
    <t>ROB091</t>
  </si>
  <si>
    <t>ROB092</t>
  </si>
  <si>
    <t>ROB094</t>
  </si>
  <si>
    <t>ROB095</t>
  </si>
  <si>
    <t>ROB096</t>
  </si>
  <si>
    <t>ROB097</t>
  </si>
  <si>
    <t>ROB098</t>
  </si>
  <si>
    <t>ROB099</t>
  </si>
  <si>
    <t>ROB100</t>
  </si>
  <si>
    <t>ROB101</t>
  </si>
  <si>
    <t>ROB102</t>
  </si>
  <si>
    <t>ROB104</t>
  </si>
  <si>
    <t>ROB105</t>
  </si>
  <si>
    <t>ROB106</t>
  </si>
  <si>
    <t>ROB107</t>
  </si>
  <si>
    <t>ROB108</t>
  </si>
  <si>
    <t>ROB109</t>
  </si>
  <si>
    <t>ROB110</t>
  </si>
  <si>
    <t>ROB111</t>
  </si>
  <si>
    <t>ROB112</t>
  </si>
  <si>
    <t>ROB113</t>
  </si>
  <si>
    <t>ROB115</t>
  </si>
  <si>
    <t>ROB116</t>
  </si>
  <si>
    <t>ROB117</t>
  </si>
  <si>
    <t>ROB118</t>
  </si>
  <si>
    <t>ROB119</t>
  </si>
  <si>
    <t>ROB120</t>
  </si>
  <si>
    <t>ROB121</t>
  </si>
  <si>
    <t>ROB122</t>
  </si>
  <si>
    <t>ROB123</t>
  </si>
  <si>
    <t>ROB124</t>
  </si>
  <si>
    <t>ROB125</t>
  </si>
  <si>
    <t>ROB126</t>
  </si>
  <si>
    <t>ROB127</t>
  </si>
  <si>
    <t>ROB128</t>
  </si>
  <si>
    <t>ROB129</t>
  </si>
  <si>
    <t>ROB131</t>
  </si>
  <si>
    <t>ROB132</t>
  </si>
  <si>
    <t>ROB133</t>
  </si>
  <si>
    <t>ROB134</t>
  </si>
  <si>
    <t>ROB135</t>
  </si>
  <si>
    <t>ROB136</t>
  </si>
  <si>
    <t>ROB137</t>
  </si>
  <si>
    <t>ROB138</t>
  </si>
  <si>
    <t>Ensemble de douche Line</t>
  </si>
  <si>
    <t>Monocommande lavabo Line</t>
  </si>
  <si>
    <t>Monocommande lavabo bec haut Line</t>
  </si>
  <si>
    <t>Mélangeur thermostatique douche Line</t>
  </si>
  <si>
    <t>Mélangeur thermostatique bain/douche Line</t>
  </si>
  <si>
    <t>Ensemble de baignoire/douche thermostatique Line</t>
  </si>
  <si>
    <t>Ensemble de douche thermostatique Line</t>
  </si>
  <si>
    <t>Ensemble de douche encastré Line</t>
  </si>
  <si>
    <t>Ensemble de douche encastré Top</t>
  </si>
  <si>
    <t>Ensemble de douche thermostatique encastré Line</t>
  </si>
  <si>
    <t>Ensemble de douche thermostatique encastré Top</t>
  </si>
  <si>
    <t>Monocommande lavabo encastré Line</t>
  </si>
  <si>
    <t>Ensemble de douche Line noir mat</t>
  </si>
  <si>
    <t>Monocommande lavabo Line noir mat</t>
  </si>
  <si>
    <t>Monocommande lavabo bec haut Line noir mat</t>
  </si>
  <si>
    <t>Mélangeur thermostatique douche Line noir mat</t>
  </si>
  <si>
    <t>Mélangeur thermostatique bain/douche Line noir mat</t>
  </si>
  <si>
    <t>Ensemble de baignoire/douche thermostatique Line noir mat</t>
  </si>
  <si>
    <t>Ensemble de douche thermostatique Line noir mat</t>
  </si>
  <si>
    <t>Ensemble de douche encastré Line noir mat</t>
  </si>
  <si>
    <t>Ensemble de douche encastré Top noir mat</t>
  </si>
  <si>
    <t>Ensemble de douche thermostatique encastré Line noir mat</t>
  </si>
  <si>
    <t>Ensemble de douche thermostatique encastré Top noir mat</t>
  </si>
  <si>
    <t>Monocommande lavabo encastré Line noir mat</t>
  </si>
  <si>
    <t>Monocommande lavabo Line gris mat/Champagne</t>
  </si>
  <si>
    <t>Monocommande lavabo bec haut Line gris mat/Champagne</t>
  </si>
  <si>
    <t>Mélangeur thermostatique douche Line gris mat/champagne</t>
  </si>
  <si>
    <t>Mélangeur thermostatique bain/douche Line gris mat/champagne</t>
  </si>
  <si>
    <t>Ensemble de douche encastré Line gris mat/champagne</t>
  </si>
  <si>
    <t>Ensemble de douche encastré Top gris mat/champagne</t>
  </si>
  <si>
    <t>Ensemble de douche thermostatique encastré Line gris mat/champagne</t>
  </si>
  <si>
    <t>Ensemble de douche thermostatique encastré Top gris mat/champagne</t>
  </si>
  <si>
    <t>Monocommande lavabo encastré Line gris mat/champagne</t>
  </si>
  <si>
    <t>Monocommande lavabo Line nickel brossé</t>
  </si>
  <si>
    <t>Monocommande lavabo bec haut Line nickel brossé</t>
  </si>
  <si>
    <t>Mélangeur thermostatique douche Line nickel brossé</t>
  </si>
  <si>
    <t>Mélangeur thermostatique bain/douche Line nickel brossé</t>
  </si>
  <si>
    <t>Ensemble de douche encastré Line nickel brossé</t>
  </si>
  <si>
    <t>Ensemble de douche encastré Top nickel brossé</t>
  </si>
  <si>
    <t>Ensemble de douche thermostatique encastré Line nickel brossé</t>
  </si>
  <si>
    <t>Ensemble de douche thermostatique encastré Top nickel brossé</t>
  </si>
  <si>
    <t>Monocommande lavabo encastré Line nickel brossé</t>
  </si>
  <si>
    <t>Monocommande lavabo Line Black Gun Metal</t>
  </si>
  <si>
    <t>Monocommande lavabo bec haut Line Black Gun Metal</t>
  </si>
  <si>
    <t>Mélangeur thermostatique douche Line Black Gun Metal</t>
  </si>
  <si>
    <t>Mélangeur thermostatique bain/douche Line Black Gun Metal</t>
  </si>
  <si>
    <t>Ensemble de douche encastré Line Black Gun Metal</t>
  </si>
  <si>
    <t>Ensemble de douche encastré Top Black Gun Metal</t>
  </si>
  <si>
    <t>Ensemble de douche thermostatique encastré Line Black Gun Metal</t>
  </si>
  <si>
    <t>Ensemble de douche thermostatique encastré Top Black Gun Metal</t>
  </si>
  <si>
    <t>Monocommande lavabo encastré Line Black Gun Metal</t>
  </si>
  <si>
    <t>Ensemble de douche thermostatique Line or brossé</t>
  </si>
  <si>
    <t>Monocommande lavabo Line or brossé</t>
  </si>
  <si>
    <t>Monocommande lavabo bec haut Line or brossé</t>
  </si>
  <si>
    <t>Mélangeur thermostatique douche Line or brossé</t>
  </si>
  <si>
    <t>Mélangeur thermostatique bain/douche Line or brossé</t>
  </si>
  <si>
    <t>Ensemble de douche encastré Line or brossé</t>
  </si>
  <si>
    <t>Ensemble de douche encastré Top or brossé</t>
  </si>
  <si>
    <t>Ensemble de douche thermostatique encastré Line or brossé</t>
  </si>
  <si>
    <t>Ensemble de douche thermostatique encastré Top or brossé</t>
  </si>
  <si>
    <t>Monocommande lavabo encastré Line or brossé</t>
  </si>
  <si>
    <t>Ensemble de douche monocommande Line  or brossé</t>
  </si>
  <si>
    <t>Ensemble de douche monocommande Line  or rose brossé</t>
  </si>
  <si>
    <t>Ensemble de douche thermostatique Line or rose brossé</t>
  </si>
  <si>
    <t>Ensemble de douche monocommande Line black gun metal</t>
  </si>
  <si>
    <t>Ensemble de douche thermostatique Line black gun metal</t>
  </si>
  <si>
    <t>Monocommande lavabo bec haut Line or rose brossé</t>
  </si>
  <si>
    <t>Mélangeur thermostatique douche Line or rose brossé</t>
  </si>
  <si>
    <t>Mélangeur thermostatique bain/douche Line or rose brossé</t>
  </si>
  <si>
    <t>Mitigeur monocommande de lavabo encastré Line or rose brossé</t>
  </si>
  <si>
    <t>Ensemble de douche encastré Line or rose brossé</t>
  </si>
  <si>
    <t>Ensemble de douche encastré Top or rose brossé</t>
  </si>
  <si>
    <t>Ensemble de douche thermostatique encastré Line or rose brossé</t>
  </si>
  <si>
    <t>Ensemble de douche thermostatique encastré Top or rose brossé</t>
  </si>
  <si>
    <t>LINE</t>
  </si>
  <si>
    <t>MONZA</t>
  </si>
  <si>
    <t>https://imexproducts.es/producto/BDD038</t>
  </si>
  <si>
    <t>https://imexproducts.es/articulos/BDD038.jpg</t>
  </si>
  <si>
    <t>https://imexproducts.es/articulos/A-BDD038.jpg</t>
  </si>
  <si>
    <t>https://imexproducts.es/wp-content/uploads/2023/01/BDD038.jpg</t>
  </si>
  <si>
    <t>https://imexproducts.sharepoint.com/sites/grupo.oficinas/Documentos%20compartidos/General/DOCUMENTACION%20ARTICULOS/ARCHIVOS%203D/BDD038-1(1109700)%20-%20update.stp</t>
  </si>
  <si>
    <t>https://imexproducts.es/producto/BDD038-1</t>
  </si>
  <si>
    <t>https://imexproducts.es/articulos/BDD038-1.jpg</t>
  </si>
  <si>
    <t>https://imexproducts.es/articulos/A-BDD038-1.jpg</t>
  </si>
  <si>
    <t>https://imexproducts.es/wp-content/uploads/2023/01/BDD038-1.jpg</t>
  </si>
  <si>
    <t>https://imexproducts.sharepoint.com/sites/grupo.oficinas/Documentos%20compartidos/General/DOCUMENTACION%20ARTICULOS/ARCHIVOS%203D/BDD038-3(1109800)%20-%20update.stp</t>
  </si>
  <si>
    <t>https://imexproducts.es/producto/BDD038-3</t>
  </si>
  <si>
    <t>https://imexproducts.es/articulos/BDD038-3.jpg</t>
  </si>
  <si>
    <t>https://imexproducts.es/wp-content/uploads/2023/01/BDD038-3.jpg</t>
  </si>
  <si>
    <t>https://imexproducts.es/producto/BTD038-5</t>
  </si>
  <si>
    <t>https://imexproducts.es/articulos/BTD038-5.jpg</t>
  </si>
  <si>
    <t>https://imexproducts.es/articulos/A-BTD038-5.jpg</t>
  </si>
  <si>
    <t>https://imexproducts.es/wp-content/uploads/2023/01/BTD038-5.jpg</t>
  </si>
  <si>
    <t>https://imexproducts.es/producto/BTD038-4</t>
  </si>
  <si>
    <t>https://imexproducts.es/articulos/BTD038-4.jpg</t>
  </si>
  <si>
    <t>https://imexproducts.es/articulos/A-BTD038-4.jpg</t>
  </si>
  <si>
    <t>https://imexproducts.es/wp-content/uploads/2023/01/BTD038-4-scaled.jpg</t>
  </si>
  <si>
    <t>https://imexproducts.es/producto/BTD038-B</t>
  </si>
  <si>
    <t>https://imexproducts.es/articulos/BTD038-B.jpg</t>
  </si>
  <si>
    <t>https://imexproducts.es/articulos/A-BTD038-B.jpg</t>
  </si>
  <si>
    <t>https://imexproducts.es/wp-content/uploads/2023/01/BTD038-B-scaled.jpg</t>
  </si>
  <si>
    <t>https://imexproducts.es/producto/BTD038</t>
  </si>
  <si>
    <t>https://imexproducts.es/articulos/BTD038.jpg</t>
  </si>
  <si>
    <t>https://imexproducts.es/articulos/A-BTD038.jpg</t>
  </si>
  <si>
    <t>https://imexproducts.es/wp-content/uploads/2023/01/BTD038.jpg</t>
  </si>
  <si>
    <t>https://imexproducts.es/producto/GPD038</t>
  </si>
  <si>
    <t>https://imexproducts.es/articulos/GPD038.jpg</t>
  </si>
  <si>
    <t>https://imexproducts.es/articulos/A-GPD038.jpg</t>
  </si>
  <si>
    <t>https://imexproducts.es/wp-content/uploads/2023/01/GPD038.jpg</t>
  </si>
  <si>
    <t>https://imexproducts.es/producto/GPQ038</t>
  </si>
  <si>
    <t>https://imexproducts.es/articulos/GPQ038.jpg</t>
  </si>
  <si>
    <t>https://imexproducts.es/producto/GTD038</t>
  </si>
  <si>
    <t>https://imexproducts.es/articulos/GTD038.jpg</t>
  </si>
  <si>
    <t>https://imexproducts.es/articulos/A-GTD038.jpg</t>
  </si>
  <si>
    <t>https://imexproducts.es/wp-content/uploads/2023/01/GTD038.jpg</t>
  </si>
  <si>
    <t>https://imexproducts.es/producto/GTQ038</t>
  </si>
  <si>
    <t>https://imexproducts.es/articulos/GTQ038.jpg</t>
  </si>
  <si>
    <t>https://imexproducts.es/producto/GLD038</t>
  </si>
  <si>
    <t>https://imexproducts.es/articulos/GLD038.jpg</t>
  </si>
  <si>
    <t>https://imexproducts.es/articulos/A-GLD038.jpg</t>
  </si>
  <si>
    <t>https://imexproducts.es/wp-content/uploads/2023/01/GLD038.jpg</t>
  </si>
  <si>
    <t>https://imexproducts.es/producto/BDD038-NG</t>
  </si>
  <si>
    <t>https://imexproducts.es/articulos/BDD038-NG.jpg</t>
  </si>
  <si>
    <t>https://imexproducts.es/articulos/A-BDD038-NG.jpg</t>
  </si>
  <si>
    <t>https://imexproducts.es/producto/BDD038-1NG</t>
  </si>
  <si>
    <t>https://imexproducts.es/articulos/BDD038-1NG.jpg</t>
  </si>
  <si>
    <t>https://imexproducts.es/articulos/A-BDD038-1NG.jpg</t>
  </si>
  <si>
    <t>https://imexproducts.es/producto/BDD038-3NG</t>
  </si>
  <si>
    <t>https://imexproducts.es/articulos/BDD038-3NG.jpg</t>
  </si>
  <si>
    <t>https://imexproducts.es/articulos/A-BDD038-3NG.jpg</t>
  </si>
  <si>
    <t>https://imexproducts.es/producto/BTD038-5NG</t>
  </si>
  <si>
    <t>https://imexproducts.es/articulos/BTD038-5NG.jpg</t>
  </si>
  <si>
    <t>https://imexproducts.es/articulos/A-BTD038-5NG.jpg</t>
  </si>
  <si>
    <t>https://imexproducts.es/producto/BTD038-4NG</t>
  </si>
  <si>
    <t>https://imexproducts.es/articulos/BTD038-4NG.jpg</t>
  </si>
  <si>
    <t>https://imexproducts.es/articulos/A-BTD038-4NG.jpg</t>
  </si>
  <si>
    <t>https://imexproducts.es/producto/BTD038-B-NG</t>
  </si>
  <si>
    <t>https://imexproducts.es/articulos/BTD038-B-NG.jpg</t>
  </si>
  <si>
    <t>https://imexproducts.es/articulos/A-BTD038-B-NG.jpg</t>
  </si>
  <si>
    <t>https://imexproducts.es/producto/BTD038-NG</t>
  </si>
  <si>
    <t>https://imexproducts.es/articulos/BTD038-NG.jpg</t>
  </si>
  <si>
    <t>https://imexproducts.es/articulos/A-BTD038-NG.jpg</t>
  </si>
  <si>
    <t>https://imexproducts.es/producto/GPD038-NG</t>
  </si>
  <si>
    <t>https://imexproducts.es/articulos/GPD038-NG.jpg</t>
  </si>
  <si>
    <t>https://imexproducts.es/articulos/A-GPD038-NG.jpg</t>
  </si>
  <si>
    <t>https://imexproducts.es/producto/GPQ038-NG</t>
  </si>
  <si>
    <t>https://imexproducts.es/articulos/GPQ038-NG.jpg</t>
  </si>
  <si>
    <t>https://imexproducts.es/producto/GTD038-NG</t>
  </si>
  <si>
    <t>https://imexproducts.es/articulos/GTD038-NG.jpg</t>
  </si>
  <si>
    <t>https://imexproducts.es/articulos/A-GTD038-NG.jpg</t>
  </si>
  <si>
    <t>https://imexproducts.es/producto/GTQ038-NG</t>
  </si>
  <si>
    <t>https://imexproducts.es/articulos/GTQ038-NG.jpg</t>
  </si>
  <si>
    <t>https://imexproducts.es/producto/GLD038-NG</t>
  </si>
  <si>
    <t>https://imexproducts.es/articulos/GLD038-NG.jpg</t>
  </si>
  <si>
    <t>https://imexproducts.es/wp-content/uploads/2022/07/A-GLD038-NG.jpg</t>
  </si>
  <si>
    <t>https://imexproducts.es/producto/BDD038-1GC</t>
  </si>
  <si>
    <t>https://imexproducts.es/articulos/BDD038-1GC.jpg</t>
  </si>
  <si>
    <t>https://imexproducts.es/articulos/A-BDD038-1GC.jpg</t>
  </si>
  <si>
    <t>https://imexproducts.es/producto/BDD038-3GC</t>
  </si>
  <si>
    <t>https://imexproducts.es/articulos/BDD038-3GC.jpg</t>
  </si>
  <si>
    <t>https://imexproducts.es/articulos/A-BDD038-3GC.jpg</t>
  </si>
  <si>
    <t>https://imexproducts.es/producto/BTD038-5GC</t>
  </si>
  <si>
    <t>https://imexproducts.es/articulos/BTD038-5GC.jpg</t>
  </si>
  <si>
    <t>https://imexproducts.es/articulos/A-BTD038-5GC.jpg</t>
  </si>
  <si>
    <t>https://imexproducts.es/producto/BTD038-4GC</t>
  </si>
  <si>
    <t>https://imexproducts.es/articulos/BTD038-4GC.jpg</t>
  </si>
  <si>
    <t>https://imexproducts.es/articulos/A-BTD038-4GC.jpg</t>
  </si>
  <si>
    <t>https://imexproducts.es/producto/GPD038-GC</t>
  </si>
  <si>
    <t>https://imexproducts.es/articulos/GPD038-GC.jpg</t>
  </si>
  <si>
    <t>https://imexproducts.es/articulos/A-GPD038-GC.jpg</t>
  </si>
  <si>
    <t>https://imexproducts.es/producto/GPQ038-GC</t>
  </si>
  <si>
    <t>https://imexproducts.es/articulos/GPQ038-GC.jpg</t>
  </si>
  <si>
    <t>https://imexproducts.es/producto/GTD038-GC</t>
  </si>
  <si>
    <t>https://imexproducts.es/articulos/GTD038-GC.jpg</t>
  </si>
  <si>
    <t>https://imexproducts.es/articulos/A-GTD038-GC.jpg</t>
  </si>
  <si>
    <t>https://imexproducts.es/producto/GTQ038-GC</t>
  </si>
  <si>
    <t>https://imexproducts.es/articulos/GTQ038-GC.jpg</t>
  </si>
  <si>
    <t>https://imexproducts.es/producto/GLD038-GC</t>
  </si>
  <si>
    <t>https://imexproducts.es/articulos/GLD038-GC.jpg</t>
  </si>
  <si>
    <t>https://imexproducts.es/articulos/A-GLD038-GC.jpg</t>
  </si>
  <si>
    <t>https://imexproducts.es/producto/BDD038-1NQ</t>
  </si>
  <si>
    <t>https://imexproducts.es/articulos/BDD038-1NQ.jpg</t>
  </si>
  <si>
    <t>https://imexproducts.es/articulos/A-BDD038-1NQ.jpg</t>
  </si>
  <si>
    <t>https://imexproducts.es/producto/BDD038-3NQ</t>
  </si>
  <si>
    <t>https://imexproducts.es/articulos/BDD038-3NQ.jpg</t>
  </si>
  <si>
    <t>https://imexproducts.es/articulos/A-BDD038-3NQ.jpg</t>
  </si>
  <si>
    <t>https://imexproducts.es/producto/BTD038-5NQ</t>
  </si>
  <si>
    <t>https://imexproducts.es/articulos/BTD038-5NQ.jpg</t>
  </si>
  <si>
    <t>https://imexproducts.es/articulos/A-BTD038-5NQ.jpg</t>
  </si>
  <si>
    <t>https://imexproducts.es/producto/BTD038-4NQ</t>
  </si>
  <si>
    <t>https://imexproducts.es/articulos/BTD038-4NQ.jpg</t>
  </si>
  <si>
    <t>https://imexproducts.es/articulos/A-BTD038-4NQ.jpg</t>
  </si>
  <si>
    <t>https://imexproducts.es/producto/GPD038-NQ</t>
  </si>
  <si>
    <t>https://imexproducts.es/articulos/GPD038-NQ.jpg</t>
  </si>
  <si>
    <t>https://imexproducts.es/articulos/A-GPD038-NQ.jpg</t>
  </si>
  <si>
    <t>https://imexproducts.es/producto/GPQ038-NQ</t>
  </si>
  <si>
    <t>https://imexproducts.es/articulos/GPQ038-NQ.jpg</t>
  </si>
  <si>
    <t>https://imexproducts.es/producto/GTD038-NQ</t>
  </si>
  <si>
    <t>https://imexproducts.es/articulos/GTD038-NQ.jpg</t>
  </si>
  <si>
    <t>https://imexproducts.es/articulos/A-GTD038-NQ.jpg</t>
  </si>
  <si>
    <t>https://imexproducts.es/producto/GTQ038-NQ</t>
  </si>
  <si>
    <t>https://imexproducts.es/articulos/GTQ038-NQ.jpg</t>
  </si>
  <si>
    <t>https://imexproducts.es/producto/GLD038-NQ</t>
  </si>
  <si>
    <t>https://imexproducts.es/articulos/GLD038-NQ.jpg</t>
  </si>
  <si>
    <t>https://imexproducts.es/articulos/A-GLD038-NQ.jpg</t>
  </si>
  <si>
    <t>https://imexproducts.es/producto/BDD038-1BGM</t>
  </si>
  <si>
    <t>https://imexproducts.es/articulos/BDD038-1BGM.jpg</t>
  </si>
  <si>
    <t>https://imexproducts.es/producto/BDD038-3BGM</t>
  </si>
  <si>
    <t>https://imexproducts.es/articulos/BDD038-3BGM.jpg</t>
  </si>
  <si>
    <t>https://imexproducts.es/articulos/A-BDD038-3BGM.jpg</t>
  </si>
  <si>
    <t>https://imexproducts.es/producto/BTD038-5BGM</t>
  </si>
  <si>
    <t>https://imexproducts.es/articulos/BTD038-5BGM.jpg</t>
  </si>
  <si>
    <t>https://imexproducts.es/articulos/A-BTD038-5BGM.jpg</t>
  </si>
  <si>
    <t>https://imexproducts.es/producto/BTD038-4BGM</t>
  </si>
  <si>
    <t>https://imexproducts.es/articulos/BTD038-4BGM.jpg</t>
  </si>
  <si>
    <t>https://imexproducts.es/articulos/A-BTD038-4BGM.jpg</t>
  </si>
  <si>
    <t>https://imexproducts.es/producto/GPD038-BGM</t>
  </si>
  <si>
    <t>https://imexproducts.es/articulos/GPD038-BGM.jpg</t>
  </si>
  <si>
    <t>https://imexproducts.es/articulos/A-GPD038-BGM.jpg</t>
  </si>
  <si>
    <t>https://imexproducts.es/producto/GPQ038-BGM</t>
  </si>
  <si>
    <t>https://imexproducts.es/articulos/GPQ038-BGM.jpg</t>
  </si>
  <si>
    <t>https://imexproducts.es/producto/GTD038-BGM</t>
  </si>
  <si>
    <t>https://imexproducts.es/articulos/GTD038-BGM.jpg</t>
  </si>
  <si>
    <t>https://imexproducts.es/articulos/A-GTD038-BGM.jpg</t>
  </si>
  <si>
    <t>https://imexproducts.es/producto/GTQ038-BGM</t>
  </si>
  <si>
    <t>https://imexproducts.es/articulos/GTQ038-BGM.jpg</t>
  </si>
  <si>
    <t>https://imexproducts.es/producto/GLD038-BGM</t>
  </si>
  <si>
    <t>https://imexproducts.es/articulos/GLD038-BGM.jpg</t>
  </si>
  <si>
    <t>https://imexproducts.es/articulos/A-GLD038-BGM.jpg</t>
  </si>
  <si>
    <t>https://imexproducts.es/producto/BTD038-OC</t>
  </si>
  <si>
    <t>https://imexproducts.es/wp-content/uploads/2023/10/BTD038_OC-scaled.jpg</t>
  </si>
  <si>
    <t>https://imexproducts.es/producto/BDD038-1OC</t>
  </si>
  <si>
    <t>https://imexproducts.es/articulos/BDD038-1OC.jpg</t>
  </si>
  <si>
    <t>https://imexproducts.es/articulos/A-BDD038-1OC.jpg</t>
  </si>
  <si>
    <t>https://imexproducts.es/producto/BDD038-3OC</t>
  </si>
  <si>
    <t>https://imexproducts.es/articulos/BDD038-3OC.jpg</t>
  </si>
  <si>
    <t>https://imexproducts.es/articulos/A-BDD038-3OC.jpg</t>
  </si>
  <si>
    <t>https://imexproducts.es/producto/BTD038-5OC</t>
  </si>
  <si>
    <t>https://imexproducts.es/articulos/BTD038-5OC.jpg</t>
  </si>
  <si>
    <t>https://imexproducts.es/articulos/A-BTD038-5OC.jpg</t>
  </si>
  <si>
    <t>https://imexproducts.es/producto/BTD038-4OC</t>
  </si>
  <si>
    <t>https://imexproducts.es/articulos/BTD038-4OC.jpg</t>
  </si>
  <si>
    <t>https://imexproducts.es/articulos/A-BTD038-4OC.jpg</t>
  </si>
  <si>
    <t>https://imexproducts.es/producto/GPD038-OC</t>
  </si>
  <si>
    <t>https://imexproducts.es/articulos/GPD038-OC.jpg</t>
  </si>
  <si>
    <t>https://imexproducts.es/articulos/A-GPD038-OC.jpg</t>
  </si>
  <si>
    <t>https://imexproducts.es/producto/GPQ038-OC</t>
  </si>
  <si>
    <t>https://imexproducts.es/articulos/GPQ038-OC.jpg</t>
  </si>
  <si>
    <t>https://imexproducts.es/producto/GTD038-OC</t>
  </si>
  <si>
    <t>https://imexproducts.es/articulos/GTD038-OC.jpg</t>
  </si>
  <si>
    <t>https://imexproducts.es/articulos/A-GTD038-OC.jpg</t>
  </si>
  <si>
    <t>https://imexproducts.es/producto/GTQ038-OC</t>
  </si>
  <si>
    <t>https://imexproducts.es/articulos/GTQ038-OC.jpg</t>
  </si>
  <si>
    <t>https://imexproducts.es/producto/GLD038-OC</t>
  </si>
  <si>
    <t>https://imexproducts.es/articulos/GLD038-OC.jpg</t>
  </si>
  <si>
    <t>https://imexproducts.es/articulos/A-GLD038-OC.jpg</t>
  </si>
  <si>
    <t>https://imexproducts.es/producto/BDD038-OC</t>
  </si>
  <si>
    <t>https://imexproducts.es/wp-content/uploads/2023/10/BDD038_OC.png</t>
  </si>
  <si>
    <t>https://imexproducts.es/producto/BDD038-ORC</t>
  </si>
  <si>
    <t>https://imexproducts.es/wp-content/uploads/2023/11/BDD038_ORC.png</t>
  </si>
  <si>
    <t>https://imexproducts.es/wp-content/uploads/2023/10/BDD038_ORC-GRIFO-scaled.jpg</t>
  </si>
  <si>
    <t>https://imexproducts.es/wp-content/uploads/2023/10/BDD038_ORC-ROCIADOR-scaled.jpg</t>
  </si>
  <si>
    <t>https://imexproducts.es/producto/BTD038-ORC</t>
  </si>
  <si>
    <t>https://imexproducts.es/wp-content/uploads/2023/10/BTD038_ORC.png</t>
  </si>
  <si>
    <t>https://imexproducts.es/producto/BDD038-BGM</t>
  </si>
  <si>
    <t>https://imexproducts.es/wp-content/uploads/2023/10/BDD038_BGM.png</t>
  </si>
  <si>
    <t>https://imexproducts.es/wp-content/uploads/2023/10/BDD038_BGM-AMBIENTE.png</t>
  </si>
  <si>
    <t>https://imexproducts.es/wp-content/uploads/2023/10/BDD038_BGM-ROCIADOR-BTD038_BGM.png</t>
  </si>
  <si>
    <t>https://imexproducts.es/producto/BTD038-BGM</t>
  </si>
  <si>
    <t>https://imexproducts.es/wp-content/uploads/2023/10/BTD038_BGM.png</t>
  </si>
  <si>
    <t>https://imexproducts.es/wp-content/uploads/2023/10/BTD038_BGM-AMBIENTE.png</t>
  </si>
  <si>
    <t>https://imexproducts.es/producto/BDD038-1ORC</t>
  </si>
  <si>
    <t>https://imexproducts.es/wp-content/uploads/2023/10/BDD038-1ORC.png</t>
  </si>
  <si>
    <t>https://imexproducts.es/producto/BDD038-3ORC</t>
  </si>
  <si>
    <t>https://imexproducts.es/wp-content/uploads/2023/10/BDD038-3ORC.png</t>
  </si>
  <si>
    <t>https://imexproducts.es/wp-content/uploads/2023/10/BDD038-3ORC-AMBIENTE.png</t>
  </si>
  <si>
    <t>https://imexproducts.es/producto/BTD038-4ORC</t>
  </si>
  <si>
    <t>https://imexproducts.es/producto/BTD038-5ORC</t>
  </si>
  <si>
    <t>https://imexproducts.es/wp-content/uploads/2023/10/BTD038-5ORC-AMBIENTE.png</t>
  </si>
  <si>
    <t>https://imexproducts.es/wp-content/uploads/2023/10/BTD038-5ORC-GRIFO.png</t>
  </si>
  <si>
    <t>https://imexproducts.es/wp-content/uploads/2023/10/BTD038-5-DIBUJO-TECNICO.png</t>
  </si>
  <si>
    <t>https://imexproducts.es/producto/GLD038-ORC</t>
  </si>
  <si>
    <t>https://imexproducts.es/wp-content/uploads/2023/12/GLD038_ORC.png</t>
  </si>
  <si>
    <t>https://imexproducts.es/wp-content/uploads/2023/10/BTD038-4ORC-AMBIENTE.png</t>
  </si>
  <si>
    <t>https://imexproducts.es/wp-content/uploads/2023/10/BTD038-4ORC-GRIFO.png</t>
  </si>
  <si>
    <t>https://imexproducts.es/producto/GPD038-ORC</t>
  </si>
  <si>
    <t>https://imexproducts.es/producto/GTD038-ORC</t>
  </si>
  <si>
    <t>https://imexproducts.es/wp-content/uploads/2023/11/GTD038_ORC.png</t>
  </si>
  <si>
    <t>https://imexproducts.es/producto/GPQ038-ORC</t>
  </si>
  <si>
    <t>https://imexproducts.es/producto/GTQ038-ORC</t>
  </si>
  <si>
    <t>gris champagne</t>
  </si>
  <si>
    <t>níquel</t>
  </si>
  <si>
    <t>ROB145</t>
  </si>
  <si>
    <t>ROB146</t>
  </si>
  <si>
    <t>ROB148</t>
  </si>
  <si>
    <t>ROB149</t>
  </si>
  <si>
    <t>ROB150</t>
  </si>
  <si>
    <t>ROB152</t>
  </si>
  <si>
    <t>ROB153</t>
  </si>
  <si>
    <t>ROB154</t>
  </si>
  <si>
    <t>ROB155</t>
  </si>
  <si>
    <t>ROB157</t>
  </si>
  <si>
    <t>ROB158</t>
  </si>
  <si>
    <t>ROB159</t>
  </si>
  <si>
    <t>ROB161</t>
  </si>
  <si>
    <t>ROB162</t>
  </si>
  <si>
    <t>ROB163</t>
  </si>
  <si>
    <t>ROB164</t>
  </si>
  <si>
    <t>ROB166</t>
  </si>
  <si>
    <t>ROB167</t>
  </si>
  <si>
    <t>ROB168</t>
  </si>
  <si>
    <t>ROB170</t>
  </si>
  <si>
    <t>ROB171</t>
  </si>
  <si>
    <t>ROB172</t>
  </si>
  <si>
    <t>ROB173</t>
  </si>
  <si>
    <t>ROB175</t>
  </si>
  <si>
    <t>ROB176</t>
  </si>
  <si>
    <t>ROB177</t>
  </si>
  <si>
    <t>ROB179</t>
  </si>
  <si>
    <t>ROB180</t>
  </si>
  <si>
    <t>ROB181</t>
  </si>
  <si>
    <t>ROB182</t>
  </si>
  <si>
    <t>ROB183</t>
  </si>
  <si>
    <t>ROB184</t>
  </si>
  <si>
    <t>SUECIA</t>
  </si>
  <si>
    <t>Ensemble de douche Suecia chromé</t>
  </si>
  <si>
    <t>Monocommande lavabo Suecia chromé</t>
  </si>
  <si>
    <t>Monocommande lavabo bec haut Suecia chromé</t>
  </si>
  <si>
    <t>Monocommande bain/douche Suecia</t>
  </si>
  <si>
    <t>Monocommande encastré lavabo Suecia chromé</t>
  </si>
  <si>
    <t>Ensemble de douche encastré Suecia chromé</t>
  </si>
  <si>
    <t>Ensemble de douche encastré Estocolmo chromé</t>
  </si>
  <si>
    <t>Ensemble de douche Suecia noir mat</t>
  </si>
  <si>
    <t>Monocommande lavabo Suecia noir mat</t>
  </si>
  <si>
    <t>Monocommande lavabo bec haut Suecia noir mat</t>
  </si>
  <si>
    <t>Monocommande bain/douche Suecia noir mat</t>
  </si>
  <si>
    <t>Monocommande encastré lavabo Suecia noir mat</t>
  </si>
  <si>
    <t>Ensemble de douche encastré Suecia noir mat</t>
  </si>
  <si>
    <t>Ensemble de douche encastré Estocolmo noir mat</t>
  </si>
  <si>
    <t>Ensemble de douche Suecia noir doré rose</t>
  </si>
  <si>
    <t>Monocommande lavabo Suecia noir doré rose</t>
  </si>
  <si>
    <t>Monocommande lavabo bec haut Suecia noir doré rose</t>
  </si>
  <si>
    <t>Monocommande bain/douche Suecia noir/doré rose</t>
  </si>
  <si>
    <t>Monocommande encastré lavabo Suecia noir doré rose</t>
  </si>
  <si>
    <t>Ensemble de douche encastré Suecia noir doré rose</t>
  </si>
  <si>
    <t>Ensemble de douche encastré Estocolmo noir doré rose</t>
  </si>
  <si>
    <t>Ensemble de douche Suecia noir doré</t>
  </si>
  <si>
    <t>Monocommande lavabo Suecia noir doré</t>
  </si>
  <si>
    <t>Monocommande lavabo bec haut Suecia noir doré</t>
  </si>
  <si>
    <t>Monocommande bain/douche Suecia noir mat et or brillant</t>
  </si>
  <si>
    <t>Monocommande encastré lavabo Suecia noir doré</t>
  </si>
  <si>
    <t>Ensemble de douche encastré Suecia noir doré</t>
  </si>
  <si>
    <t>Ensemble de douche encastré Estocolmo noir doré</t>
  </si>
  <si>
    <t>https://imexproducts.es/producto/BDC032</t>
  </si>
  <si>
    <t>https://imexproducts.es/articulos/BDC032.jpg</t>
  </si>
  <si>
    <t>https://imexproducts.es/articulos/A-BDC032.jpg</t>
  </si>
  <si>
    <t>https://imexproducts.sharepoint.com/sites/grupo.oficinas/Documentos%20compartidos/General/DOCUMENTACION%20ARTICULOS/ARCHIVOS%203D/BDC032-1.stp</t>
  </si>
  <si>
    <t>https://imexproducts.es/producto/BDC032-1</t>
  </si>
  <si>
    <t>https://imexproducts.es/articulos/BDC032-1.jpg</t>
  </si>
  <si>
    <t>https://imexproducts.es/articulos/A-BDC032-1.jpg</t>
  </si>
  <si>
    <t>https://imexproducts.es/producto/BDC032-3</t>
  </si>
  <si>
    <t>https://imexproducts.es/articulos/BDC032-3.jpg</t>
  </si>
  <si>
    <t>https://imexproducts.es/producto/BDC032-7</t>
  </si>
  <si>
    <t>https://imexproducts.es/articulos/BDC032-7.jpg</t>
  </si>
  <si>
    <t>https://imexproducts.es/articulos/A-BDC032-7.jpg</t>
  </si>
  <si>
    <t>https://imexproducts.es/producto/BDC032-4</t>
  </si>
  <si>
    <t>https://imexproducts.es/articulos/BDC032-4.jpg</t>
  </si>
  <si>
    <t>https://imexproducts.es/articulos/A-BDC032-4.jpg</t>
  </si>
  <si>
    <t>https://imexproducts.es/producto/BDC032-6</t>
  </si>
  <si>
    <t>https://imexproducts.es/articulos/BDC032-6.jpg</t>
  </si>
  <si>
    <t>https://imexproducts.es/articulos/A-BDC032-6.jpg</t>
  </si>
  <si>
    <t>https://imexproducts.es/producto/BDES37-6</t>
  </si>
  <si>
    <t>https://imexproducts.es/articulos/BDES37-6.jpg</t>
  </si>
  <si>
    <t>https://imexproducts.es/producto/BDC032-NG</t>
  </si>
  <si>
    <t>https://imexproducts.es/articulos/BDC032-NG.jpg</t>
  </si>
  <si>
    <t>https://imexproducts.es/articulos/A-BDC032-NG.jpg</t>
  </si>
  <si>
    <t>https://imexproducts.es/producto/BDC032-1NG</t>
  </si>
  <si>
    <t>https://imexproducts.es/articulos/BDC032-1NG.jpg</t>
  </si>
  <si>
    <t>https://imexproducts.es/articulos/A-BDC032-1NG.jpg</t>
  </si>
  <si>
    <t>https://imexproducts.es/producto/BDC032-3NG</t>
  </si>
  <si>
    <t>https://imexproducts.es/articulos/BDC032-3NG.jpg</t>
  </si>
  <si>
    <t>https://imexproducts.es/producto/BDC032-7NG</t>
  </si>
  <si>
    <t>https://imexproducts.es/articulos/BDC032-7NG.jpg</t>
  </si>
  <si>
    <t>https://imexproducts.es/articulos/A-BDC032-7NG.jpg</t>
  </si>
  <si>
    <t>https://imexproducts.es/producto/BDC032-4NG</t>
  </si>
  <si>
    <t>https://imexproducts.es/articulos/BDC032-4NG.jpg</t>
  </si>
  <si>
    <t>https://imexproducts.es/articulos/A-BDC032-4NG.jpg</t>
  </si>
  <si>
    <t>https://imexproducts.es/producto/BDC032-6NG</t>
  </si>
  <si>
    <t>https://imexproducts.es/articulos/BDC032-6NG.jpg</t>
  </si>
  <si>
    <t>https://imexproducts.es/articulos/A-BDC032-6NG.jpg</t>
  </si>
  <si>
    <t>https://imexproducts.es/producto/BDES37-6NG</t>
  </si>
  <si>
    <t>https://imexproducts.es/articulos/BDES37-6NG.jpg</t>
  </si>
  <si>
    <t>https://imexproducts.es/producto/BDC032-NOR</t>
  </si>
  <si>
    <t>https://imexproducts.es/articulos/BDC032-NOR.jpg</t>
  </si>
  <si>
    <t>https://imexproducts.es/articulos/A-BDC032-NOR.jpg</t>
  </si>
  <si>
    <t>https://imexproducts.es/producto/BDC032-1NOR</t>
  </si>
  <si>
    <t>https://imexproducts.es/articulos/BDC032-1NOR.jpg</t>
  </si>
  <si>
    <t>https://imexproducts.es/articulos/A-BDC032-1NOR.jpg</t>
  </si>
  <si>
    <t>https://imexproducts.es/producto/BDC032-3NOR</t>
  </si>
  <si>
    <t>https://imexproducts.es/articulos/BDC032-3NOR.jpg</t>
  </si>
  <si>
    <t>https://imexproducts.es/producto/BDC032-7NOR</t>
  </si>
  <si>
    <t>https://imexproducts.es/articulos/BDC032-7NOR.jpg</t>
  </si>
  <si>
    <t>https://imexproducts.es/articulos/A-BDC032-7NOR.jpg</t>
  </si>
  <si>
    <t>https://imexproducts.es/producto/BDC032-4NOR</t>
  </si>
  <si>
    <t>https://imexproducts.es/articulos/BDC032-4NOR.jpg</t>
  </si>
  <si>
    <t>https://imexproducts.es/articulos/A-BDC032-4NOR.jpg</t>
  </si>
  <si>
    <t>https://imexproducts.es/producto/BDC032-6NOR</t>
  </si>
  <si>
    <t>https://imexproducts.es/articulos/BDC032-6NOR.jpg</t>
  </si>
  <si>
    <t>https://imexproducts.es/articulos/A-BDC032-6NOR.jpg</t>
  </si>
  <si>
    <t>https://imexproducts.es/producto/BDES37-6NOR</t>
  </si>
  <si>
    <t>https://imexproducts.es/articulos/BDES37-6NOR.jpg</t>
  </si>
  <si>
    <t>https://imexproducts.es/producto/BDC032-NGOLD</t>
  </si>
  <si>
    <t>https://imexproducts.es/articulos/BDC032-NGOLD.jpg</t>
  </si>
  <si>
    <t>https://imexproducts.es/articulos/A-BDC032-NGOLD.jpg</t>
  </si>
  <si>
    <t>https://imexproducts.es/producto/BDC032-1NGOLD</t>
  </si>
  <si>
    <t>https://imexproducts.es/articulos/BDC032-1NGOLD.jpg</t>
  </si>
  <si>
    <t>https://imexproducts.es/articulos/A-BDC032-1NGOLD.jpg</t>
  </si>
  <si>
    <t>https://imexproducts.es/producto/BDC032-3NGOLD</t>
  </si>
  <si>
    <t>https://imexproducts.es/articulos/BDC032-3NGOLD.jpg</t>
  </si>
  <si>
    <t>https://imexproducts.es/producto/BDC032-7NGOLD</t>
  </si>
  <si>
    <t>https://imexproducts.es/articulos/BDC032-7NGOLD.jpg</t>
  </si>
  <si>
    <t>https://imexproducts.es/articulos/A-BDC032-7NGOLD.jpg</t>
  </si>
  <si>
    <t>https://imexproducts.es/producto/BDC032-4NGOLD</t>
  </si>
  <si>
    <t>https://imexproducts.es/articulos/BDC032-4NGOLD.jpg</t>
  </si>
  <si>
    <t>https://imexproducts.es/articulos/A-BDC032-4NGOLD.jpg</t>
  </si>
  <si>
    <t>https://imexproducts.es/producto/BDC032-6NGOLD</t>
  </si>
  <si>
    <t>https://imexproducts.es/articulos/BDC032-6NGOLD.jpg</t>
  </si>
  <si>
    <t>https://imexproducts.es/articulos/A-BDC032-6NGOLD.jpg</t>
  </si>
  <si>
    <t>https://imexproducts.es/producto/BDES37-6NGOLD</t>
  </si>
  <si>
    <t>https://imexproducts.es/articulos/BDES37-6NGOLD.jpg</t>
  </si>
  <si>
    <t>https://imexproducts.es/producto/BBEC32</t>
  </si>
  <si>
    <t>https://imexproducts.es/articulos/BBEC32.jpg</t>
  </si>
  <si>
    <t>https://imexproducts.es/producto/BBEC32-NG</t>
  </si>
  <si>
    <t>https://imexproducts.es/articulos/BBEC32-NG.jpg</t>
  </si>
  <si>
    <t>https://imexproducts.es/articulos/A-BBEC32-NG.jpg</t>
  </si>
  <si>
    <t>https://imexproducts.es/producto/BBEC32-NOR</t>
  </si>
  <si>
    <t>https://imexproducts.es/articulos/BBEC32-NOR.jpg</t>
  </si>
  <si>
    <t>https://imexproducts.es/producto/BBEC32-NGOLD</t>
  </si>
  <si>
    <t>https://imexproducts.es/articulos/BBEC32-NGOLD.jpg</t>
  </si>
  <si>
    <t>Thermostatique / Monocommande</t>
  </si>
  <si>
    <t>Mitigeur pour baignoire îlot Suecia</t>
  </si>
  <si>
    <t>Mitigeur pour baignoire îlot Suecia noir mat</t>
  </si>
  <si>
    <t>Mitigeur pour baignoire îlot Suecia noir/doré rose</t>
  </si>
  <si>
    <t>Mitigeur pour baignoire îlot Suecia noir mat et or brillant</t>
  </si>
  <si>
    <t>Monocommande</t>
  </si>
  <si>
    <t>Thermostatique</t>
  </si>
  <si>
    <t xml:space="preserve">Mitigeur de lavabo monocommande  MONZA                                                                                                                                                                                    Matériau corps: laiton
- Coloris: chromé, noir, or, or rose selon le modèle
- Finition: brillant, mat ou brossé selon le modèle
- Aspect: lisse
- Forme: ronde
- Avec cartouche céramique TOP
- Avec flexibles d'alimentation 
- Facile d'entretien
- Différent coloris permettant de s'adapter à tous type de décoration
- Design élégant et intemporel
Dimensions et poids
- Hauteur totale: 200 mm
- Hauteur sous bec: 107 mm
- Profondeur: 149 mm
- Diamètre: 45 mm
- Poids: 1,6 kg
Autres données
- Flexibles d'alimentation: 3/8"
- Diamètre cartouche: 26 mm
- Normes: ACS
Garantie: 5 ans contre vices de fabrication, hors pièces d'usure. </t>
  </si>
  <si>
    <t>Mitigeur lavabo.
Corps de robinet en laiton avec finition Black Gun Metal (PVD).
Cartouche céramique Ø26mm TOP.
Tuyaux 3/8″.</t>
  </si>
  <si>
    <t xml:space="preserve">Mitigeur de lavabo monocommande  MONZA
- Matériau corps: laiton
- Coloris: chromé, noir, or, or rose selon le modèle
- Finition: brillant, mat ou brossé selon le modèle
- Aspect: lisse
- Forme: ronde
- Avec cartouche céramique TOP
- Avec flexibles d'alimentation 
- Facile d'entretien
- Différent coloris permettant de s'adapter à tous type de décoration
- Design élégant et intemporel
Dimensions et poids: 
- Hauteur totale: 200 mm
- Hauteur sous bec: 107 mm
- Profondeur: 149 mm
- Diamètre: 45 mm
- Poids: 1,6 kg
Autres données:
- Flexibles d'alimentation: 3/8"
- Diamètre cartouche: 26 mm
- Normes: ACS
Garantie: 5 ans contre vices de fabrication, hors pièces d'usure. 
 </t>
  </si>
  <si>
    <t xml:space="preserve">Mitigeur de lavabo monocommande  MONZA
- Matériau corps: laiton
- Coloris: chromé, noir, or, or rose selon le modèle
- Finition: brillant, mat ou brossé selon le modèle
- Aspect: lisse
- Forme: ronde
- Avec cartouche céramique TOP
- Avec flexibles d'alimentation 
- Facile d'entretien
- Différent coloris permettant de s'adapter à tous type de décoration
- Design élégant et intemporel
Dimensions et poids: 
- Hauteur totale: 200 mm
- Hauteur sous bec: 107 mm
- Profondeur: 149 mm
- Diamètre: 45 mm
- Poids: 1,6 kg
Autres données:
- Flexibles d'alimentation: 3/8"
- Diamètre cartouche: 26 mm
- Normes: ACS
Garantie: 5 ans contre vices de fabrication, hors pièces d'usure. </t>
  </si>
  <si>
    <t>Robinet de lavabo haut, de la série Monza.
Robinet mitigeur.
Connexions 3/8".
Comprend une cartouche en céramique de 25 mm.
Fabriqué en laiton avec une finition black gun metal.
Dimensions : 32,2 cm de hauteur x 18,2 cm de profondeur.</t>
  </si>
  <si>
    <t xml:space="preserve">Mitigeur de lavabo haut monocommande MONZA
- Matériau corps: laiton
- Coloris: or ou or rose selon le modèle
- Finition: brossé 
- Aspect: lisse
- Forme: ronde
- Avec cartouche céramique TOP
- Avec flexibles d'alimentation 
- Facile d'entretien
- Différent coloris permettant de s'adapter à tous type de décoration
- Design élégant et intemporel
Dimensions et poids: 
- Hauteur totale: 322 mm
- Hauteur sous bec: 229 mm
- Profondeur: 182 mm
- Diamètre: 45 mm
- Poids: 1.5 kg
Autres données:
- Flexibles d'alimentation: 3/8"
- Diamètre cartouche: 26 mm
- Normes: ACS
Garantie: 5 ans contre vices de fabrication, hors pièces d'usure. </t>
  </si>
  <si>
    <t>Robinets bain/douche en laiton chromé.
PVC Flexo 1,8 m
Support de douche en ABS
Poignée de douche ronde.
Débit moyen 12 l/min
Cartouche simple en céramique de 35 mm</t>
  </si>
  <si>
    <t>Robinet mitigeur de douche, de la série Monza.
Dimensions : 25,5 cm de largeur, 4,2 cm de diamètre et 15,3 cm de profondeur.
Pommeau de douche inclus, avec flexible de 1,8 m de long.
Robinet doté d'une cartouche en céramique de 35 mm.
Robinet et pommeau de douche fabriqués en laiton.
Finition PVD de couleur black gun metal.
Pommeau de douche avec support fabriqué en plastique ABS.
Flexible en PVC.
Pommeau de douche arrondi, à une position.
Débit moyen : 12 L/min.
Connexion G 1/2.</t>
  </si>
  <si>
    <t>Robinet mitigeur de douche, de la série Monza.
Dimensions : 25,5 cm de largeur, 4,2 cm de diamètre et 15,3 cm de profondeur.
Pommeau de douche inclus, avec flexible de 1,8 m de long.
Robinet doté d'une cartouche en céramique de 35 mm.
Robinet et pommeau de douche fabriqués en laiton avec finition noir mat.
Traitement par électrophorèse, garantissant une meilleure résistance au calcaire et facilitant le nettoyage.
Pommeau de douche avec support fabriqué en plastique ABS.
Flexible en PVC.
Pommeau de douche arrondi, à une position.
Débit moyen : 12 L/min.
Connexion G 1/2.</t>
  </si>
  <si>
    <t>Robinet mitigeur de douche, de la série Monza.
Dimensions : 25,5 cm de largeur, 4,2 cm de diamètre et 15,3 cm de profondeur.
Pommeau de douche inclus, avec flexible de 1,8 m de long.
Robinet doté d'une cartouche en céramique de 35 mm.
Robinet et pommeau de douche fabriqués en laiton.
Finition PVD de couleur or brossé.
Pommeau de douche avec support fabriqué en plastique ABS.
Flexible en PVC.
Pommeau de douche arrondi, à une position.
Débit moyen : 12 L/min.
Connexion G 1/2.</t>
  </si>
  <si>
    <t>Robinet mitigeur de douche, de la série Monza.
Dimensions : 25,5 cm de largeur, 4,2 cm de diamètre et 15,3 cm de profondeur.
Pommeau de douche inclus, avec flexible de 1,8 m de long.
Robinet doté d'une cartouche en céramique de 35 mm.
Robinet et pommeau de douche fabriqués en laiton.
Finition PVD de couleur or rose brossé.
Pommeau de douche avec support fabriqué en plastique ABS.
Flexible en PVC.
Pommeau de douche arrondi, à une position.
Débit moyen : 12 L/min.
Connexion G 1/2.</t>
  </si>
  <si>
    <t>Colonne de douche thermostatique série MONZA
- Coloris : chromé brillant, or brossé, or rose brossé
- Aspect : lisse
- Corps mitigeur thermostatique en laiton
- Avec barre de douche extensible en acier inoxydable S.304
- Avec support de douchette réglable en hauteur 
- Avec tête de douche diamètre 200mm, extra plate, en acier inxydable S.304 
- Douche de tête avec anti-lime systemcaire
- Avec douchette ronde 1 jet
- Avec flexible de douche 1500 mm
- Avec cartouche thermostatique TURN CLEAN SYSTEM</t>
  </si>
  <si>
    <t xml:space="preserve">Mitigeur thermostatique de bain et douche MONZA
- Matériau corps: laiton
- Finition: chromé ou noir mat ou or brossé ou or rose rose (selon modèle)
- Matériau support douchette: ABS
- Avec douchette ronde 
- Douchette ronde: 1 position
- Avec flexible
- Matériau flexible: PVC (selon modèle)
- Avec inverseur integré
- Avec cartouche thermostatique IMEX TURN CLEAN SYSTEM
- Design: intemporel 
- Installation murale
- Facile de nettoyage 
Dimensions et poids: 
- Longueur flexible: 1800 mm
- Longueur mitigeur: 306 mm
- Largeur mitigeur: 164 mm
- Poids: 2.94 kg
Autres données: 
- Débit moyen: 12 l/min
- Normes: ACS
Garantie: 5 ans contre vices de fabrication, hors pièces d'usure. </t>
  </si>
  <si>
    <t>Robinet de lavabo fabriqué en laiton chromé.
Composé de deux parties indépendantes.
Corps à encastrer, directement dans le mur.
Sans boitier de jonction.
Diamètre frontal du bec et de la poignée du robinet mitigeur : 60 mm.
Bec de 22,5 cm de long.
Connexion G 1/2.</t>
  </si>
  <si>
    <t>Robinet de lavabo fabriqué en laiton.
Composé de deux parties indépendantes.
Corps encastré directement dans le mur.
Sans boitier de jonction.
Finition PVD de couleur black gun metal.
Diamètre frontal du bec et de la poignée du robinet mitigeur : 60 mm.
Bec de 22,5 cm de long.
Connexion 3-G 1/2.</t>
  </si>
  <si>
    <t>Robinet de lavabo fabriqué en laiton.
Composé de deux parties indépendantes.
Corps encastré directement dans le mur.
Sans boitier de jonction.
Finition de couleur noir mat.
Revêtement réalisé par électrophorèse, garantissant une meilleure durabilité face au calcaire et facilitant le nettoyage.
Diamètre frontal du bec et de la poignée du robinet mitigeur : 60 mm.
Bec de 19,2 cm de profondeur.
Connexion 3-G 1/2.</t>
  </si>
  <si>
    <t>Robinet de lavabo fabriqué en laiton.
Composé de deux parties indépendantes.
Corps encastré directement dans le mur.
Sans boitier de jonction.
Finition PVD de couleur or brossé.
Diamètre frontal du bec et de la poignée du robinet mitigeur : 60 mm.
Bec de 22,5 cm de long.
Connexion 3-G 1/2.
En option :
Bonde de vidage clic-clac :
Adaptée à tous les lavabos et bidets, uniquement avec trop-plein.
Système d'ouverture/fermeture garanti pour des cycles de 20.000 utilisations. 
Filetage inférieur de 1 1/4″. 
Fabriqué en PVC (corps) et en acier S.304. 
Montage simple et rapide. 
Couleur or brossé.</t>
  </si>
  <si>
    <t xml:space="preserve">
Robinet de lavabo fabriqué en laiton.
Composé de deux parties indépendantes.
Corps encastré directement dans le mur.
Sans boitier de jonction.
Finition PVD de couleur or rose brossé.
Diamètre frontal du bec et de la poignée du robinet mitigeur : 60 mm.
Bec de 22,5 cm de long.
Connexion 3-G 1/2.
En option :
Bonde de vidage clic-clac :
Adaptée à tous les lavabos et bidets, uniquement avec trop-plein.
Système d'ouverture/fermeture garanti pour des cycles de 20.000 utilisations. 
Filetage inférieur de 1 1/4″. 
Fabriqué en PVC (corps) et en acier S.304. 
Montage simple et rapide. 
Couleur or rose brossé.</t>
  </si>
  <si>
    <t>Description du produit :
Ensemble composé d'un robinet de douche, une pomme haute de douche et un pommeau de douche.
Pomme haute de douche : arrondie et extra-plate, avec traitement anti-calcaire.
Diamètre : 25 cm.
Fabriquée en acier inoxydable S. 304 avec finition chromée.
Bras fabriqué en laiton chromé.
Robinet mitigeur à deux voies.
Doté d'un distributeur arrondi fabriqué en laiton.
Manche du pommeau de douche arrondi, à une position.
Doté d'une sortie d'eau avec connexion murale.
Robinet avec cartouche de 35 mm.
Pommeau de douche avec flexible renforcé de 1,5 m.
Débit d'eau moyen : 20 L/min.
Corps à encastrer doté d'un boitier de jonction.
Connexion G 1/2.</t>
  </si>
  <si>
    <t>Description du produit :
Ensemble composé d'un robinet de douche, une pomme haute de douche et un pommeau de douche.
Pomme haute de douche : arrondie et extra-plate, avec traitement anti-calcaire.
Diamètre : 25 cm.
Fabriquée en acier inoxydable S. 304.
Bras fabriqué en laiton.
Robinet mitigeur à deux voies.
Doté d'un distributeur arrondi fabriqué en laiton.
Manche du pommeau de douche arrondi, à une position.
Doté d'une sortie d'eau avec connexion murale.
Ensemble avec finition PVD de couleur black gun metal.
Robinet avec cartouche de 35 mm.
Pommeau de douche avec flexible renforcé de 1,5 m.
Débit d'eau moyen : 20 L/min.
Corps à encastrer doté d'un boitier de jonction.
Connexion G 1/2.</t>
  </si>
  <si>
    <t>Description du produit :
Ensemble composé d'un robinet de douche, une pomme haute de douche et un pommeau de douche.
Pomme haute de douche : arrondie et extra-plate, avec traitement anti-calcaire.
Diamètre : 25 cm.
Fabriquée en acier inoxydable S. 304.
Bras fabriqué en laiton.
Robinet mitigeur à deux voies.
Doté d'un distributeur arrondi fabriqué en laiton.
Manche du pommeau de douche arrondi, à une position.
Doté d'une sortie d'eau avec connexion murale.
Ensemble avec finition de couleur noir mat.
Revêtement réalisé par électrophorèse, garantissant une meilleure durabilité face au calcaire et facilitant le nettoyage.
Robinet avec cartouche de 35 mm.
Pommeau de douche avec flexible renforcé de 1,5 m.
Débit d'eau moyen : 20 L/min.
Corps à encastrer doté d'un boitier de jonction.
Connexion G 1/2.</t>
  </si>
  <si>
    <t>Description du produit :
Ensemble composé d'un robinet de douche, une pomme haute de douche et un pommeau de douche.
Pomme haute de douche : arrondie et extra-plate, avec traitement anti-calcaire.
Diamètre : 25 cm.
Fabriquée en acier inoxydable S. 304.
Bras fabriqué en laiton.
Robinet mitigeur à deux voies.
Doté d'un distributeur arrondi fabriqué en laiton.
Manche du pommeau de douche arrondi, à une position.
Support doté d'une sortie d'eau avec connexion murale.
Ensemble avec finition PVD de couleur or brossé.
Robinet avec cartouche de 35 mm.
Pommeau de douche avec flexible renforcé de 1,5 m.
Débit d'eau moyen : 20 L/min.
Corps à encastrer doté d'un boitier de jonction.
Connexion G 1/2.</t>
  </si>
  <si>
    <t>Description du produit :
Ensemble composé d'un robinet de douche, une pomme haute de douche et un pommeau de douche.
Pomme haute de douche : arrondie et extra-plate, avec traitement anti-calcaire.
Diamètre : 25 cm.
Fabriquée en acier inoxydable S. 304.
Bras fabriqué en laiton.
Robinet mitigeur à deux voies.
Doté d'un distributeur arrondi fabriqué en laiton.
Manche du pommeau de douche arrondi, à une position.
Doté d'une sortie d'eau avec connexion murale.
Ensemble avec finition PVD de couleur or rose brossé.
Robinet avec cartouche de 35 mm.
Pommeau de douche avec flexible renforcé de 1,5 m.
Débit d'eau moyen : 12 L/min.
Corps à encastrer doté d'un boitier de jonction.
Connexion G 1/2.</t>
  </si>
  <si>
    <t>Description du produit :
Ensemble de douche encastré composé d'une pomme haute de douche et un pommeau de douche, modèle Monza.
Support de la pomme haute avec sortie d'eau pour connexion murale.
Pomme haute de douche ronde et extra-plate, avec traitement anti-calcaire.
Diamètre : 25 cm.
Fabriquée en acier inoxydable.
Bras fabriqué en laiton.
Système mitigeur à deux voies.
Avec robinetterie et cartouche thermostatique. Robinet qui régule de manière automatique les débits d'eau froide et chaude, maintenant la température toujours constante.
Doté d'un distributeur arrondi fabriqué en laiton.
Pommeau de douche arrondi, à une position.
Robinet thermostatique avec cartouche auto-nettoyante, avec technologie Turn Clean System.
Pommeau de douche avec flexible renforcé de 1,5 m.
Débit d'eau moyen : 20 L/min.
Corps à encastrer doté d'un boitier de jonction.
Connexion G 1/2.
Finition chromée.</t>
  </si>
  <si>
    <t>Description du produit :
Ensemble de douche encastré composé d'une pomme haute de douche et un pommeau de douche, modèle Monza.
Support de la pomme haute avec sortie d'eau pour connexion murale.
Pomme haute de douche ronde et extra-plate, avec traitement anti-calcaire.
Diamètre : 25 cm.
Fabriquée en acier inoxydable.
Bras fabriqué en laiton.
Système mitigeur à deux voies.
Avec robinetterie et cartouche thermostatique. Robinet qui régule de manière automatique les débits d'eau froide et chaude, maintenant la température toujours constante.
Doté d'un distributeur arrondi fabriqué en laiton.
Pommeau de douche arrondi, à une position.
Robinet thermostatique avec cartouche auto-nettoyante, avec technologie Turn Clean System.
Pommeau de douche avec flexible renforcé de 1,5 m.
Débit d'eau moyen : 20 L/min.
Corps à encastrer doté d'un boitier de jonction.
Connexion G 1/2.
Finition black gun metal.</t>
  </si>
  <si>
    <t>Description du produit :
Ensemble de douche encastré composé d'une pomme haute de douche et un pommeau de douche, modèle Monza.
Support de la pomme haute avec sortie d'eau pour connexion murale.
Pomme haute de douche ronde et extra-plate, avec traitement anti-calcaire.
Diamètre : 25 cm.
Fabriquée en acier inoxydable.
Bras fabriqué en laiton.
Système mitigeur à deux voies.
Avec robinetterie et cartouche thermostatique. Robinet qui régule de manière automatique les débits d'eau froide et chaude, maintenant la température toujours constante.
Doté d'un distributeur arrondi fabriqué en laiton.
Pommeau de douche arrondi, à une position.
Robinet thermostatique avec cartouche auto-nettoyante, avec technologie Turn Clean System.
Pommeau de douche avec flexible renforcé de 1,5 m.
Débit d'eau moyen : 20 L/min.
Corps à encastrer doté d'un boitier de jonction.
Connexion G 1/2.
Finition noir mat.</t>
  </si>
  <si>
    <t>Description du produit :
Ensemble de douche encastré composé d'une pomme haute de douche et un pommeau de douche, modèle Monza.
Support de la pomme haute avec sortie d'eau pour connexion murale.
Pomme haute de douche ronde et extra-plate, avec traitement anti-calcaire.
Diamètre : 25 cm.
Fabriquée en acier inoxydable.
Bras fabriqué en laiton.
Système mitigeur à deux voies.
Avec robinetterie et cartouche thermostatique. Robinet qui régule de manière automatique les débits d'eau froide et chaude, maintenant la température toujours constante.
Doté d'un distributeur arrondi fabriqué en laiton.
Pommeau de douche arrondi, à une position.
Robinet thermostatique avec cartouche auto-nettoyante, avec technologie Turn Clean System.
Pommeau de douche avec flexible renforcé de 1,5 m.
Débit d'eau moyen : 20 L/min.
Corps à encastrer doté d'un boitier de jonction.
Connexion G 1/2.
Finition or brossé.</t>
  </si>
  <si>
    <t>Description du produit :
Ensemble de douche encastré composé d'une pomme haute de douche et un pommeau de douche, modèle Monza.
Support de la pomme haute avec sortie d'eau pour connexion murale.
Pomme haute de douche ronde et extra-plate, avec traitement anti-calcaire.
Diamètre : 25 cm.
Fabriquée en acier inoxydable.
Bras fabriqué en laiton.
Système mitigeur à deux voies.
Avec robinetterie et cartouche thermostatique. Robinet qui régule de manière automatique les débits d'eau froide et chaude, maintenant la température toujours constante.
Doté d'un distributeur arrondi fabriqué en laiton.
Pommeau de douche arrondi, à une position.
Robinet thermostatique avec cartouche auto-nettoyante, avec technologie Turn Clean System.
Pommeau de douche avec flexible renforcé de 1,5 m.
Débit d'eau moyen : 20 L/min.
Corps à encastrer doté d'un boitier de jonction.
Connexion G 1/2.
Finition or rose brossé.</t>
  </si>
  <si>
    <t>Barre de douche en acier inoxydable. S.304 extensible 95/132 cm
Pomme de douche en acier inoxydable. S.304 20cm, extra-plat, chromé et anticalcaire
Support de poignée de douche réglable en hauteur
Débit moyen 12 l/min
Tuyau renforcé de 1,5 m
Cartouche en céramique de 35 mm</t>
  </si>
  <si>
    <t xml:space="preserve">Description du produit :
Robinet mitigeur pour lavabo. 
Équipé d'une cartouche céramique de 35 mm, pour un débit et une température de l'eau plus précis.
Fabriqué en laiton avec finition chromée. 
Le bec est arrondi et la poignée présente un design moderne taillé. 
Flexibles 3/8" inclus.
Dimensions : 200 mm de haut x 150 mm de long.
Série : Line. 
En option :
Bonde de vidage clic-clac.
Compatible avec tous les lavabos et bidets, avec ou sans trop-plein.
Filet inférieur de 1 1/4". 
En laiton avec finition chromée. </t>
  </si>
  <si>
    <t xml:space="preserve">Description du produit :
Robinet mitigeur pour lavabo, à bec haut.
Cartouche en céramique de 35 mm pour une meilleure régulation de la température et du débit d'eau.
Fabriqué en laiton avec finition chromée. 
Le bec est arrondi et la poignée présente un design moderne taillé. 
Flexibles 3/8" inclus.
Dimensions : 322 mm de haut x 183 mm de long.
Série : Line. 
En option :
Bonde de vidage clic-clac.
Compatible avec tous les lavabos et bidets, avec ou sans trop-plein.
Filet inférieur de 1 1/4". 
En laiton avec finition chromée. </t>
  </si>
  <si>
    <t>Description du produit :
Robinetterie thermostatique de douche très élégante, avec pommeau, support et flexible. 
Fabriquée en laiton avec finition chromée. 
Équipée d'une cartouche céramique thermostatique Turn Clean System, qui assure une température constante de l'eau et évite les brûlures. 
Dispose d'un système d'auto-nettoyage très facile à utiliser. Pour ce faire, il faut juste tourner au maximum la poignée du froid vers le chaud et maintenir ainsi trente secondes sur chaque position. De cette manière, vous pourrez enlever les impuretés accumulées dans la cartouche. Ainsi, la durée de vie des filtres intérieurs est prolongée.
Débit moyen : 12 l par minute.
La pomme haute est ronde et a 1 unique fonction. 
Le support de douche est fabriqué en ABS, avec une finition chromée.
Un flexible renforcé extensible de 1,70 à 1,90 m.
Dimensions du robinet : 295 mm de large x 97 mm de profond.
Série : Line.</t>
  </si>
  <si>
    <t>Description du produit :
Robinetterie thermostatique au design élégant, pour baignoire et douche, avec pommeau, support et flexible.
Elle est équipée d'un système de sécurité qui, lors d'un changement de pression d'eau (froide ou chaude), coupe le débit pour éviter une éventuelle brûlure ou coup de froid. 
La cartouche a un système très facile à nettoyer : il faut juste tourner à fond la poignée du froid vers le chaud et maintenir ainsi trente secondes sur chaque position. De cette manière, vous pourrez enlever les impuretés accumulées dans la cartouche.
La cartouche a un système très facile à nettoyer : il faut juste tourner la poignée au maximum du froid vers le chaud et maintenir ainsi trente secondes sur chaque position.
Le débit moyen d'eau est de 12 litres par minute. 
Inverseur intégré.
Le pommeau est rond et a 1 unique position. 
Le support du pommeau est fabriqué en ABS, avec finition chromée.
Flexible renforcé extensible de 1,70 à 1,90 m fourni.
Dimensions du robinet : 306 mm de large x 164 mm de long/profond.
Série : Line.</t>
  </si>
  <si>
    <t xml:space="preserve">Description du produit :
Ensemble de douche élégant avec barre de douche, pommeau, pomme haute, flexible et robinetterie.
Fabriquée en acier inoxydable résistant à la corrosion, la barre de douche est extensible de 115 cm à 165 cm.
La pomme haute est fabriquée en acier inoxydable, au design rond, extra-plat et anticalcaire. Avec finition chromée, elle mesure 20 cm de diamètre.
Le support du pommeau est réglable en hauteur, ce qui vous permet de l'adapter à vos besoins.
Le pommeau de douche est rond et a 1 position.
Le robinet est thermostatique, fabriqué en laiton, avec finition chromée. 
Équipée d'une cartouche thermostatique Turn clean System, qui offre une température constante de l'eau, évitant ainsi les brûlures.
Dispose d'un système d'auto-nettoyage qui élimine les impuretés accumulées dans le robinet en tournant la poignée au maximum. De cette manière, la durée de vie des filtres intérieurs est prolongée.
Débit d'eau moyen : 12 litres par minute.
Équipé d'un bouton démarrage/arrêt très pratique pour un meilleur confort.
Inverseur intégré.
Un flexible renforcé de 1,5 m est inclus. 
Dimensions de la colonne : 365 mm de profond x 842 mm de haut.
Série : Line. </t>
  </si>
  <si>
    <t>Description du produit :
Ensemble de douche élégant avec barre de douche, pommeau, pomme haute, flexible et robinetterie.
Fabriquée en acier inoxydable résistant à la corrosion, la barre de douche est extensible de 95 cm à 132 cm.
La pomme haute est fabriquée en acier inoxydable, au design rond, extra-plat et anticalcaire. Avec finition chromée, elle mesure 20 cm de diamètre.
Le support du pommeau est réglable en hauteur, ce qui vous permet de l'adapter à vos besoins.
Le pommeau de douche est rond et a 1 position.
Le robinet est thermostatique, fabriqué en laiton, avec finition chromée. 
Équipée d'une cartouche thermostatique Turn clean System, qui offre une température constante de l'eau, évitant ainsi les brûlures.
Dispose d'un système d'auto-nettoyage qui élimine les impuretés accumulées dans le robinet en tournant la poignée au maximum. De cette manière, la durée de vie des filtres intérieurs est prolongée.
Débit d'eau moyen : 12 litres par minute.
L'inverseur intégré.
Un flexible renforcé de 1,5 m est fourni. 
Dimensions de la colonne : 365 mm de profond x 842 mm de haut.
Série : Line.
Ce produit appartient à</t>
  </si>
  <si>
    <t>Description du produit :
Ensemble de douche élégant avec barre de douche, pommeau, pomme haute, flexible et robinetterie.
Fabriquée en acier inoxydable, la pomme haute de douche est ronde, extra-plate et anti-calcaire. Avec finition chromée, elle mesure 25 cm de diamètre.
Le bras de la pomme haute est fabriqué en laiton chromé.
Le pommeau de douche est rond et a 1 position.
Le support du pommeau a une sortie d'eau du mur.
La robinetterie est mitigeur à 2 voies, fabriquée en laiton, avec finition chromée.
Équipé d'une cartouche céramique de 35 mm qui permet une régulation précise de la température et du débit d'eau.
Débit d'eau moyen : 12 litres par minute.
Inverseur en laiton intégré.
Un flexible de douche en PVC renforcé de 1,5 m est fourni. 
Ce produit n'a pas besoin de boitier de jonction pour son installation.
Série : Line.</t>
  </si>
  <si>
    <t>Description du produit :
Ensemble de douche élégant avec barre de douche, pommeau, pomme haute, flexible et robinetterie.
Fabriquée en acier inoxydable, la pomme haute de douche est ronde, extra-plate et anti-calcaire. Avec finition chromée, elle mesure 25 cm de diamètre.
Le bras de la pomme haute est fabriqué en laiton chromé.
Le pommeau de douche est rond et a 1 position.
Le support du pommeau a une sortie d'eau du mur.
La robinetterie est mitigeur à 2 voies, fabriquée en laiton, avec finition chromée.
Équipé d'une cartouche céramique de 35 mm qui permet une régulation précise de la température et du débit d'eau.
Débit d'eau moyen : 12 litres par minute.
Inverseur en laiton intégré.
Un flexible en PVC renforcé de 1,5 m est fourni. 
Ce produit n'a pas besoin de boitier de jonction pour son installation.
Série : Top.</t>
  </si>
  <si>
    <t>Description du produit :
Ensemble de douche élégant avec barre de douche, pommeau, pomme haute, flexible et robinetterie.
Fabriquée en acier inoxydable, la pomme haute de douche est circulaire, extra-plate et anti-calcaire. Avec finition chromée, elle mesure 25 cm de diamètre.
Le bras de la pomme haute est fabriqué en laiton chromé.
Le pommeau de douche est rond et a 1 position.
Le support du pommeau a une sortie d'eau du mur.
La robinetterie est mitigeur à 2 voies, fabriquée en laiton, avec finition chromée.
Sa cartouche thermostatique Turn Clean System offre une température de l'eau constante, évitant ainsi les brûlures. 
La cartouche a un système de sécurité qui évite que l'eau dépasse les 38°, évitant ainsi les accidents.
Cette cartouche possède un système d'auto-nettoyage qui permet d'éliminer les impuretés accumulées dans le robinet et de prolonger la durée de vie des filtres.
Débit d'eau moyen : 12 litres par minute.
Inverseur rond en laiton fourni.
Un flexible renforcé, de longue durée de vie et 1,5 m, est fourni. 
Série : Line.</t>
  </si>
  <si>
    <t>Description du produit :
Ensemble de douche élégant avec barre de douche, pommeau, pomme haute, flexible et robinetterie.
Fabriquée en acier inoxydable, la pomme haute de douche est circulaire, extra-plate et anti-calcaire. Avec finition chromée, elle mesure 25 cm de diamètre.
Le bras de la pomme haute est fabriqué en laiton chromé.
Le pommeau de douche est rond et a 1 position.
Le support du pommeau a une sortie d'eau du mur.
La robinetterie est thermostatique à 2 voies, fabriquée en laiton, avec finition chromée.
Sa cartouche thermostatique Turn Clean System offre une température de l'eau constante, évitant ainsi les brûlures. 
La cartouche a un système de sécurité qui évite que l'eau dépasse les 38°, évitant ainsi les accidents.
Cette cartouche possède un système d'auto-nettoyage qui permet d'éliminer les impuretés accumulées dans le robinet et de prolonger la durée de vie des filtres.
Débit d'eau moyen : 12 litres par minute.
Inverseur rond en laiton fourni.
Un flexible renforcé, de longue durée de vie et 1,5 m, est fourni. 
Série : Top.</t>
  </si>
  <si>
    <t>Description du produit :
Robinet mitigeur pour lavabo, à encastrer au mur.
Fabriqué en laiton avec finition chromée.
Bec arrondi avec poignée au design moderne taillé.
Dimensions du robinet : 120 mm de large x 194 mm de long.
Ce produit n'a pas besoin de boitier de jonction pour son installation.
Série : Line. 
En option :
Bonde de vidage clic-clac adaptée à tous les lavabos et bidets, avec ou sans trop-plein. Filet inférieur de 1 1/4". En laiton avec finition chromée.</t>
  </si>
  <si>
    <t>Description du produit :
Ensemble de douche élégant avec barre de douche, pommeau, pomme haute, flexible et robinetterie.
En acier inoxydable très résistant à la corrosion, la barre de douche est extensible de 95 à 132 cm.
Fabriquée en acier inoxydable, la pomme haute de douche est circulaire, extra-plate et anti-calcaire. Avec finition chromée, elle mesure 20 cm de diamètre.
Le support du pommeau est réglable en hauteur, ce qui vous permet de l'adapter à vos besoins.
Le pommeau de douche est rond et a 1 position.
Robinet mitigeur fabriqué en laiton.
Sa cartouche céramique de 35 mm permet une régulation précise de la température et du débit d'eau.
Débit d'eau moyen : 12 litres par minute.
Inverseur intégré.
Un flexible renforcé, de longue durée de vie et 1,5 m, est fourni. 
Dimensions de la colonne : 365 mm de long x 842 mm de haut.
Toutes les pièces ont une finition noir mat.
Série : Line.</t>
  </si>
  <si>
    <t>Description du produit :
Robinet mitigeur pour lavabo.
Cartouche de disque en céramique de 35 mm qui assure une meilleure régulation de la température et du débit d'eau.
Fabriqué en laiton.
Le bec est arrondi et la pognée présente un design moderne taillé. 
Flexibles 3/8" fournis.
Dimensions du robinet : 200 mm de haut x 150 mm de long.
Couleur : noir mat. 
Série : Line.
En option :
Bonde de vidage clic-clac adaptée à tous les lavabos et bidets, avec ou sans trop-plein. Filet inférieur de 1 1/4". En laiton avec finition noir mat.</t>
  </si>
  <si>
    <t>Description du produit :
Robinet mitigeur pour lavabo, de bec haut.
Cartouche de disque en céramique de 35 mm qui assure une meilleure régulation de la température et du débit d'eau.
Fabriqué en laiton.
Le bec est arrondi et la pognée présente un design moderne taillé. 
Flexibles 3/8" fournis.
Dimensions du robinet : 322 mm de haut x 183 mm de long.
Couleur : noir mat. 
Série : Line.
En option :
Bonde de vidage clic-clac adaptée à tous les lavabos et bidets, avec ou sans trop-plein. Filet inférieur de 1 1/4". En laiton avec finition noir mat.</t>
  </si>
  <si>
    <t>Description du produit :
Robinetterie thermostatique de douche très élégante, avec pommeau, support et flexible. 
Fabriquée en laiton.
Équipé d'une cartouche céramique thermostatique Turn Clean System, qui assure une température constante de l'eau et évite les brûlures. 
Dispose d'un système d'auto-nettoyage très facile à utiliser. Pour ce faire, il faut juste tourner au maximum la poignée du froid vers le chaud et maintenir ainsi trente secondes sur chaque position. De cette manière, vous pourrez enlever les impuretés accumulées dans la cartouche. Ainsi, la durée de vie des filtres intérieurs est prolongée.
Débit moyen : 12 l par minute.
Le pommeau est rond et a 1 unique fonction.
Le support de douche est fabriqué en ABS.
Un flexible renforcé extensible de 1,70 à 1,90 m.
Dimensions du robinet : 295 mm de large x 97 mm de profond.
Toutes les pièces de l'ensemble sont en couleur noir mat.
Série : Line.</t>
  </si>
  <si>
    <t>Description du produit :
Robinetterie thermostatique élégante avec pommeau, support et flexible.
Équipée d'une cartouche thermostatique Turn clean System, qui offre une température constante de l'eau, évitant ainsi les brûlures.
Dispose d'un système d'auto-nettoyage qui élimine les impuretés accumulées dans le robinet en tournant la poignée au maximum. De cette manière, la durée de vie des filtres intérieurs est prolongée.
Le débit moyen d'eau est de 12 litres par minute. 
Inverseur intégré.
Le pommeau est rond et a 1 unique position. 
Le support du pommeau est fabriqué en ABS.
Flexible renforcé extensible de 1,70 à 1,90 m fourni.
Dimensions du robinet : 306 mm de large x 164 mm de long/profond.
Toutes les pièces de l'ensemble sont en couleur noir mat.
Série : Line.</t>
  </si>
  <si>
    <t>Description du produit :
Ensemble de douche élégant avec barre de douche, pommeau, pomme haute, flexible et robinetterie.
En acier inoxydable très résistant à la corrosion, la barre de douche est extensible de 115 à 165 cm.
Fabriquée en acier inoxydable, la pomme haute de douche est circulaire, extra-plate et anti-calcaire. Avec finition chromée, elle mesure 20 cm de diamètre.
Le support du pommeau est réglable en hauteur, ce qui vous permet de l'adapter à vos besoins.
La robinetterie est thermostatique, fabriquée en laiton.
Équipée d'une cartouche thermostatique Turn Clean System, qui offre une température constante, évitant ainsi les brûlures.
Le pommeau est rond et a 1 position.
Dispose d'un système d'auto-nettoyage qui élimine les impuretés accumulées dans le robinet lorsque vous tournez la poignée. De cette manière, la durée de vie des filtres intérieurs est prolongée.
Débit d'eau moyen : 12 litres par minute.
Dispose d'un bouton démarrage/arrêt pour plus de confort.
Inverseur intégré.
Un flexible renforcé, de longue durée de vie et 1,5 m, est fourni. 
Dimensions de la colonne : 365 mm de long x 842 mm de haut.
Toutes les pièces ont une finition noir mat.
Série : Line.</t>
  </si>
  <si>
    <t>Description du produit :
Ensemble de douche élégant avec robinetterie, pommeau, pomme haute et flexible.
En acier inoxydable très résistant à la corrosion, la barre de douche est extensible de 95 à 132 cm.
Fabriquée en acier inoxydable, la pomme haute de douche est circulaire, extra-plate et anti-calcaire. Avec finition chromée, elle mesure 20 cm de diamètre.
Le support du pommeau est réglable en hauteur, ce qui vous permet de l'adapter à vos besoins.
Le pommeau de douche est rond a 1 position.
La robinetterie est thermostatique, fabriquée en laiton.
Équipée d'une cartouche thermostatique Turn Clean System, qui offre une température constante, évitant ainsi les brûlures.
Dispose d'un système d'auto-nettoyage qui élimine les impuretés accumulées dans le robinet lorsque vous tournez la poignée. De cette manière, la durée de vie des filtres intérieurs est prolongée.
Débit d'eau moyen : 12 litres par minute.
Inverseur intégré.
Un flexible renforcé, de longue durée de vie et 1,5 m, est fourni. 
Dimensions de la colonne : 365 mm de long x 842 mm de haut.
Toutes les pièces ont une finition noir mat.
Série : Line.</t>
  </si>
  <si>
    <t>Description du produit :
Ensemble de douche élégant avec robinetterie, pommeau, pomme haute et flexible.
Fabriquée en acier inoxydable, la pomme haute de douche est circulaire, extra-plate et anti-calcaire. Avec finition chromée, elle mesure 25 cm de diamètre.
Le bras de la pomme haute est fabriqué en laiton.
Le pommeau de douche est rond a 1 position.
Support du pommeau avec sortie d'eau murale.
Robinetterie mitigeur de 2 voies fabriquée en laiton.
Équipée d'une cartouche céramique de 35 mm qui assure une régulation précise de la température et le débit d'eau.
Débit d'eau moyen : 12 litres par minute.
Inverseur en laiton intégré.
Un flexible de douche en PVC renforcé, de longue durée de vie et 1,5 m, est fourni. 
Ce produit n'a pas besoin de boitier de jonction pour son installation.
Toutes les pièces ont une finition noir mat.
Série : Line.</t>
  </si>
  <si>
    <t>Description du produit :
Ensemble de douche élégant avec robinetterie, pommeau, pomme haute et flexible.
Fabriquée en acier inoxydable, la pomme haute de douche est circulaire, extra-plate et anti-calcaire. Avec finition chromée, elle mesure 25 cm de diamètre.
Le tuyau de la pomme haute à fixer au plafond est fabriqué en laiton.
Le pommeau de douche est rond a 1 position.
Support du pommeau avec sortie d'eau murale.
Robinetterie mitigeur de 2 voies fabriquée en laiton.
Équipée d'une cartouche céramique de 35 mm qui assure une régulation précise de la température et le débit d'eau.
Débit d'eau moyen : 12 litres par minute.
Inverseur rond en laiton intégré.
Un flexible de douche en PVC renforcé, de longue durée de vie et 1,5 m, est fourni. 
Ce produit n'a pas besoin de boitier de jonction pour son installation.
Toutes les pièces ont une finition noir mat.
Série : Top.</t>
  </si>
  <si>
    <t>Description du produit :
Ensemble de douche élégant avec robinetterie, pommeau, pomme haute et flexible.
Fabriquée en acier inoxydable, la pomme haute de douche est circulaire, extra-plate et anti-calcaire. Avec finition chromée, elle mesure 25 cm de diamètre.
Le tuyau de la pomme haute à fixer au mur est fabriqué en laiton.
Le pommeau de douche est rond a 1 position.
Support du pommeau avec sortie d'eau murale.
Robinetterie mitigeur de 2 voies fabriquée en laiton.
Équipée d'une cartouche thermostatique Turn clean System, qui offre une température constante de l'eau, évitant ainsi les brûlures.
Dispose d'un système de sécurité qui évite que la température de l'eau dépasse les 38° et évitant ainsi les accidents.
Dispose d'un système d'auto-nettoyage qui élimine les impuretés accumulées dans le robinet en tournant la poignée au maximum. De cette manière, la durée de vie des filtres intérieurs est prolongée.
Débit d'eau moyen : 12 litres par minute.
Inverseur rond en laiton intégré.
Un flexible de douche renforcé, de longue durée de vie et 1,5 m, est fourni. 
Toutes les pièces ont une finition noir mat.
Série : Line.</t>
  </si>
  <si>
    <t>Description du produit :
Ensemble de douche élégant avec robinetterie, pommeau, pomme haute et flexible.
Fabriquée en acier inoxydable, la pomme haute de douche est circulaire, extra-plate et anti-calcaire. Avec finition chromée, elle mesure 25 cm de diamètre.
Le tuyau de la pomme haute à fixer au plafond est fabriqué en laiton.
Le pommeau de douche est rond a 1 position.
Support du pommeau avec sortie d'eau murale.
Robinetterie thermostatique de 2 voies fabriquée en laiton.
Équipée d'une cartouche thermostatique Turn clean System, qui offre une température constante de l'eau, évitant ainsi les brûlures.
Dispose d'un système de sécurité qui évite que la température de l'eau dépasse les 38° et évitant ainsi les accidents.
Dispose d'un système d'auto-nettoyage qui élimine les impuretés accumulées dans le robinet en tournant la poignée au maximum. De cette manière, la durée de vie des filtres intérieurs est prolongée.
Débit d'eau moyen : 12 litres par minute.
Inverseur rond en laiton intégré.
Un flexible de douche renforcé, de longue durée de vie et 1,5 m, est fourni. 
Toutes les pièces ont une finition noir mat.
Série : Top.</t>
  </si>
  <si>
    <t>Description du produit :
Robinet mitigeur pour lavabo, à encastrer au mur.
Fabriqué en laiton avec finition noir mat.
Le bec est arrondi et la pognée présente un design moderne taillé. 
Dimensions du robinet : 120 mm de large x 194 mm de long.
Ce produit n'a pas besoin de boitier de jonction pour son installation.
Série : Line.
En option :
Bonde de vidage clic-clac adaptée à tous les lavabos et bidets, avec ou sans trop-plein. Filet inférieur de 1 1/4". En laiton avec finition noir mat.</t>
  </si>
  <si>
    <t>Description du produit :
Robinet mitigeur pour lavabo.
Équipée d'une cartouche céramique de 35 mm qui assure une régulation précise de la température et le débit d'eau.
Fabriqué en laiton.
Le bec est arrondi et la poignée présente un design moderne taillé. 
Flexibles 3/8" fournis.
Dimensions du robinet : 200 mm de large x 150 mm de long.
Couleur : gris mat et champagne.
Série : Line.
En option :
Bonde de vidage clic-clac adaptée à tous les lavabos et bidets, avec ou sans trop-plein. Filet inférieur de 1 1/4". En laiton avec finition chromée.
Couleurs disponibles : 
Chromée,
Blanc brillant.
Blanc mat.
Noir mat.
Nickel brossé.</t>
  </si>
  <si>
    <t>Description du produit :
Robinet mitigeur pour lavabo, de bec haut.
Équipée d'une cartouche céramique de 35 mm qui assure une régulation précise de la température et le débit d'eau.
Fabriqué en laiton.
Le bec est arrondi et la poignée présente un design moderne taillé. 
Flexibles 3/8" fournis.
Dimensions du robinet : 322 mm de large x 183 mm de long.
Couleur : gris mat et champagne.
Série : Line.</t>
  </si>
  <si>
    <t xml:space="preserve">Description du produit :
Robinetterie thermostatique de douche très élégante, avec pommeau, support et flexible. 
Fabriquée en laiton.
Équipée d'une cartouche thermostatique Turn Clean System, qui assure une température constante de l'eau et évite les brûlures. 
Cette cartouche est dotée d'un capteur Vernet qui fonctionne avec n'importe quel type d'appareil de chauffage, car elle est adaptée à un fonctionnement à basse pression.
Dispose d'un système d'auto-nettoyage, qui élimine les impuretés dans le robinet d'un simple tour de poignée. Cela prolonge la durée de vie du système thermostatique.
Débit moyen de 12 litres par minute.
Le pommeau de douche est rond et a 1 fonction.
Le support de douche est fabriqué en ABS.
Flexible renforcé, pour une plus grande durabilité, extensible de 1,70 à 1,90 m.
Dimensions du robinet : 295 mm de large x 97 mm de profondeur.
Toutes les pièces de l'ensemble sont en couleur gris mat et champagne.
Série : Line. </t>
  </si>
  <si>
    <t xml:space="preserve">Description du produit :
Robinetterie thermostatique élégante pour baignoire et douche avec pommeau, support et flexible.
Fabriquée en laiton.
Équipée d'une cartouche thermostatique Turn clean System, qui offre une température constante de l'eau, évitant ainsi les brûlures.
Cartouche avec capteur Vernet qui fonctionne avec n'importe quel type d'appareil de chauffage, car il est adapté au fonctionnement à basse pression.
Dispose d'un système d'auto-nettoyage qui élimine les impuretés accumulées dans le robinet en tournant la poignée au maximum. De cette manière, la durée de vie des filtres intérieurs est prolongée.
Le débit moyen d'eau est de 12 litres par minute. 
Inverseur intégré.
Le pommeau est rond et a 1 position. 
Le support du pommeau est fabriqué en ABS.
Flexible renforcé extensible de 1,70 à 1,90 m fourni.
Dimensions du robinet : 30,6 cm de large x 16,4 cm de long.
Toutes les pièces de l'ensemble sont en couleur gris mat et champagne.
Série : Line. </t>
  </si>
  <si>
    <t>Description du produit :
Ensemble de douche élégant avec robinetterie, pommeau, pomme haute et flexible.
Fabriquée en acier inoxydable, la pomme haute de douche est circulaire, extra-plate et anti-calcaire. Elle mesure 25 cm de diamètre.
Le tube de sortie mural de la pomme haute est fabriqué en laiton.
Poignée du pommeau de douche est rond, à 1 position.
Support du pommeau avec sortie d'eau murale.
Robinet mitigeur à 2 voies, fabriqué en laiton.
Équipée d'une cartouche céramique de 35 mm, pour une régulation correcte de la température et du débit de l'eau.
Débit d'eau moyen : 12 litres par minute.
Inverseur pour passer de la pomme haute au pommeau de douche  en laiton et intégré.
Flexible de douche inclus, en PVC renforcé pour une meilleure durabilité, d'1,5 m de long.
Ne requiert pas de boitier de jonction pour son installation.
Tous les accessoires sont de couleur gris mat et champagne.
Série : Line.</t>
  </si>
  <si>
    <t>Description du produit :
Ensemble de douche élégant avec robinetterie, pommeau, pomme haute et flexible.
Fabriquée en acier inoxydable, la pomme haute de douche est circulaire, extra-plate et anti-calcaire. Elle mesure 25 cm de diamètre.
Le tube de sortie mural de la pomme haute est fabriqué en laiton.
Poignée du pommeau de douche est rond, à 1 position.
Support du pommeau avec sortie d'eau murale.
Robinet mitigeur à 2 voies, fabriqué en laiton.
Équipé d'une cartouche céramique de 35 mm, pour une régulation correcte de la température et du débit de l'eau.
Débit d'eau moyen : 12 litres par minute.
Inverseur rond pour passer de la pomme haute au pommeau de douche en laiton et intégré.
Flexible de douche inclus, en PVC renforcé pour une meilleure durabilité, d'1,5 m de long.
Ne requiert pas de boitier de jonction pour son installation.
Tous les accessoires sont de couleur gris mat et champagne.
Série : Top.</t>
  </si>
  <si>
    <t>Description du produit :
Ensemble de douche élégant avec robinetterie, pommeau, pomme haute et flexible.
Fabriqué en acier inoxydable, la pomme haute de douche est circulaire, extra-plate et anti-calcaire. Elle mesure 25 cm de diamètre.
Le tube de sortie mural de la pomme haute est fabriqué en laiton.
Poignée du pommeau de douche est rond, à 1 position.
Support du pommeau inclus, avec sortie d'eau murale.
Robinet thermostatique à 2 voies et fabriqué en laiton.
Équipé d'une cartouche thermostatique avancée Turn Clean System, qui fournit une température d'eau constante, évitant ainsi les brûlures.
Cette cartouche est dotée d'un capteur Vernet qui fonctionne avec n'importe quel type d'appareil de chauffage, car elle est adaptée à un fonctionnement à basse pression.
Système de sécurité qui empêche la température de l'eau de dépasser 38°, évitant ainsi les accidents.
De plus, il est autonettoyant, éliminant les impuretés dans le robinet d'un simple tour de poignée. Cela prolonge la durée de vie utile des filtres intérieurs.
Débit d'eau moyen : 12 litres par minute.
Inverseur rond pour passer de la pomme haute au pommeau de douche en laiton et intégré.
Flexible de douche renforcé inclus, pour une meilleure durabilité, d'1,5 m de long.
Ne requiert pas de boitier de jonction pour son installation.
Tous les accessoires sont de couleur gris mat et champagne.
Série : Line.</t>
  </si>
  <si>
    <t>Description du produit :
Ensemble de douche élégant avec robinetterie, pommeau, pomme haute et flexible.
Fabriquée en acier inoxydable, la pomme haute de douche est circulaire, extra-plate et anti-calcaire. Elle mesure 25 cm de diamètre.
Le tube de sortie mural de la pomme haute est fabriqué en laiton.
Poignée du pommeau de douche ronde, à 1 position.
Support du pommeau inclus, avec sortie d'eau murale.
Robinet thermostatique à 2 voies et fabriqué en laiton.
Équipé d'une cartouche thermostatique avancée Turn Clean System, qui fournit une température d'eau constante, évitant ainsi les brûlures.
Cette cartouche est dotée d'un capteur Vernet qui fonctionne avec n'importe quel type d'appareil de chauffage, car elle est adaptée à un fonctionnement à basse pression.
Système de sécurité qui empêche la température de l'eau de dépasser 38°, évitant ainsi les accidents.
De plus, il est autonettoyant, éliminant les impuretés dans le robinet d'un simple tour de poignée. Cela prolonge la durée de vie utile des filtres intérieurs.
Débit d'eau moyen : 12 litres par minute.
Inverseur rond pour passer de la pomme haute au pommeau de douche en laiton et intégré.
Flexible de douche renforcé inclus, pour une meilleure durabilité, d'1,5 m de long.
Ne requiert pas de boitier de jonction pour son installation.
Tous les accessoires sont de couleur gris mat et champagne.
Série : Top.</t>
  </si>
  <si>
    <t>Description du produit :
Robinet mitigeur pour lavabo, à encastrer au mur.
Fabriqué en laiton avec finition gris mat et champagne.
Le bec est arrondi et la poignée présente un design moderne taillé. 
Dimensions du robinet : 120 mm de large x 194 mm de long.
Boite de jonction non requit pour son installation.
Série : Line.
En option :
Bonde vidage clic-clac :
Compatible pour tous les lavabos et les bidets, avec ou sans trop-plein.
Filet inférieur de 1 1/4".
En laiton avec finition chromée.
Couleur au choix (les photos des bondes sont dans le même ordre que les couleurs indiquées) :
Chromée.
Blanc brillant.
Blanc mat.
Noir mat.
Nickel brossé.</t>
  </si>
  <si>
    <t>Description du produit :
Robinet mitigeur pour lavabo.
Equipé d'une cartouche en céramique de 35 mm, pour une bonne régulation de la température et du débit.
Fabriqué en laiton avec finition nickel brossé.
Le bec est arrondi et la poignée présente un design moderne taillé. 
Flexibles 3/8" inclus.
Dimensions du robinet : 200 mm de haut x 150 mm de long.
Boite de jonction non requit pour son installation.
Série : Line.
En option :
Bonde vidage clic-clac :
Compatible pour tous les lavabos et les bidets, avec ou sans trop-plein.
Filet inférieur de 1 1/4".
En laiton avec finition nickel brossé.</t>
  </si>
  <si>
    <t>Description du produit :
Robinet mitigeur pour lavabo.
Équipé d'une cartouche en céramique de 35 mm, pour une bonne régulation de la température et du débit.
Fabriqué en laiton.
Le bec est arrondi et la poignée présente un design moderne taillé. 
Flexibles 3/8" inclus.
Dimensions du robinet : 322 mm de haut x 183 mm de long.
Couleur : Nickel brossé.
Série : Line.
En option :
Bonde vidage clic-clac :
Compatible pour tous les lavabos et les bidets, avec ou sans trop-plein.
Filet inférieur de 1 1/4".
En laiton avec finition nickel brossé.</t>
  </si>
  <si>
    <t>Description du produit :
Robinetterie thermostatique de douche très élégante, avec pommeau de douche, support et flexible. 
Fabriquée en laiton.
Équipée d'une cartouche thermostatique Turn Clean System, qui assure une température constante de l'eau et évite les brûlures. 
Cette cartouche est dotée d'un capteur Vernet qui fonctionne avec n'importe quel type d'appareil de chauffage, car elle est adaptée à un fonctionnement à basse pression.
Dispose d'un système d'auto-nettoyage, qui élimine les impuretés dans le robinet d'un simple tour de poignée. Cela prolonge la durée de vie du système thermostatique.
Débit moyen de 12 litres par minute.
Le pommeau de douche est rond et a 1 fonction.
Le support de douche est fabriqué en ABS.
Flexible renforcé inclus, pour une plus grande durabilité, extensible de 1,70 à 1,90 m.
Dimensions du robinet : 295 mm de large x 97 mm de profondeur.
Toutes les pièces de l'ensemble sont en couleur nickel brossé.
Série : Line.</t>
  </si>
  <si>
    <t>Description du produit :
Robinetterie thermostatique élégante pour baignoire et douche avec pommeau, support et flexible.
Fabriquée en laiton.
Équipée d'une cartouche thermostatique Turn clean System, qui offre une température constante de l'eau, évitant ainsi les brûlures.
Cartouche avec capteur Vernet qui fonctionne avec n'importe quel type d'appareil de chauffage, car il est adapté au fonctionnement à basse pression.
Dispose d'un système d'auto-nettoyage qui élimine les impuretés accumulées dans le robinet en tournant la poignée au maximum. De cette manière, la durée de vie des filtres intérieurs est prolongée.
Le débit moyen d'eau est de 12 litres par minute. 
Inverseur intégré.
Le pommeau est rond et a 1 position. 
Le support du pommeau est fabriqué en ABS.
Flexible renforcé extensible de 1,70 à 1,90 m fourni.
Dimensions du robinet : 306 mm de large x 164 mm de long.
Toutes les pièces de l'ensemble sont de couleur nickel brossé.
Série : Line.</t>
  </si>
  <si>
    <t>Description du produit :
Ensemble de douche élégant avec robinetterie, pommeau, pomme haute et flexible.
Fabriquée en acier inoxydable, la pomme haute de douche est circulaire, extra-plate et anti-calcaire. Elle mesure 25 cm de diamètre.
Le tube de sortie mural de la pomme haute est fabriqué en laiton.
Poignée du pommeau de douche ronde, à 1 position.
Support du pommeau inclus, avec sortie d'eau murale.
Robinet mitigeur à 2 voies, fabriqué en laiton.
Équipé d'une cartouche céramique de 35 mm, pour une régulation correcte de la température et du débit de l'eau.
Débit d'eau moyen : 12 litres par minute.
Inverseur pour passer de la pomme haute au pommeau de douche en laiton et intégré.
Flexible de douche inclus, en PVC renforcé pour une meilleure durabilité, d'1,5 m de long.
Ne requiert pas de boitier de jonction pour son installation.
Tous les accessoires sont de couleur nickel brossé.
Série : Line.</t>
  </si>
  <si>
    <t>Description du produit :
Ensemble de douche élégant avec robinetterie, pommeau, pomme haute et flexible.
Fabriquée en acier inoxydable, la pomme haute de douche est circulaire, extra-plate et anti-calcaire. Elle mesure 25 cm de diamètre.
Le tube de sortie mural de la pomme haute est fabriqué en laiton.
Poignée du pommeau de douche ronde, à 1 position.
Support du pommeau inclus, avec sortie d'eau murale.
Robinet mitigeur à 2 voies, fabriqué en laiton.
Équipé d'une cartouche céramique de 35 mm, pour une régulation correcte de la température et du débit de l'eau.
Débit d'eau moyen : 12 litres par minute.
Inverseur pour passer de la pomme haute au pommeau de douche en laiton et intégré.
Flexible de douche inclus, en PVC renforcé pour une meilleure durabilité, d'1,5 m de long.
Ne requiert pas de boitier de jonction pour son installation.
Tous les accessoires sont de couleur nickel brossé.
Série : Top.</t>
  </si>
  <si>
    <t>Description du produit :
Ensemble de douche élégant avec robinetterie, pommeau, pomme haute et flexible.
Fabriquée en acier inoxydable, la pomme haute de douche est circulaire, extra-plate et anti-calcaire. Elle mesure 25 cm de diamètre.
Le tube de sortie mural de la pomme haute est fabriqué en laiton.
Poignée du pommeau de douche ronde, à 1 position.
Support du pommeau inclus, avec sortie d'eau murale.
Robinet thermostatique à 2 voies et fabriqué en laiton.
Équipé d'une cartouche thermostatique avancée Turn Clean System, qui fournit une température d'eau constante, évitant ainsi les brûlures.
Cette cartouche est dotée d'un capteur Vernet qui fonctionne avec n'importe quel type d'appareil de chauffage, car elle est adaptée à un fonctionnement à basse pression.
Système de sécurité qui empêche la température de l'eau de dépasser 38°, évitant ainsi les accidents.
De plus, il est autonettoyant, éliminant les impuretés dans le robinet d'un simple tour de poignée. Cela prolonge la durée de vie utile des filtres intérieurs.
Débit d'eau moyen : 12 litres par minute.
Inverseur rond pour passer de la pomme haute au pommeau de douche en laiton et intégré.
Flexible de douche renforcé inclus, pour une meilleure durabilité, d'1,5 m de long.
Ne requiert pas de boitier de jonction pour son installation.
Tous les accessoires sont de couleur nickel brossé.
Série : Line.</t>
  </si>
  <si>
    <t>Description du produit :
Ensemble de douche élégant avec robinetterie, pommeau, pomme haute et flexible.
Fabriquée en acier inoxydable, la pomme haute de douche est circulaire, extra-plate et anti-calcaire. Elle mesure 25 cm de diamètre.
Le tube de sortie mural de la pomme haute est fabriqué en laiton.
Poignée du pommeau de douche ronde, à 1 position.
Support du pommeau inclus, avec sortie d'eau murale.
Robinet thermostatique à 2 voies et fabriqué en laiton.
Équipé d'une cartouche thermostatique avancée Turn Clean System, qui fournit une température d'eau constante, évitant ainsi les brûlures.
Cette cartouche est dotée d'un capteur Vernet qui fonctionne avec n'importe quel type d'appareil de chauffage, car elle est adaptée à un fonctionnement à basse pression.
Système de sécurité qui empêche la température de l'eau de dépasser 38°, évitant ainsi les accidents.
De plus, il est autonettoyant, éliminant les impuretés dans le robinet d'un simple tour de poignée. Cela prolonge la durée de vie utile des filtres intérieurs.
Débit d'eau moyen : 12 litres par minute.
Inverseur rond pour passer de la pomme haute au pommeau de douche en laiton et intégré.
Flexible de douche renforcé inclus, pour une meilleure durabilité, d'1,5 m de long.
Ne requiert pas de boitier de jonction pour son installation.
Tous les accessoires sont de couleur nickel brossé.
Série : Top.</t>
  </si>
  <si>
    <t>Description du produit :
Robinet mitigeur pour lavabo, à encastrer au mur.
Fabriqué en laiton avec finition nickel brossé.
Le bec est arrondi et la poignée présente un design moderne taillé. 
Dimensions du robinet : 120 mm de large x 194 mm de long.
Ne requiert pas de boite de jonction pour son installation.
Série : Line.
En option :
Bonde vidage clic-clac :
Compatible pour tous les lavabos et les bidets, avec ou sans trop-plein.
Filet inférieur de 1 1/4".
En laiton avec finition nickel brossé.</t>
  </si>
  <si>
    <t>Description du produit :
Robinet mitigeur pour lavabo.
Équipé d'une cartouche en céramique de 35 mm, pour une bonne régulation de la température et du débit de l'eau.
Fabriqué en laiton.
Le bec est arrondi et la poignée présente un design moderne taillé. 
Flexibles 3/8" inclus.
Dimensions du robinet : 200 mm de haut x 150 mm de long.
Couleur : Black Gun Metal.
Série : Line.</t>
  </si>
  <si>
    <t>Description du produit :
Robinet mitigeur pour lavabo, à bac haut.
Équipé d'une cartouche en céramique de 35 mm, pour une bonne régulation de la température et du débit de l'eau.
Fabriqué en laiton.
Le bec est arrondi et la poignée présente un design moderne taillé. 
Flexibles 3/8" inclus.
Dimensions du robinet : 322 mm de haut x 183 mm de long.
Couleur : Black Gun Metal.
Série : Line.</t>
  </si>
  <si>
    <t xml:space="preserve">Description du produit :
Robinetterie thermostatique de douche très élégante, avec pommeau de douche, support et flexible. 
Fabriquée en laiton.
Équipée d'une cartouche thermostatique Turn Clean System, qui assure une température constante de l'eau et évite les brûlures. 
Cette cartouche est dotée d'un capteur Vernet qui fonctionne avec n'importe quel type d'appareil de chauffage, car elle est adaptée à un fonctionnement à basse pression.
Dispose d'un système d'auto-nettoyage, qui élimine les impuretés dans le robinet d'un simple tour de poignée. Cela prolonge la durée de vie du système thermostatique.
Débit moyen de 12 litres par minute.
Le pommeau de douche est rond et a 1 fonction.
Le support de douche est fabriqué en ABS.
Flexible renforcé inclus, pour une plus grande durabilité, extensible de 1,70 à 1,90 m.
Dimensions du robinet : 295 mm de large x 97 mm de profondeur.
Toutes les pièces de l'ensemble sont en couleur Black Gun Metal.
Série : Line. </t>
  </si>
  <si>
    <t>Description du produit :
Robinetterie thermostatique élégante pour baignoire et douche avec pommeau, support et flexible.
Fabriquée en laiton.
Équipée d'une cartouche thermostatique Turn clean System, qui offre une température constante de l'eau, évitant ainsi les brûlures.
Cartouche avec capteur Vernet qui fonctionne avec n'importe quel type d'appareil de chauffage, car il est adapté au fonctionnement à basse pression.
Dispose d'un système d'auto-nettoyage qui élimine les impuretés accumulées dans le robinet en tournant la poignée au maximum. De cette manière, la durée de vie des filtres intérieurs est prolongée.
Le débit moyen d'eau est de 12 litres par minute. 
Inverseur intégré.
Le pommeau est rond et a 1 position. 
Le support du pommeau est fabriqué en ABS.
Flexible renforcé extensible de 1,70 à 1,90 m fourni.
Dimensions du robinet : 306 mm de large x 164 mm de long.
Toutes les pièces de l'ensemble sont de couleur Black Gun Metal.
Série : Line.</t>
  </si>
  <si>
    <t xml:space="preserve">Description du produit :
Ensemble de douche élégant, avec robinetterie, pommeau de douche, pomme haute et flexible. 
Pomme haute de douche en acier inoxydable de 25 cm de diamètre, ronde, extra-plate et anti-calcaire.
Tube de sortie mural de la pomme haute fabriqué en laiton.
Pommeau de douche de forme ronde et à 1 fonction.
Support du pommeau de douche avec sortie d'eau murale.
Robinet mitigeur à 2 voies et en laiton.
Équipé avec cartouche en céramique de 35 mm, pour une régulation correcte de la température et du débit de l'eau.
Débit moyen de 12 litres par minute.
Inverseur intégré pour passer de la pomme haute au pommeau de douche, en laiton.
Flexible renforcé en PVC inclus, pour une plus grande durabilité, de 1,5 m de long.
Pour l'installation de ce produit, une boîte de jonction n'est pas nécessaire.
Toutes les pièces de cet ensemble sont de couleur Black Gun Metal.
Série : Line. </t>
  </si>
  <si>
    <t>Description du produit :
Ensemble de douche élégant, avec robinetterie, pommeau de douche, pomme haute et flexible. 
Pomme haute de douche en acier inoxydable de 25 cm de diamètre, ronde, extra-plate et anti-calcaire.
Tube de sortie mural de la pomme haute fabriqué en laiton.
Pommeau de douche de forme ronde à 1 position.
Support du pommeau de douche avec sortie d'eau murale.
Robinet mitigeur à 2 voies et en laiton.
Équipé avec cartouche en céramique de 35 mm, pour une régulation correcte de la température et du débit de l'eau.
Débit moyen de 12 litres par minute.
Inverseur intégré rond pour passer de la pomme haute au pommeau de douche, en laiton.
Flexible renforcé en PVC inclus, pour une plus grande durabilité, de 1,5 m de long.
Pour l'installation de ce produit, une boîte de jonction n'est pas nécessaire.
Toutes les pièces de cet ensemble sont de couleur Black Gun Metal.
Série : Top.</t>
  </si>
  <si>
    <t xml:space="preserve">Description du produit :
Ensemble de thermostatique de douche élégant, avec pommeau de douche, pomme haute, robinetterie et flexible. 
Pomme haute en acier  inoxydable de 25 cm diamètre, ronde, extra-plate et anti-calcaire.
Tube de sortie murale pour pomme haute inclus, fabriqué en laiton.
Pommeau de douche de forme ronde et a 1 fonction.
Support de douche inclus, avec sortie d'eau murale.
Robinet thermostatique à 2 voies, en laiton.
Équipé d'une cartouche thermostatique Turn Clean System, qui assure une température constante de l'eau et évite les brûlures. 
Cette cartouche est dotée d'un capteur Vernet qui fonctionne avec n'importe quel type d'appareil de chauffage, car elle est adaptée à un fonctionnement à basse pression.
Système de sécurité, qui empêche la température de l'eau de dépasser 38°, évitant ainsi les accidents.
Dispose d'un système d'auto-nettoyage, qui élimine les impuretés dans le robinet d'un simple tour de poignée. Cela prolonge la durée de vie du système thermostatique.
Débit moyen de 12 litres par minute.
Inverseur rond intégré pour passer de la pomme haute au pommeau de douche.
Flexible renforcé inclus, pour une plus grande durabilité, de 1,5 m de long.
Toutes les pièces de l'ensemble sont de couleur Black Gun Metal.
L'installation de ce produit ne nécessite pas de boîte de jonction.
Série : Line. </t>
  </si>
  <si>
    <t>Description du produit :
Ensemble de douche élégant, avec pommeau de douche, pomme haute, robinetterie et flexible. 
Pomme haute en acier inoxydable de 25 cm diamètre, ronde, extra-plate et anti-calcaire.
Tube de sortie murale pour pomme haute inclus, fabriqué en laiton.
Pommeau de douche de forme ronde et a 1 fonction.
Support de douche inclus, avec sortie d'eau murale.
Robinet thermostatique à 2 voies, en laiton.
Équipé d'une cartouche thermostatique Turn Clean System, qui assure une température constante de l'eau et évite les brûlures. 
Cette cartouche est dotée d'un capteur Vernet qui fonctionne avec n'importe quel type d'appareil de chauffage, car elle est adaptée à un fonctionnement à basse pression.
Système de sécurité, qui empêche la température de l'eau de dépasser 38°, évitant ainsi les accidents.
Dispose d'un système d'auto-nettoyage, qui élimine les impuretés dans le robinet d'un simple tour de poignée. Cela prolonge la durée de vie du système thermostatique.
Débit moyen de 12 litres par minute.
Inverseur rond intégré pour passer de la pomme haute au pommeau de douche.
Flexible renforcé inclus, pour une plus grande durabilité, de 1,5 m de long.
Toutes les pièces de l'ensemble sont de couleur Black Gun Metal.
L'installation de ce produit ne nécessite pas de boîte de jonction.
Série : Top.</t>
  </si>
  <si>
    <t>Description du produit :
Robinet mitigeur pour lavabo, à encastrer au mur.
Fabriqué en laiton avec finition Black Gun Metal.
Le bec est arrondi et la poignée présente un design moderne taillé. 
Dimensions du robinet : 120 mm de large x 194 mm de long.
Ne requiert pas de boite de jonction pour son installation.
Série : Line.</t>
  </si>
  <si>
    <t>Description du produit :
Ensemble de douche composé de : 
Barre de douche.
Pommeau de douche.
Pomme haute de douche.
Flexible.
Robinetterie.
Barre de douche fabriquée en acier inoxydable S.304 résistant à la corrosion.
Pomme haute en acier inoxydable S.304, ronde, extra-plate et anticalcaire. 
Support du pommeau réglable en hauteur, ce qui vous permet de l'adapter à vos besoins.
Pommeau de douche rond et a 1 position.
Robinet thermostatique fabriqué en laiton.
Flexible renforcé en PVC inclus. 
Équipée d'une cartouche thermostatique Turn clean System, qui offre une température constante de l'eau, évitant ainsi les brûlures.
Dimensions de l'ensemble :
Colonne de 365 mm de long x 842 mm de haut.
Barre de douche extensible de 95 cm à 132 cm.
Diamètre de la pomme haute de 20 cm.
Flexible de 1,5 m de long.
Débit d'eau moyen : 12 litres par minute.
Couleur : or brossé.</t>
  </si>
  <si>
    <t>Description du produit :
Robinet mitigeur pour lavabo.
Équipé d'une cartouche en céramique de 35 mm, pour une bonne régulation de la température et du débit de l'eau.
Fabriqué en laiton avec finition or brossé.
Bec arrondi et poignée avec un design moderne taillé. 
Flexibles 3/8" inclus.
Dimensions du robinet : 200 mm de haut x 150 mm de long.
Série : Line.</t>
  </si>
  <si>
    <t>Description du produit :
Robinet mitigeur pour lavabo, au bec haut.
Équipé d'une cartouche en céramique de 35 mm, pour une bonne régulation de la température et du débit de l'eau.
Fabriqué en laiton.
Bec arrondi et poignée avec un design moderne taillé. 
Flexibles 3/8" inclus.
Dimensions du robinet : 322 mm de haut x 183 mm de long.
Couleur : or brossé.
Série : Line.</t>
  </si>
  <si>
    <t xml:space="preserve">Description du produit :
Robinetterie thermostatique de douche élégante, avec pommeau de douche, support et flexible.
Produit avec finition PVD (procédé de revêtement ionique) qui est plus esthétique et plus résistant aux rayures et aux chocs.
Robinet thermostatique équipé d'une cartouche thermostatique Turn Clean System. Technologie de pointe, avec système de sécurité anti-brûlure et température constante quelles que soient les fluctuations de pression dans votre réseau d'eau. Facile à nettoyer, il suffit de tourner la poignée de régulation vers le côté eau froide pour nettoyer toutes les impuretés et l'accumulation de calcaire dans la cartouche. 
Robinet à 2 voies, en laiton.
Pommeau de douche de forme ronde à une position et son support en ABS.
Flexible renforcé inclus, pour une plus grande durabilité, extensible de 1,70 à 1,90 m de long.
Débit moyen de 12 litres par minute.
Dimensions du robinet : 9,7 cm de long x 29,5 cm de large x 5,1 cm de haut.
Couleur : Or brossé.
Série : Line. </t>
  </si>
  <si>
    <t>CRL648</t>
  </si>
  <si>
    <t>Carrelage effet pierre DIJON</t>
  </si>
  <si>
    <t>DIJON</t>
  </si>
  <si>
    <t>8055493191041</t>
  </si>
  <si>
    <t>Extérieur</t>
  </si>
  <si>
    <t>60x90 cm</t>
  </si>
  <si>
    <t>20 mm</t>
  </si>
  <si>
    <t>Inspirée par la noblesse et la richesse visuelle de la pierre de Bourgogne, la collection Dijon réinterprète ce matériau emblématique avec la performance moderne du grès cérame. Véritable hommage à la tradition architecturale française, Dijon en capte l’essence authentique tout en élargissant ses possibilités d’utilisation, tant en intérieur qu’en extérieur.
Grâce à la technologie du grès cérame, Dijon offre une surface à la fois raffinée, résistante et facile d’entretien, idéale pour les espaces résidentiels comme commerciaux. Chaque dalle évoque la chaleur et la profondeur de la pierre naturelle, avec une palette de tons subtils et des finitions soignées qui apportent caractère et élégance à tout type de projet.
Beauté, durabilité et fonctionnalité : Dijon incarne le parfait équilibre entre héritage et innovation.</t>
  </si>
  <si>
    <t>8055493191058</t>
  </si>
  <si>
    <t>8055493191065</t>
  </si>
  <si>
    <t>8055493191072</t>
  </si>
  <si>
    <t>8055493191744</t>
  </si>
  <si>
    <t>8055493191751</t>
  </si>
  <si>
    <t>8055493191768</t>
  </si>
  <si>
    <t>8055493191775</t>
  </si>
  <si>
    <t>8055493191096</t>
  </si>
  <si>
    <t>8055493205786</t>
  </si>
  <si>
    <t>8055493205793</t>
  </si>
  <si>
    <t>8055493205809</t>
  </si>
  <si>
    <t>2</t>
  </si>
  <si>
    <t>1</t>
  </si>
  <si>
    <t>0,72</t>
  </si>
  <si>
    <t>1,08</t>
  </si>
  <si>
    <t>21,6</t>
  </si>
  <si>
    <t>25,92</t>
  </si>
  <si>
    <t>25,2</t>
  </si>
  <si>
    <t>8055493126531</t>
  </si>
  <si>
    <t>8055493114828</t>
  </si>
  <si>
    <t>8055493114835</t>
  </si>
  <si>
    <t>8055493114842</t>
  </si>
  <si>
    <t>8055493114859</t>
  </si>
  <si>
    <t>8055493203478</t>
  </si>
  <si>
    <t>8055493203485</t>
  </si>
  <si>
    <t>8055493203492</t>
  </si>
  <si>
    <t>8055493114866</t>
  </si>
  <si>
    <t>8055493120607</t>
  </si>
  <si>
    <t>8055493122021</t>
  </si>
  <si>
    <t>8055493122038</t>
  </si>
  <si>
    <t>8055493122045</t>
  </si>
  <si>
    <t>8055493122052</t>
  </si>
  <si>
    <t>8055493122076</t>
  </si>
  <si>
    <t>8055493122083</t>
  </si>
  <si>
    <t>8055493126548</t>
  </si>
  <si>
    <t>8055493181905</t>
  </si>
  <si>
    <t>8055493181912</t>
  </si>
  <si>
    <t>8055493181899</t>
  </si>
  <si>
    <t>8055493233697</t>
  </si>
  <si>
    <t>8055493186054</t>
  </si>
  <si>
    <t>8055493237862</t>
  </si>
  <si>
    <t>8055493205601</t>
  </si>
  <si>
    <t>8055493205632</t>
  </si>
  <si>
    <t>8055493203003</t>
  </si>
  <si>
    <t>8055493203010</t>
  </si>
  <si>
    <t>8055493203027</t>
  </si>
  <si>
    <t>8055493187723</t>
  </si>
  <si>
    <t>8055493187730</t>
  </si>
  <si>
    <t>8055493123400</t>
  </si>
  <si>
    <t>8055493123899</t>
  </si>
  <si>
    <t>8055493126579</t>
  </si>
  <si>
    <t>8055493233680</t>
  </si>
  <si>
    <t>8055493182070</t>
  </si>
  <si>
    <t>8055493182087</t>
  </si>
  <si>
    <t>8055493182063</t>
  </si>
  <si>
    <t>8055493119069</t>
  </si>
  <si>
    <t>8055493179766</t>
  </si>
  <si>
    <t>8055493179773</t>
  </si>
  <si>
    <t>8055493179780</t>
  </si>
  <si>
    <t>8055493179797</t>
  </si>
  <si>
    <t>8055493179810</t>
  </si>
  <si>
    <t>8055493181622</t>
  </si>
  <si>
    <t>8055493179827</t>
  </si>
  <si>
    <t>8055493179834</t>
  </si>
  <si>
    <t>8055493179841</t>
  </si>
  <si>
    <t>8055493179858</t>
  </si>
  <si>
    <t>8055493179865</t>
  </si>
  <si>
    <t>8055493179889</t>
  </si>
  <si>
    <t>8055493181868</t>
  </si>
  <si>
    <t>8055493181875</t>
  </si>
  <si>
    <t>8055493187136</t>
  </si>
  <si>
    <t>8055493181882</t>
  </si>
  <si>
    <t>CRLEXT013</t>
  </si>
  <si>
    <t>CRLEXT014</t>
  </si>
  <si>
    <t>CRLEXT015</t>
  </si>
  <si>
    <t>CRLEXT016</t>
  </si>
  <si>
    <t>CRLEXT017</t>
  </si>
  <si>
    <t>CRLEXT018</t>
  </si>
  <si>
    <t>CRLEXT019</t>
  </si>
  <si>
    <t>CRLEXT020</t>
  </si>
  <si>
    <t>CRLEXT021</t>
  </si>
  <si>
    <t>CRLEXT022</t>
  </si>
  <si>
    <t>CRLEXT023</t>
  </si>
  <si>
    <t>CRLEXT024</t>
  </si>
  <si>
    <t>CRLEXT025</t>
  </si>
  <si>
    <t>CRLEXT026</t>
  </si>
  <si>
    <t>CRLEXT027</t>
  </si>
  <si>
    <t>CRLEXT028</t>
  </si>
  <si>
    <t>CRLEXT029</t>
  </si>
  <si>
    <t>CRLEXT030</t>
  </si>
  <si>
    <t>CRLEXT031</t>
  </si>
  <si>
    <t>CRLEXT032</t>
  </si>
  <si>
    <t>CRLEXT033</t>
  </si>
  <si>
    <t>CRLEXT034</t>
  </si>
  <si>
    <t>CRLEXT035</t>
  </si>
  <si>
    <t>CRLEXT036</t>
  </si>
  <si>
    <t>CRLEXT037</t>
  </si>
  <si>
    <t>CRLEXT038</t>
  </si>
  <si>
    <t>CRLEXT039</t>
  </si>
  <si>
    <t>CRLEXT040</t>
  </si>
  <si>
    <t>CRLEXT041</t>
  </si>
  <si>
    <t>CRLEXT042</t>
  </si>
  <si>
    <t>CRLEXT043</t>
  </si>
  <si>
    <t>CRLEXT044</t>
  </si>
  <si>
    <t>CRLEXT045</t>
  </si>
  <si>
    <t>CRLEXT046</t>
  </si>
  <si>
    <t>CRLEXT047</t>
  </si>
  <si>
    <t>CRLEXT048</t>
  </si>
  <si>
    <t>CRLEXT049</t>
  </si>
  <si>
    <t>CRLEXT050</t>
  </si>
  <si>
    <t>CRLEXT051</t>
  </si>
  <si>
    <t>CRLEXT052</t>
  </si>
  <si>
    <t>CRLEXT053</t>
  </si>
  <si>
    <t>CRLEXT054</t>
  </si>
  <si>
    <t>CRLEXT055</t>
  </si>
  <si>
    <t>CRLEXT056</t>
  </si>
  <si>
    <t>CRLEXT057</t>
  </si>
  <si>
    <t>CRLEXT058</t>
  </si>
  <si>
    <t>CRLEXT059</t>
  </si>
  <si>
    <t>CRLEXT060</t>
  </si>
  <si>
    <t>CRLEXT061</t>
  </si>
  <si>
    <t>CRLEXT062</t>
  </si>
  <si>
    <t>CRLEXT063</t>
  </si>
  <si>
    <t>CRLEXT064</t>
  </si>
  <si>
    <t>CRLEXT065</t>
  </si>
  <si>
    <t>CRLEXT066</t>
  </si>
  <si>
    <t>La collection TRAVERTINO s’inspire de la noblesse du travertin, pierre emblématique aux veines irrégulières et à la texture vivante. Grâce à une reproduction fidèle et raffinée en grès cérame, elle recrée toute la richesse graphique du travertin, avec ses jeux de lumière, ses nuances subtiles et ses stries caractéristiques.
Cette interprétation contemporaine offre une esthétique minimaliste, mais riche en détails : équilibre des tons, reflets minéraux, textures matiéristes… Chaque dalle devient une pièce unique, parfaite pour composer des espaces à la fois naturels, élégants et résolument modernes.
Cette collection conjugue l’authenticité du travertin à la performance technique du grès cérame, pour un rendu intemporel, durable et facile à vivre.</t>
  </si>
  <si>
    <t>Collée ou sur plot</t>
  </si>
  <si>
    <t>Antidérapant R11</t>
  </si>
  <si>
    <t>9 mm</t>
  </si>
  <si>
    <t>COUCHES</t>
  </si>
  <si>
    <t>COMMARIN</t>
  </si>
  <si>
    <t>ROCHEPOT</t>
  </si>
  <si>
    <t>BAZOCHES</t>
  </si>
  <si>
    <t>GOLD CATALAN</t>
  </si>
  <si>
    <t>MEDITERRANEA</t>
  </si>
  <si>
    <t>DESERT STONE</t>
  </si>
  <si>
    <t>BEIGE CATALAN</t>
  </si>
  <si>
    <t>GRIS CATALAN</t>
  </si>
  <si>
    <t>TRAVERTINO LIGHT</t>
  </si>
  <si>
    <t>TRAVERTINO PEARLY</t>
  </si>
  <si>
    <t>TRAVERTINO MISTY</t>
  </si>
  <si>
    <t>SAASTAL</t>
  </si>
  <si>
    <t>TRAVERTINO DARK</t>
  </si>
  <si>
    <t>TRAVERTINO LIGHT CROSS</t>
  </si>
  <si>
    <t>TRAVERTINO MISTY CROSS</t>
  </si>
  <si>
    <t>TRAVERTINO PEARLY CROSS</t>
  </si>
  <si>
    <t>RUSTIC CROSS</t>
  </si>
  <si>
    <t>50,4</t>
  </si>
  <si>
    <t>28,8</t>
  </si>
  <si>
    <t>57,6</t>
  </si>
  <si>
    <t>26,88</t>
  </si>
  <si>
    <t>1,44</t>
  </si>
  <si>
    <t>2,88</t>
  </si>
  <si>
    <t>0,64</t>
  </si>
  <si>
    <t>Carrelage effet béton GLOBAL</t>
  </si>
  <si>
    <t>CRLEXT067</t>
  </si>
  <si>
    <t>CRLEXT068</t>
  </si>
  <si>
    <t>CRLEXT069</t>
  </si>
  <si>
    <t>CRLEXT070</t>
  </si>
  <si>
    <t>CRLEXT071</t>
  </si>
  <si>
    <t>CRLEXT072</t>
  </si>
  <si>
    <t>CRLEXT073</t>
  </si>
  <si>
    <t>CRLEXT074</t>
  </si>
  <si>
    <t>CRLEXT075</t>
  </si>
  <si>
    <t>CRLEXT076</t>
  </si>
  <si>
    <t>CRLEXT077</t>
  </si>
  <si>
    <t>CRLEXT078</t>
  </si>
  <si>
    <t>CRLEXT079</t>
  </si>
  <si>
    <t>CRLEXT080</t>
  </si>
  <si>
    <t>CRLEXT081</t>
  </si>
  <si>
    <t>CRLEXT082</t>
  </si>
  <si>
    <t>CRLEXT083</t>
  </si>
  <si>
    <t>CRLEXT084</t>
  </si>
  <si>
    <t>CRLEXT085</t>
  </si>
  <si>
    <t>CRLEXT086</t>
  </si>
  <si>
    <t>CRLEXT087</t>
  </si>
  <si>
    <t>CRLEXT088</t>
  </si>
  <si>
    <t>CRLEXT089</t>
  </si>
  <si>
    <t>CRLEXT090</t>
  </si>
  <si>
    <t>CRLEXT091</t>
  </si>
  <si>
    <t>CRLEXT092</t>
  </si>
  <si>
    <t>CRLEXT093</t>
  </si>
  <si>
    <t>CRLEXT094</t>
  </si>
  <si>
    <t>CRLEXT095</t>
  </si>
  <si>
    <t>CRLEXT096</t>
  </si>
  <si>
    <t>CRLEXT097</t>
  </si>
  <si>
    <t>CRLEXT098</t>
  </si>
  <si>
    <t>CRLEXT099</t>
  </si>
  <si>
    <t>CRLEXT100</t>
  </si>
  <si>
    <t>CRLEXT101</t>
  </si>
  <si>
    <t>CRLEXT102</t>
  </si>
  <si>
    <t>CRLEXT103</t>
  </si>
  <si>
    <t>CRLEXT104</t>
  </si>
  <si>
    <t>CRLEXT105</t>
  </si>
  <si>
    <t>CRLEXT106</t>
  </si>
  <si>
    <t>CRLEXT107</t>
  </si>
  <si>
    <t>CRLEXT108</t>
  </si>
  <si>
    <t>CRLEXT109</t>
  </si>
  <si>
    <t>CRLEXT110</t>
  </si>
  <si>
    <t>CRLEXT111</t>
  </si>
  <si>
    <t>CRLEXT112</t>
  </si>
  <si>
    <t>CRLEXT113</t>
  </si>
  <si>
    <t>CRLEXT114</t>
  </si>
  <si>
    <t>CRLEXT115</t>
  </si>
  <si>
    <t>CRLEXT116</t>
  </si>
  <si>
    <t>CRLEXT117</t>
  </si>
  <si>
    <t>CRLEXT118</t>
  </si>
  <si>
    <t>CRLEXT119</t>
  </si>
  <si>
    <t>CRLEXT120</t>
  </si>
  <si>
    <t>CRLEXT121</t>
  </si>
  <si>
    <t>CRLEXT122</t>
  </si>
  <si>
    <t>CRLEXT123</t>
  </si>
  <si>
    <t>CRLEXT124</t>
  </si>
  <si>
    <t>CRLEXT125</t>
  </si>
  <si>
    <t>CRLEXT126</t>
  </si>
  <si>
    <t>CRLEXT127</t>
  </si>
  <si>
    <t>CRLEXT128</t>
  </si>
  <si>
    <t>CRLEXT129</t>
  </si>
  <si>
    <t>CRLEXT130</t>
  </si>
  <si>
    <t>CRLEXT131</t>
  </si>
  <si>
    <t>CRLEXT132</t>
  </si>
  <si>
    <t>CRLEXT133</t>
  </si>
  <si>
    <t>8055493081762</t>
  </si>
  <si>
    <t>8055493086903</t>
  </si>
  <si>
    <t>8055493086330</t>
  </si>
  <si>
    <t>8055493086347</t>
  </si>
  <si>
    <t>8055493153438</t>
  </si>
  <si>
    <t>8055493198804</t>
  </si>
  <si>
    <t>8055493198811</t>
  </si>
  <si>
    <t>8055493198828</t>
  </si>
  <si>
    <t>8055493091150</t>
  </si>
  <si>
    <t>8055493091167</t>
  </si>
  <si>
    <t>8055493091174</t>
  </si>
  <si>
    <t>8055493091181</t>
  </si>
  <si>
    <t>8055493091198</t>
  </si>
  <si>
    <t>8055493091204</t>
  </si>
  <si>
    <t>8055493091211</t>
  </si>
  <si>
    <t>8055493195469</t>
  </si>
  <si>
    <t>8055493195476</t>
  </si>
  <si>
    <t>8055493195483</t>
  </si>
  <si>
    <t>8055493195490</t>
  </si>
  <si>
    <t>8055493021935</t>
  </si>
  <si>
    <t>8055493195506</t>
  </si>
  <si>
    <t>8055493195513</t>
  </si>
  <si>
    <t>8055493003498</t>
  </si>
  <si>
    <t>8055493003504</t>
  </si>
  <si>
    <t>8055493003511</t>
  </si>
  <si>
    <t>8055493003528</t>
  </si>
  <si>
    <t>8055493003535</t>
  </si>
  <si>
    <t>8055493195520</t>
  </si>
  <si>
    <t>8055493198774</t>
  </si>
  <si>
    <t>8055493198781</t>
  </si>
  <si>
    <t>8055493198798</t>
  </si>
  <si>
    <t>8055493137285</t>
  </si>
  <si>
    <t>8055493137292</t>
  </si>
  <si>
    <t>8055493137308</t>
  </si>
  <si>
    <t>8055493137315</t>
  </si>
  <si>
    <t>8055493137322</t>
  </si>
  <si>
    <t>8055493157597</t>
  </si>
  <si>
    <t>8055493157603</t>
  </si>
  <si>
    <t>8055493153407</t>
  </si>
  <si>
    <t>8055493153414</t>
  </si>
  <si>
    <t>8055493198743</t>
  </si>
  <si>
    <t>8032862181773</t>
  </si>
  <si>
    <t>8032862181780</t>
  </si>
  <si>
    <t>8032862181797</t>
  </si>
  <si>
    <t>8032862181803</t>
  </si>
  <si>
    <t>8055493198750</t>
  </si>
  <si>
    <t>8032862191079</t>
  </si>
  <si>
    <t>8055493198767</t>
  </si>
  <si>
    <t>8055493021898</t>
  </si>
  <si>
    <t>8032862188963</t>
  </si>
  <si>
    <t>8032862188970</t>
  </si>
  <si>
    <t>8032862188987</t>
  </si>
  <si>
    <t>8032862188994</t>
  </si>
  <si>
    <t>8032862189007</t>
  </si>
  <si>
    <t>8032862189014</t>
  </si>
  <si>
    <t>8055493195377</t>
  </si>
  <si>
    <t>8055493195353</t>
  </si>
  <si>
    <t>8055493195360</t>
  </si>
  <si>
    <t>8055493195384</t>
  </si>
  <si>
    <t>8055493195391</t>
  </si>
  <si>
    <t>8055493195407</t>
  </si>
  <si>
    <t>8055493195414</t>
  </si>
  <si>
    <t>8032862192069</t>
  </si>
  <si>
    <t>8032862192267</t>
  </si>
  <si>
    <t>8032862192274</t>
  </si>
  <si>
    <t>8055493022833</t>
  </si>
  <si>
    <t>8055493022840</t>
  </si>
  <si>
    <t xml:space="preserve">La collection Global propose une réinterprétation moderne du béton, pensée pour les espaces architecturaux contemporains. Avec ses surfaces épurées, ses tonalités équilibrées et ses effets de matière subtils, elle incarne une esthétique urbaine à la fois brute et raffinée.
Déclinée en plusieurs formats, finitions et nuances neutres, Global offre une grande liberté de conception pour des projets aussi bien résidentiels que professionnels. Sa texture sobre mais expressive en fait une base parfaite pour composer des ambiances minimalistes, industrielles ou sophistiquées.
Global, c’est l’alliance entre style, fonctionnalité et durabilité, pour des surfaces à l'identité forte et à la performance technique optimale.
</t>
  </si>
  <si>
    <t>3</t>
  </si>
  <si>
    <t>CLASSIC</t>
  </si>
  <si>
    <t>PERFECT</t>
  </si>
  <si>
    <t>TYPE</t>
  </si>
  <si>
    <t>CHAMOIS</t>
  </si>
  <si>
    <t>SUGAR</t>
  </si>
  <si>
    <t>SLIGHT</t>
  </si>
  <si>
    <t>YOUTH</t>
  </si>
  <si>
    <t>HARMONY</t>
  </si>
  <si>
    <t>IDEAL</t>
  </si>
  <si>
    <t>ABSOLUTE</t>
  </si>
  <si>
    <t>NEBULA</t>
  </si>
  <si>
    <t>ESSENCE</t>
  </si>
  <si>
    <t>JOURNEY</t>
  </si>
  <si>
    <t>GINGER</t>
  </si>
  <si>
    <t>CLEAR</t>
  </si>
  <si>
    <t>BRAVE</t>
  </si>
  <si>
    <t>43,2</t>
  </si>
  <si>
    <t>CRLEXT134</t>
  </si>
  <si>
    <t>CRLEXT135</t>
  </si>
  <si>
    <t>CRLEXT136</t>
  </si>
  <si>
    <t>CRLEXT137</t>
  </si>
  <si>
    <t>CRLEXT138</t>
  </si>
  <si>
    <t>CRLEXT139</t>
  </si>
  <si>
    <t>CRLEXT140</t>
  </si>
  <si>
    <t>CRLEXT141</t>
  </si>
  <si>
    <t>CRLEXT142</t>
  </si>
  <si>
    <t>CRLEXT143</t>
  </si>
  <si>
    <t>CRLEXT144</t>
  </si>
  <si>
    <t>CRLEXT145</t>
  </si>
  <si>
    <t>CRLEXT146</t>
  </si>
  <si>
    <t>CRLEXT147</t>
  </si>
  <si>
    <t>CRLEXT148</t>
  </si>
  <si>
    <t>CRLEXT149</t>
  </si>
  <si>
    <t>CRLEXT150</t>
  </si>
  <si>
    <t>CRLEXT151</t>
  </si>
  <si>
    <t>CRLEXT152</t>
  </si>
  <si>
    <t>CRLEXT153</t>
  </si>
  <si>
    <t>CRLEXT154</t>
  </si>
  <si>
    <t>CRLEXT155</t>
  </si>
  <si>
    <t>CRLEXT161</t>
  </si>
  <si>
    <t>CRLEXT162</t>
  </si>
  <si>
    <t>CRLEXT163</t>
  </si>
  <si>
    <t>CRLEXT164</t>
  </si>
  <si>
    <t>CRLEXT165</t>
  </si>
  <si>
    <t>CRLEXT166</t>
  </si>
  <si>
    <t>CRLEXT167</t>
  </si>
  <si>
    <t>CRLEXT168</t>
  </si>
  <si>
    <t>CRLEXT169</t>
  </si>
  <si>
    <t>CRLEXT170</t>
  </si>
  <si>
    <t>CRLEXT171</t>
  </si>
  <si>
    <t>CRLEXT172</t>
  </si>
  <si>
    <t>CRLEXT173</t>
  </si>
  <si>
    <t>CRLEXT174</t>
  </si>
  <si>
    <t>CRLEXT175</t>
  </si>
  <si>
    <t>CRLEXT176</t>
  </si>
  <si>
    <t>CRLEXT177</t>
  </si>
  <si>
    <t>CRLEXT178</t>
  </si>
  <si>
    <t>CRLEXT179</t>
  </si>
  <si>
    <t>CRLEXT180</t>
  </si>
  <si>
    <t>CRLEXT181</t>
  </si>
  <si>
    <t>CRLEXT182</t>
  </si>
  <si>
    <t>CRLEXT183</t>
  </si>
  <si>
    <t>CRLEXT184</t>
  </si>
  <si>
    <t>CRLEXT185</t>
  </si>
  <si>
    <t>CRLEXT186</t>
  </si>
  <si>
    <t>CRLEXT187</t>
  </si>
  <si>
    <t>CRLEXT188</t>
  </si>
  <si>
    <t>CRLEXT189</t>
  </si>
  <si>
    <t>CRLEXT198</t>
  </si>
  <si>
    <t>CRLEXT199</t>
  </si>
  <si>
    <t>CRLEXT200</t>
  </si>
  <si>
    <t>CRLEXT201</t>
  </si>
  <si>
    <t>CRLEXT202</t>
  </si>
  <si>
    <t>CRLEXT203</t>
  </si>
  <si>
    <t>CRLEXT204</t>
  </si>
  <si>
    <t>CRLEXT205</t>
  </si>
  <si>
    <t>CRLEXT206</t>
  </si>
  <si>
    <t>CRLEXT207</t>
  </si>
  <si>
    <t>CRLEXT208</t>
  </si>
  <si>
    <t>CRLEXT209</t>
  </si>
  <si>
    <t>CRLEXT210</t>
  </si>
  <si>
    <t>CRLEXT211</t>
  </si>
  <si>
    <t>CRLEXT212</t>
  </si>
  <si>
    <t>CRLEXT213</t>
  </si>
  <si>
    <t>CRLEXT214</t>
  </si>
  <si>
    <t>CRLEXT215</t>
  </si>
  <si>
    <t>CRLEXT216</t>
  </si>
  <si>
    <t>8055493151236</t>
  </si>
  <si>
    <t>8055493151243</t>
  </si>
  <si>
    <t>8055493151267</t>
  </si>
  <si>
    <t>8055493151274</t>
  </si>
  <si>
    <t>8055493158112</t>
  </si>
  <si>
    <t>8055493151281</t>
  </si>
  <si>
    <t>8055493207292</t>
  </si>
  <si>
    <t>8055493184937</t>
  </si>
  <si>
    <t>8055493187532</t>
  </si>
  <si>
    <t>8055493187839</t>
  </si>
  <si>
    <t>8055493189086</t>
  </si>
  <si>
    <t>8055493144375</t>
  </si>
  <si>
    <t>8055493144382</t>
  </si>
  <si>
    <t>8055493144399</t>
  </si>
  <si>
    <t>8055493151458</t>
  </si>
  <si>
    <t>8055493151465</t>
  </si>
  <si>
    <t>8055493151304</t>
  </si>
  <si>
    <t>8055493151311</t>
  </si>
  <si>
    <t>8055493151328</t>
  </si>
  <si>
    <t>8055493151335</t>
  </si>
  <si>
    <t>8055493158020</t>
  </si>
  <si>
    <t>8055493151359</t>
  </si>
  <si>
    <t>8055493233895</t>
  </si>
  <si>
    <t>8055493233901</t>
  </si>
  <si>
    <t>8055493233918</t>
  </si>
  <si>
    <t>8055493204505</t>
  </si>
  <si>
    <t>8055493204512</t>
  </si>
  <si>
    <t>8055493204529</t>
  </si>
  <si>
    <t>8055493204536</t>
  </si>
  <si>
    <t>8055493204543</t>
  </si>
  <si>
    <t>8055493204550</t>
  </si>
  <si>
    <t>8055493158914</t>
  </si>
  <si>
    <t>8055493158921</t>
  </si>
  <si>
    <t>8055493158938</t>
  </si>
  <si>
    <t>8055493158945</t>
  </si>
  <si>
    <t>8055493158952</t>
  </si>
  <si>
    <t>8055493158969</t>
  </si>
  <si>
    <t>8055493146010</t>
  </si>
  <si>
    <t>8055493146027</t>
  </si>
  <si>
    <t>8055493146034</t>
  </si>
  <si>
    <t>8055493159096</t>
  </si>
  <si>
    <t>8055493159102</t>
  </si>
  <si>
    <t>8055493159119</t>
  </si>
  <si>
    <t>8055493151199</t>
  </si>
  <si>
    <t>8055493159140</t>
  </si>
  <si>
    <t>8055493179995</t>
  </si>
  <si>
    <t>8055493180007</t>
  </si>
  <si>
    <t>8055493180014</t>
  </si>
  <si>
    <t>8055493180021</t>
  </si>
  <si>
    <t>8055493180045</t>
  </si>
  <si>
    <t>8055493180052</t>
  </si>
  <si>
    <t>8055493086361</t>
  </si>
  <si>
    <t>8055493086392</t>
  </si>
  <si>
    <t>8055493086415</t>
  </si>
  <si>
    <t>8055493193083</t>
  </si>
  <si>
    <t>8055493193090</t>
  </si>
  <si>
    <t>8055493193106</t>
  </si>
  <si>
    <t>8055493204611</t>
  </si>
  <si>
    <t>8055493204628</t>
  </si>
  <si>
    <t>8055493204635</t>
  </si>
  <si>
    <t>8032862167555</t>
  </si>
  <si>
    <t>8032862167562</t>
  </si>
  <si>
    <t>8032862167579</t>
  </si>
  <si>
    <t>8055493150703</t>
  </si>
  <si>
    <t>8055493150710</t>
  </si>
  <si>
    <t>8055493150727</t>
  </si>
  <si>
    <t>8055493150734</t>
  </si>
  <si>
    <t>8055493150741</t>
  </si>
  <si>
    <t>8055493150758</t>
  </si>
  <si>
    <t>8055493150765</t>
  </si>
  <si>
    <t>Pietra s’inspire des sédimentations minérales et de la richesse graphique des pierres naturelles pour proposer une surface au caractère affirmé, subtilement texturée et visuellement équilibrée. Chaque dalle dévoile un mélange raffiné de détails minéraux, de contrastes doux et de nuances profondes, pour une esthétique authentique et résolument contemporaine.
Pensée pour les espaces modernes, Pietra allie la beauté intemporelle de la pierre à la technologie du grès cérame, offrant ainsi un revêtement résistant, facile à entretenir, antidérapant (selon les finitions) et adapté à un usage intérieur comme extérieur.
Avec sa large palette de formats, de teintes naturelles et de finitions techniques, cette collection s’adresse aussi bien aux projets résidentiels qu’aux espaces commerciaux ou publics, en créant des ambiances à la fois chaleureuses, élégantes et durables.</t>
  </si>
  <si>
    <t>Ardoise revisite avec modernité l’authenticité de la pierre naturelle du même nom. Inspirée de la texture graphique et des reflets subtils de l’ardoise véritable, cette collection en grès cérame se distingue par des surfaces à la fois structurées, profondes et raffinées.
Chaque dalle exprime un caractère minéral affirmé, avec des nuances riches, des jeux d’ombre et de lumière discrets, et une palette de tons intenses allant du gris doux au noir profond. Grâce à une variété de formats et de finitions (naturelle, antidérapante, structurée), Ardoise s’adapte aux espaces résidentiels comme professionnels, pour une pose au sol ou au mur, en intérieur comme en extérieur.
Combinaison parfaite de beauté naturelle et de performance technique, cette collection offre une résistance élevée, une facilité d’entretien et une grande durabilité, même dans les zones à fort passage ou soumises à des contraintes climatiques.</t>
  </si>
  <si>
    <t>Carelage effet béton ARDOISE</t>
  </si>
  <si>
    <t>NYUMA</t>
  </si>
  <si>
    <t xml:space="preserve">JURUPA      </t>
  </si>
  <si>
    <t xml:space="preserve">KAO         </t>
  </si>
  <si>
    <t xml:space="preserve">NOON        </t>
  </si>
  <si>
    <t xml:space="preserve">OUDH        </t>
  </si>
  <si>
    <t>Carrelag effet bois JURA</t>
  </si>
  <si>
    <t>Carrelage effet bois LUNE</t>
  </si>
  <si>
    <t xml:space="preserve">JURA est une collection qui capture l’essence chaleureuse et authentique du bois, tout en offrant la résistance technique et la durabilité du grès cérame. Inspirée des essences naturelles vieillies par le temps, elle se distingue par ses veinages délicats, ses effets patinés et ses nuances douces, évoquant une matière vivante, sobre et pleine de caractère.
La surface de JURA présente une texture légèrement structurée, pour un rendu bois naturel au toucher agréable et visuellement raffiné. Déclinée en formats allongés type lame, elle s’adapte aussi bien aux espaces intérieurs qu’extérieurs, au sol comme au mur.
Pensée pour des projets de décoration où le charme organique du bois se combine aux exigences modernes (résistance à l’eau, à l’usure, entretien facile), Jurupa est idéale pour créer des ambiances à la fois chaleureuses, élégantes et intemporelles.
</t>
  </si>
  <si>
    <t xml:space="preserve">KOOL est une collection en grès cérame qui réinvente l’esthétique du bois naturel avec une précision remarquable. Cette collection présente un effet bois richement texturé, reproduisant fidèlement les veines et les nuances caractéristiques du matériau, tout en offrant la résistance et la durabilité propres au grès cérame.
Grâce à ses veinages subtils, ses tonalités chaleureuses et ses finishes naturels, KOOL crée une ambiance chaleureuse et élégante dans n’importe quel espace. Disponible en formats variés et en différentes finishes, elle permet une intégration parfaite sur les sols et murs, aussi bien en intérieur qu’en extérieur.
En plus de sa beauté intemporelle, KOOL combine performance technique et praticité : facile à entretenir, résistante aux intempéries et aux usages intensifs, elle s’adapte aux environnements les plus exigeants tout en conservant l’aspect chaleureux et naturel du bois.
</t>
  </si>
  <si>
    <t>L’âme naturellement chaleureuse du bois communique à l’espace urbain le mouvement d’une vie intense et riche en émotions, pleinement en harmonie avec l’environnement. LUNE interprète le bois le plus vécu et le plus matiériste en 5 coloris, 2 finitions de surface et 3 formats. Cette collection allie l’aspect chaleureux des essences de bois naturels et l’élégance des bois brillants aux extraordinaires caractéristiques techniques du grès cérame italien : impérissable et inaltérable.</t>
  </si>
  <si>
    <t>WOUDH est une collection en grès cérame effet bois qui réinterprète la chaleur et l’authenticité des bois les plus raffinés, avec une précision exceptionnelle. Cette collection présente un effet bois naturel, richement texturé, qui reproduit les nuances et les veinages caractéristiques du bois véritable tout en offrant la résistance et la durabilité du grès cérame.</t>
  </si>
  <si>
    <t>CRLEXT217</t>
  </si>
  <si>
    <t>ZEPHIR</t>
  </si>
  <si>
    <t>CRLEXT218</t>
  </si>
  <si>
    <t>Laissez-vous séduire par Bali Grey, un carrelage en grès cérame effet pierre, inspiré de la Pierre de Bali. Idéal pour vos aménagements extérieurs, il allie esthétique naturelle et performance technique.
Disponible en plusieurs formats :
60 × 60 cm – ép. 2 cm, finition rectifiée,
30 × 60 cm – ép. 0,9 cm, finition rectifiée,
30 × 60 cm – ép. 0,9 cm, finition structurée et rectifiée,
BALI s’adapte à tous vos projets, sans contraintes de style ni de pose.
Avec ses nuances subtiles de vert d’eau, gris et ocre, cette collection offre une palette vibrante et naturelle, pour une ambiance chaleureuse et contemporaine.
Facile à poser :
En pose sur plots, grâce à nos plots autonivelants réglables,
Ou en pose collée sur chape béton, avec un double encollage et une colle R-Flex adaptée.
Pourquoi opter pour le grès cérame ? C’est un matériau ultra-résistant, antidérapant, durable, et sans entretien, idéal pour l’extérieur. Sa finition rectifiée permet des joints fins, pour un rendu élégant et uniforme, sans quadrillage visuel.
Besoin de conseils pour la pose ? Nos équipes en agence sont à votre disposition pour vous accompagner dans la réalisation de votre projet.</t>
  </si>
  <si>
    <t>TOFFEE</t>
  </si>
  <si>
    <t>MONTEREY</t>
  </si>
  <si>
    <t>WEMBLEY</t>
  </si>
  <si>
    <t>ALTAMONT</t>
  </si>
  <si>
    <t>WOODSTOCK</t>
  </si>
  <si>
    <t>RIO</t>
  </si>
  <si>
    <t>LIVERPOOL</t>
  </si>
  <si>
    <t>QUICKLIME</t>
  </si>
  <si>
    <t>PORTLAND</t>
  </si>
  <si>
    <t>TORCHING</t>
  </si>
  <si>
    <t>PARKER</t>
  </si>
  <si>
    <t>TALCUM</t>
  </si>
  <si>
    <t>SHOTCRETE</t>
  </si>
  <si>
    <t>COOL</t>
  </si>
  <si>
    <t>MASTER</t>
  </si>
  <si>
    <t>CAMP</t>
  </si>
  <si>
    <t>SPICE</t>
  </si>
  <si>
    <t>HAZELNUT</t>
  </si>
  <si>
    <t>CHARAMEL</t>
  </si>
  <si>
    <t>HAZELNUT RAW</t>
  </si>
  <si>
    <t>CARAMEL RAW</t>
  </si>
  <si>
    <t>SPICE RAW</t>
  </si>
  <si>
    <t>DAYLIGHT</t>
  </si>
  <si>
    <t>EMBER</t>
  </si>
  <si>
    <t>HONEY</t>
  </si>
  <si>
    <t>COPAHU</t>
  </si>
  <si>
    <t>ELEM</t>
  </si>
  <si>
    <t>JINKOH</t>
  </si>
  <si>
    <t>PINO</t>
  </si>
  <si>
    <t>LAOS</t>
  </si>
  <si>
    <t>LODANO</t>
  </si>
  <si>
    <t>CEDRO</t>
  </si>
  <si>
    <t>La collection de carrelage TIMBER de la marque Novocéram est un carrelage grès cérame coloré dans la masse destiné à aller au sol mais aussi au mur à l’intérieur pour une salle de bain ou dans un salon mais aussi à l’extérieur sur une terrasse en pose collé ou posé sur des plots. Cette collection inspirée du travertin qui est réalisée par un fabricant Français est parfaitement reproduite en deux tonalités de beige naturel et de beige plus clair, dit "Light" avec une multitude de formats différents.
La couleur du TIMBER NATUREL est un mélange de nuances de beige qui se rapproche du travertin naturel.
La couleur TIMBER LIGHT est une seule nuance de beige clair choisi pour être à la fois unie et élégante.
La série TIBER a également des pièces spéciales disponibles dans les deux colories : Nez de marche, Plinthe, Margelle, accessoires pour piscines et jardins.</t>
  </si>
  <si>
    <t>3700911315527</t>
  </si>
  <si>
    <t>3700911315558</t>
  </si>
  <si>
    <t>3700911316340</t>
  </si>
  <si>
    <t>3700911316357</t>
  </si>
  <si>
    <t>Light</t>
  </si>
  <si>
    <t>TIBER</t>
  </si>
  <si>
    <t>CRLEXT219</t>
  </si>
  <si>
    <t>CRLEXT220</t>
  </si>
  <si>
    <t>CRLEXT221</t>
  </si>
  <si>
    <t>CRLEXT222</t>
  </si>
  <si>
    <t>CRLEXT223</t>
  </si>
  <si>
    <t>CRLEXT224</t>
  </si>
  <si>
    <t>CRLEXT225</t>
  </si>
  <si>
    <t>CRLEXT226</t>
  </si>
  <si>
    <t>3700911324239</t>
  </si>
  <si>
    <t>3700911324222</t>
  </si>
  <si>
    <t>3700911316746</t>
  </si>
  <si>
    <t>3700911316753</t>
  </si>
  <si>
    <t>25.34</t>
  </si>
  <si>
    <t>28</t>
  </si>
  <si>
    <t>3700911333026</t>
  </si>
  <si>
    <t>3700911333002</t>
  </si>
  <si>
    <t>3700911333019</t>
  </si>
  <si>
    <t>3700911332999</t>
  </si>
  <si>
    <t>Inspirée par le charme intemporel des anciennes maisons du Salento, cette collection fait revivre les pierres méditerranéennes à travers un grès cérame numérique aux teintes naturelles et actuelles.
Les bords vieillis, évoquent l’irrégularité du fait main et subliment chaque détail, pour un rendu chaleureux et authentique. La pose multiformat, riche en nuances, renforce cette impression de naturel et de mouvement.
Pensée pour l’intérieur comme pour l’extérieur, la collection permet une continuité visuelle sans compromis sur la résistance ni sur la facilité d’entretien.</t>
  </si>
  <si>
    <t>Carrelage effet pierre BALI</t>
  </si>
  <si>
    <t>Carrelage effet pierre TIMBER</t>
  </si>
  <si>
    <t>CRLEXT227</t>
  </si>
  <si>
    <t>CRLEXT228</t>
  </si>
  <si>
    <t>CRLEXT229</t>
  </si>
  <si>
    <t>CRLEXT230</t>
  </si>
  <si>
    <t>CRLEXT231</t>
  </si>
  <si>
    <t>CRLEXT232</t>
  </si>
  <si>
    <t>CRLEXT233</t>
  </si>
  <si>
    <t>CRLEXT234</t>
  </si>
  <si>
    <t>CRLEXT235</t>
  </si>
  <si>
    <t>CRLEXT236</t>
  </si>
  <si>
    <t>CRLEXT237</t>
  </si>
  <si>
    <t>CRLEXT238</t>
  </si>
  <si>
    <t>CRLEXT239</t>
  </si>
  <si>
    <t>CRLEXT240</t>
  </si>
  <si>
    <t>CRLEXT241</t>
  </si>
  <si>
    <t>CRLEXT242</t>
  </si>
  <si>
    <t>CRLEXT243</t>
  </si>
  <si>
    <t>CRLEXT244</t>
  </si>
  <si>
    <t>CRLEXT245</t>
  </si>
  <si>
    <t>CRLEXT246</t>
  </si>
  <si>
    <t>CRLEXT247</t>
  </si>
  <si>
    <t>CRLEXT248</t>
  </si>
  <si>
    <t>CRLEXT249</t>
  </si>
  <si>
    <t>CRLEXT250</t>
  </si>
  <si>
    <t>Carrelage effet pierre PIETRA DI OSTUNI</t>
  </si>
  <si>
    <t>PIETRA DI OSTUNI</t>
  </si>
  <si>
    <t>8023484050806</t>
  </si>
  <si>
    <t>8023484047776</t>
  </si>
  <si>
    <t>8023484047820</t>
  </si>
  <si>
    <t>8023484047721</t>
  </si>
  <si>
    <t>8023484050813</t>
  </si>
  <si>
    <t>8023484047783</t>
  </si>
  <si>
    <t>8023484047837</t>
  </si>
  <si>
    <t>8023484047738</t>
  </si>
  <si>
    <t>8023484050820</t>
  </si>
  <si>
    <t>8023484047790</t>
  </si>
  <si>
    <t>8023484047844</t>
  </si>
  <si>
    <t>8023484047745</t>
  </si>
  <si>
    <t>8023484050837</t>
  </si>
  <si>
    <t>8023484047806</t>
  </si>
  <si>
    <t>8023484047851</t>
  </si>
  <si>
    <t>8023484047752</t>
  </si>
  <si>
    <t>8023484050844</t>
  </si>
  <si>
    <t>8023484047813</t>
  </si>
  <si>
    <t>8023484047868</t>
  </si>
  <si>
    <t>8023484047769</t>
  </si>
  <si>
    <t>8023484078527</t>
  </si>
  <si>
    <t>8023484078534</t>
  </si>
  <si>
    <t>8023484078541</t>
  </si>
  <si>
    <t>8023484078558</t>
  </si>
  <si>
    <t>20x20 cm</t>
  </si>
  <si>
    <t>20x40 cm</t>
  </si>
  <si>
    <t>40x40 cm</t>
  </si>
  <si>
    <t>40x60 cm</t>
  </si>
  <si>
    <t xml:space="preserve">Avorio                                            </t>
  </si>
  <si>
    <t xml:space="preserve">Grigio                                            </t>
  </si>
  <si>
    <t xml:space="preserve">Sabbia                                            </t>
  </si>
  <si>
    <t xml:space="preserve">Tufo                                              </t>
  </si>
  <si>
    <t>8033201531198</t>
  </si>
  <si>
    <t>8033201531204</t>
  </si>
  <si>
    <t>8023484053050</t>
  </si>
  <si>
    <t>8023484053067</t>
  </si>
  <si>
    <t>45x90 cm</t>
  </si>
  <si>
    <t>CRLEXT251</t>
  </si>
  <si>
    <t>CRLEXT252</t>
  </si>
  <si>
    <t>CRLEXT253</t>
  </si>
  <si>
    <t>CRLEXT254</t>
  </si>
  <si>
    <t>Carrelage effet béton ARDOISE</t>
  </si>
  <si>
    <t>10 mm</t>
  </si>
  <si>
    <t>ARDESIA</t>
  </si>
  <si>
    <t>CRLEXT255</t>
  </si>
  <si>
    <t>CRLEXT256</t>
  </si>
  <si>
    <t>CRLEXT257</t>
  </si>
  <si>
    <t>CRLEXT258</t>
  </si>
  <si>
    <t>CRLEXT259</t>
  </si>
  <si>
    <t>CRLEXT260</t>
  </si>
  <si>
    <t>CRLEXT261</t>
  </si>
  <si>
    <t>CRLEXT262</t>
  </si>
  <si>
    <t>CRLEXT263</t>
  </si>
  <si>
    <t>CRLEXT264</t>
  </si>
  <si>
    <t>CRLEXT265</t>
  </si>
  <si>
    <t>CRLEXT266</t>
  </si>
  <si>
    <t>8055061262876</t>
  </si>
  <si>
    <t>8055061262890</t>
  </si>
  <si>
    <t>8055061262906</t>
  </si>
  <si>
    <t>8055061262883</t>
  </si>
  <si>
    <t>8055061262951</t>
  </si>
  <si>
    <t>8055061263217</t>
  </si>
  <si>
    <t>8055061262975</t>
  </si>
  <si>
    <t>8055061263231</t>
  </si>
  <si>
    <t>8055061262982</t>
  </si>
  <si>
    <t>8055061263248</t>
  </si>
  <si>
    <t>8055061262968</t>
  </si>
  <si>
    <t>8055061263224</t>
  </si>
  <si>
    <t>Inspirée de l’ardoise, pierre emblématique de l’architecture, la collection Ardoise en grès cérame en restitue fidèlement la texture irrégulière et la teinte intense et homogène, tout en offrant les performances techniques du grès cérame coloré dans la masse.
Disponible en quatre coloris, plusieurs formats et deux finitions – intérieur (8,8 mm) et extérieur (8,8 mm et 20 mm) – elle permet de créer des ambiances harmonieuses avec une continuité esthétique entre intérieur et extérieur.
Pensée pour s’adapter aussi bien aux espaces résidentiels qu’aux projets commerciaux, Ardoise séduit par sa polyvalence, sa durabilité et son élégance naturelle. La collection est complétée par un large choix de pièces spéciales, pour des projets aussi fonctionnels que raffinés.</t>
  </si>
  <si>
    <t>Cenere</t>
  </si>
  <si>
    <t>8055061220845</t>
  </si>
  <si>
    <t>8055061220814</t>
  </si>
  <si>
    <t>8055061220838</t>
  </si>
  <si>
    <t>8055061220821</t>
  </si>
  <si>
    <t>DOLOMITI</t>
  </si>
  <si>
    <t>CRLEXT267</t>
  </si>
  <si>
    <t>CRLEXT268</t>
  </si>
  <si>
    <t>CRLEXT269</t>
  </si>
  <si>
    <t>CRLEXT270</t>
  </si>
  <si>
    <t xml:space="preserve">Inspirée d’un granit emblématique des Alpes, la collection ALPEA restitue l’essence brute et majestueuse de la pierre naturelle à travers un grès cérame au graphisme riche et raffiné.
Ses surfaces texturées et intenses, à l’esthétique sobre mais pleine de détails, allient beauté minérale et haute performance technique.
Déclinée en quatre teintes neutres, Dolomiti évoque la force et l’élégance des massifs classés au patrimoine mondial de l’UNESCO. </t>
  </si>
  <si>
    <t>Carrelage effet pierre ALPEA</t>
  </si>
  <si>
    <t>Basalto</t>
  </si>
  <si>
    <t>Calcite</t>
  </si>
  <si>
    <t>8429991895761</t>
  </si>
  <si>
    <t>8429991895778</t>
  </si>
  <si>
    <t>8429991895785</t>
  </si>
  <si>
    <t>8429991801083</t>
  </si>
  <si>
    <t>8429991801090</t>
  </si>
  <si>
    <t>8429991801106</t>
  </si>
  <si>
    <t>8429991800888</t>
  </si>
  <si>
    <t>8429991800871</t>
  </si>
  <si>
    <t>8429991800864</t>
  </si>
  <si>
    <t>8429991801007</t>
  </si>
  <si>
    <t>8429991800994</t>
  </si>
  <si>
    <t>8429991801014</t>
  </si>
  <si>
    <t>SUN</t>
  </si>
  <si>
    <t>CRL649</t>
  </si>
  <si>
    <t>CRL650</t>
  </si>
  <si>
    <t>CRL651</t>
  </si>
  <si>
    <t>CRL652</t>
  </si>
  <si>
    <t>CRL653</t>
  </si>
  <si>
    <t>CRL654</t>
  </si>
  <si>
    <t>CRL655</t>
  </si>
  <si>
    <t>CRL656</t>
  </si>
  <si>
    <t>CRL657</t>
  </si>
  <si>
    <t>CRL658</t>
  </si>
  <si>
    <t>CRL659</t>
  </si>
  <si>
    <t xml:space="preserve">La collection SUNNY est une gamme élégante de carrelages en grès cérame, inspirée par la beauté naturelle des matériaux précieux. Elle se distingue par ses finitions soignées et ses teintes subtiles, disponibles en Pearl, Sand, et White, idéales pour apporter luminosité et modernité à tous les espaces.
Avec des formats variés allant de 30x60 cm à 120x120 cm et des épaisseurs adaptées aussi bien pour les sols que pour les murs, la collection Sun offre une grande flexibilité dans l’aménagement. Sa finition Matt Levigato ou Matt Satin permet d’obtenir une surface douce au toucher tout en conservant un aspect raffiné et contemporain.
Parfaite pour les projets résidentiels et commerciaux, la collection Sun se prête à de nombreux types d'aménagement, que ce soit dans des salons, des cuisines, des salles de bains ou des halls d’entrée. Sa résistance et sa durabilité font de cette collection un choix idéal pour des espaces à la fois esthétiques et fonctionnels.
</t>
  </si>
  <si>
    <t>White</t>
  </si>
  <si>
    <t>Sand</t>
  </si>
  <si>
    <t>Pearl</t>
  </si>
  <si>
    <t>PRQ023</t>
  </si>
  <si>
    <t>PRQ024</t>
  </si>
  <si>
    <t>PRQ025</t>
  </si>
  <si>
    <t>PRQ026</t>
  </si>
  <si>
    <t>PRQ027</t>
  </si>
  <si>
    <t>PRQ028</t>
  </si>
  <si>
    <t>PRQ029</t>
  </si>
  <si>
    <t>PRQ030</t>
  </si>
  <si>
    <t>PRQ031</t>
  </si>
  <si>
    <t>PRQ032</t>
  </si>
  <si>
    <t>SPIRIT</t>
  </si>
  <si>
    <t>Ce sol En PVC reprend de manière très réaliste le design d'un sol en bois réaliste, grâce à son film décoratif. Sa laque de protection et sa couche d'usure de 0,40 mm témoignent de la supériorité incontestable de ce produit. En effet, avec ce design révolutionnaire, votre sol vous offre une résistance aux produits chimiques, et une classe d'usage de catégorie 23/32. Avec sa sous-couche intégrée de 1 mm, votre sol en lame PVC est adapté aux chaises à roulettes et fournit une isolation acoustique des bruits d'impacts efficaces jusqu'à 20 dB. Son panneau composite rigide donne à votre sol une stabilité exceptionnelle pour un meilleur maintien.
Concernant la pose, que vous soyez professionnel ou totalement inexpérimenté dans le domaine, il est important d'avoir un support plan et lisse, pour éviter que votre revêtement de sol ait des imperfections par la suite. Il suffit ensuite de clipser chaque lame entre elles en les disposant d´une manière précise. Les produits de la gamme Berry Alloc Spirit Home Click Comfort 40, sont exclusivement conçus pour un usage résidentiel intensif et un usage commercial modéré, et sont garanties 20 ans pour un usage résidentiel et 5 ans pour un usage commercial.
Les lames PVC clipsables du fabricant BerryAlloc sont très respectueuses de l'environnement avec une certification d'émission A+. La compatibilité avec un chauffage au sol (27° maximum pour un sol hydraulique et 60W/m² maximum pour un sol électrique) et ses propriétés inflammable (réaction au feu Bfl-S1) font de ce sol PVC, un atout indéniable dans le choix de la rénovation de votre revêtement de sol. Enfin, vos dalles PVC clipsables BerryAlloc sont antidérapantes (R10) grâce à leur surface unique, antistatiques et résistantes aux produits chimiques. Cette gamme propose plusieurs teintes qui reprennent les couleurs naturelles de différents types de bois, allant du plus clair au plus foncé. Vous trouverez forcément un modèle pour votre rénovation de sol.</t>
  </si>
  <si>
    <t>LVC017</t>
  </si>
  <si>
    <t>LVC018</t>
  </si>
  <si>
    <t>LVC019</t>
  </si>
  <si>
    <t>LVC020</t>
  </si>
  <si>
    <t>LVC021</t>
  </si>
  <si>
    <t>LVC022</t>
  </si>
  <si>
    <t>LVC023</t>
  </si>
  <si>
    <t>LVC024</t>
  </si>
  <si>
    <t>LVC025</t>
  </si>
  <si>
    <t>LVC026</t>
  </si>
  <si>
    <t>LVC027</t>
  </si>
  <si>
    <t>LVC028</t>
  </si>
  <si>
    <t>LVC029</t>
  </si>
  <si>
    <t>LVC030</t>
  </si>
  <si>
    <t>LVC031</t>
  </si>
  <si>
    <t>LVC032</t>
  </si>
  <si>
    <t>LVC033</t>
  </si>
  <si>
    <t>LVC034</t>
  </si>
  <si>
    <t>LVC035</t>
  </si>
  <si>
    <t>LVC036</t>
  </si>
  <si>
    <t>LVC037</t>
  </si>
  <si>
    <t>LVC038</t>
  </si>
  <si>
    <t>LVC039</t>
  </si>
  <si>
    <t>LVC040</t>
  </si>
  <si>
    <t>LVC041</t>
  </si>
  <si>
    <t>LVC042</t>
  </si>
  <si>
    <t>Dalle vinyle Spirit Pro Click 55 Vulcano Gr paquet 4 dalles - 2,23m²</t>
  </si>
  <si>
    <t>Dalle vinyle Spirit Pro Click 55 Cement W Gr paquet 4 dalles - 2,23m²</t>
  </si>
  <si>
    <t>Dalle vinyle Spirit Pro Click 55 Cement L Gr paquet 4 dalles - 2,23m²</t>
  </si>
  <si>
    <t>Dalle vinyle Spirit Pro Click 55 Cement Grey paquet 4 dalles - 2,23m²</t>
  </si>
  <si>
    <t>Lame vinyle Spirit Click 40 Canyon Brown paquet 8 lames - 1,71m²</t>
  </si>
  <si>
    <t>Lame vinyle Spirit Click 40 Palmer Natural paquet 8 lames - 1,71m²</t>
  </si>
  <si>
    <t>Lame vinyle Spirit Click 40 Grace Greige paquet 8 lames - 1,71m²</t>
  </si>
  <si>
    <t>Lame vinyle Spirit Click 40 Cosy Natural paquet 8 lames - 1,71m²</t>
  </si>
  <si>
    <t>Lame vinyle Spirit Pro Click 55 Elite Beige paquet 6 lames - 2,07m²</t>
  </si>
  <si>
    <t>Lame vinyle Spirit Pro Click 55 Elite Greige paquet 6 lames - 2,07m²</t>
  </si>
  <si>
    <t>Lame vinyle Spirit Pro Click 55 Elite Honey paquet 6 lames - 2,07m²</t>
  </si>
  <si>
    <t>Lame vinyle Spirit Pro Click 55 Elite Sand paquet 6 lames - 2,07m²</t>
  </si>
  <si>
    <t>Lame vinyle Spirit Pro Click 55 Elite Dk Br paquet 6 lames - 2,07m²</t>
  </si>
  <si>
    <t>Lame vinyle Spirit Pro Click 55 Elite Brown paquet 6 lames - 2,07m²</t>
  </si>
  <si>
    <t>Lame vinyle Spirit Pro Click 55 Elite Nat paquet 6 lames - 2,07m²</t>
  </si>
  <si>
    <t>Lame vinyle Spirit Pro Click 55 Country Hon paquet 6 lames - 2,07m²</t>
  </si>
  <si>
    <t>Lame vinyle Spirit Pro Click 55 Country Mok paquet 6 lames - 2,07m²</t>
  </si>
  <si>
    <t>Lame vinyle Spirit Pro Click 55 Country Car paquet 6 lames - 2,07m²</t>
  </si>
  <si>
    <t>Lame vinyle Spirit Pro Click 55 Country Bge paquet 6 lames - 2,07m²</t>
  </si>
  <si>
    <t>Lame vinyle Spirit Pro Click 55 Country Br paquet 6 lames - 2,07m²</t>
  </si>
  <si>
    <t>Lame vinyle Spirit Pro GD 55 Elite Honey paquet 10 lames - 3,6m²</t>
  </si>
  <si>
    <t>Lame vinyle Spirit Pro GD 55 Country Car paquet 10 lames - 3,6m²</t>
  </si>
  <si>
    <t>Lame vinyle Spirit XL Click 55 Kings Canyon paquet 6 lames - 2,5m²</t>
  </si>
  <si>
    <t>Lame vinyle Spirit XL Click 55 Fitz Roy paquet 6 lames - 2,5m²</t>
  </si>
  <si>
    <t>Lame vinyle Spirit XL Click 55 Yosemite paquet 6 lames - 2,5m²</t>
  </si>
  <si>
    <t>Parquet Sol stratifié et PVC&gt;Lame PVC</t>
  </si>
  <si>
    <t>PVC</t>
  </si>
  <si>
    <t>121,00 x 17,66 cm</t>
  </si>
  <si>
    <t>A clipser</t>
  </si>
  <si>
    <t>4+1 mm</t>
  </si>
  <si>
    <t>Découvrez la nouvelle collection de lame PVC clipsable du fabricant Berry Alloc ! D’une épaisseur totale de 5,5 mm, ce produit confère une robustesse remarquable ! En effet, sa couche d’usure de 0,55 mm le rend résistant aux rayures, aux chocs ainsi qu’au poinçonnement rémanent, le rendant adapté aux classes d’usage 23/33. Ainsi, il vous est possible d’installer cette lame PVC clipsable Berry Alloc dans votre habitation mais également dans un local commercial, même à passage intensif. Elle pourra, par exemple, très bien s’adapter à des pièces de vie très fréquentées ou encore aux pièces humides, étant totalement résistante à l’eau. À côté de cela, vous pouvez tout aussi convenablement la poser dans votre magasin, restaurant ou salle de conférence, par exemple. Résistant au feu (Bfl-s1), ce produit offre également d’importantes propriétés d’isolation phonique : 20 dB en termes de réduction de bruits d’impacts !
Pour procéder à la pose, rien de plus simple. En premier lieu, assurez-vous que votre support soit bien propre, plat, sec et stable. Cette lame PVC clipsable peut même être installée sur un ancien carrelage à condition que les joints ne dépassent pas 5 mm d’épaisseur. Grâce à leur système de clipsage, vous n’avez plus qu’à clipser les lames entre elles. Pour les découpes, un cutter suffira, sans oublier de compter 8% à 10% de marge sur la surface totale.
Au sein de la collection BerryAlloc Spirit Pro Click Comfort 55, vous retrouverez une très large variété de lame PVC imitation parquet, allant du bois beige naturel, au bois foncé, en passant par le blanc ou le gris ! Ainsi, il vous est possible de créer l’atmosphère de votre choix en toute simplicité. Une chose est sûre, la lame PVC clipsable Berry Alloc transformera votre intérieur en un lieu des plus chaleureux et accueillants !</t>
  </si>
  <si>
    <t>9,3 kg/m²</t>
  </si>
  <si>
    <t>BERRY ALLOC</t>
  </si>
  <si>
    <t xml:space="preserve">
4,5+1 mm</t>
  </si>
  <si>
    <t>Brown</t>
  </si>
  <si>
    <t>Grey</t>
  </si>
  <si>
    <t>Yosemite</t>
  </si>
  <si>
    <t xml:space="preserve">
151,1 x 22,8 cm</t>
  </si>
  <si>
    <t>Couche d'usure</t>
  </si>
  <si>
    <t>0,55 mm</t>
  </si>
  <si>
    <t>Canyon brown</t>
  </si>
  <si>
    <t>Grace greige</t>
  </si>
  <si>
    <t>Palmer Natural</t>
  </si>
  <si>
    <t>Cosy Natural</t>
  </si>
  <si>
    <t>Natural</t>
  </si>
  <si>
    <t>Lame PVC</t>
  </si>
  <si>
    <t>Dalle PVC</t>
  </si>
  <si>
    <t>Dark brown</t>
  </si>
  <si>
    <t xml:space="preserve">Lame vinyle Spirit Pro Click 55 Country W Gr paquet 6 lames -  2,07m² </t>
  </si>
  <si>
    <t>White grey</t>
  </si>
  <si>
    <t>Mokka</t>
  </si>
  <si>
    <t>Caramel</t>
  </si>
  <si>
    <t>Light grey</t>
  </si>
  <si>
    <t>Vulcano Grey</t>
  </si>
  <si>
    <t>La collection BerryAlloc Spirit Pro Click Comfort 55 Tiles du fabricant belge propose des dalles PVC clipsables aux nombreux designs extrêmement réalistes. La teinte grise de ce revêtement de sol apporte modernité et élégance à une décoration intérieure. L’effet béton se marie parfaitement à une décoration industrielle !
Cette dalle PVC est d’une épaisseur totale de 2,5 mm incluant la couche d’usure de 0,55 mm. Cette couche d’usure témoigne de la robustesse de votre sol et permet les classes d’usage 23, 33 et 42. Ces classes d’usage permettent alors à la dalle PVC clipsable BerryAlloc Spirit Pro Click Comfort 55 Tiles d’être installée dans un espace résidentiel et commercial modéré. Dans une entrée, nous conseillons de mettre un paillasson afin de ne pas endommager votre sol avec des résidus extérieurs. Cette dalle PVC atteste d’une résistance aux chaises à roulettes ainsi qu’aux produits chimiques. Ce revêtement de sol est par ailleurs compatible au chauffage au sol et propose une bonne résistance au feu.
La pose de la dalle PVC clipsable de cette collection est très simple. Nul besoin d’être expérimenté en bricolage ni de faire appel à un professionnel. Elles peuvent être posées sur tous les types de supports exceptée sur un revêtement textile comme de la moquette. Le support doit être sec, stable et plat. Les dalles sont dotées d’un système de clipsage, elles se clipsent donc entre elles puis elles sont ensuite directement praticables ! De plus, vous n’avez pas besoin de sous couche car la dalle est déjà munie d’une sous couche intégrée. Concernant l’entretien, la dalle PVC du fabricant BerryAlloc est extrêmement simple à nettoyer. Il vous suffit d’effectuer un entretien classique régulièrement !
Cette dalle PVC est par ailleurs saine pour l’environnement ainsi que pour votre santé. Elle est en effet garantie sans phtalates et classée A+ concernant les émissions de COV dans l’air. Vous avez alors un sol design et sain !</t>
  </si>
  <si>
    <t>Parquet Sol stratifié et PVC&gt;Dalle PVC</t>
  </si>
  <si>
    <t xml:space="preserve">
61 x 91,4 cm</t>
  </si>
  <si>
    <t>0,4 mm</t>
  </si>
  <si>
    <t>Garantit une stabilité continue
100% sans phtalate
Dispose d'une isolation intégrée contre les bruits d'impact
Convient aux classes d'usage 23/32 et 41</t>
  </si>
  <si>
    <t xml:space="preserve">
7,9 kg/m²</t>
  </si>
  <si>
    <t xml:space="preserve">Large variété de décors réalistes imitation parquet
Classe d’usage 23/33 : usage intensif résidentiel et commercial !
Couche d’usure de 0,55 mm pour une robustesse extrême
Pose possible en pièce humide : résistant à l’eau
-11 %
</t>
  </si>
  <si>
    <t>Design ultra réaliste
Classes d’usage de 23, 33 et 42 : usage résidentiel et commercial modéré
Simple à entretenir
Pose ultra simple : système de clipsage</t>
  </si>
  <si>
    <t>A rajouter sur la fiche produit</t>
  </si>
  <si>
    <t>Le fabricant belge BerryAlloc propose un revêtement de sol en lames PVC à coller. D’un esthétisme idéal, la collection BerryAlloc Spirit Pro Gluedown 55 rend un intérieur élégant et tendance. Ses imitations de parquet sont particulièrement bien réalisées mais aussi ultra réalistes. Vous disposez alors d’un parquet à bas prix en évitant ses inconvénients.
En plus de son esthétisme, la lame PVC à coller de cette collection propose une épaisseur totale de 2,5 mm dont 0,55 mm de couche d’usure, ce qui confère à ce revêtement de sol une grande robustesse. Grâce à ses classes d’usage de 23, 33 et 42, il peut être installé dans un espace résidentiel tout comme dans un espace commercial comme dans un magasin ou dans une chambre d’hôtel par exemple. De plus, cette lame PVC est compatible avec le chauffage au sol ainsi qu’avec les chaises à roulettes.
La lame PVC peut-être installée sur tous les types de supports exceptée la moquette et nécessite une bonne préparation du support. Il doit être stable, sec et plat. La pose s’effectue à l’aide d’une colle spéciale. Si la pose collée vous effraie, il est aussi possible de se munir d’une sous couche encollée pour ensuite coller simplement vos lames dessus. Pour les moins aguerris en bricolage, nous vous conseillons de faire appel à un professionnel.
La lame PVC à coller BerryAlloc ne nécessite pas d’entretien particulier et son entretien est très facile. Pour le dépoussiérer, utilisez simplement un balai ou un aspirateur puis de l’eau et du détergent neutre adapté pour le nettoyage. Afin de conserver le sol en bon état dans une entrée, nous vous conseillons de placer un paillasson.
BerryAlloc propose un revêtement de sol moderne et design tout en offrant une bonne qualité de l’air grâce a sa classification A+ et à sa fabrication sans phtalates.</t>
  </si>
  <si>
    <t>A coller</t>
  </si>
  <si>
    <t>4,95 kg/m²</t>
  </si>
  <si>
    <t xml:space="preserve">
2,5 mm</t>
  </si>
  <si>
    <t xml:space="preserve">
0,55 mm</t>
  </si>
  <si>
    <t>Design ultra réaliste
Pose collée
Classe d’usage 23, 33 et 42 : grande robustesse
Sans phtalates</t>
  </si>
  <si>
    <t xml:space="preserve">
152 x 23,7 cm</t>
  </si>
  <si>
    <t>Lames vinyle à clipser XL 1830X228 est la solution idéale à plus grande échelle. Ces lames de longueur hors norme confèrent un aspect luxueux à chaque intérieur. Surdimensionnées, mais élégantes, elles donnent à votre sol un sentiment de profondeur et d’envergure, qui semble agrandir l’espace. Ce sol se mets dans toutes les pièces intérieures avec une couche d'usure de 0,55mm ainsi que dans des bureaux, couloirs et magasins. Facilité et rapidité de pose grâce à son système de clic 5G dernière génération et sa sous couche intégrée. Produit sans phtalate</t>
  </si>
  <si>
    <t>Produit sans phtalate Sous couche intégrée</t>
  </si>
  <si>
    <t>Kings Canyon</t>
  </si>
  <si>
    <t>Fitz Roy</t>
  </si>
  <si>
    <t xml:space="preserve">
22,8 x 183 cm</t>
  </si>
  <si>
    <t>TRENDLINE</t>
  </si>
  <si>
    <t>STR001</t>
  </si>
  <si>
    <t>STR002</t>
  </si>
  <si>
    <t>STR003</t>
  </si>
  <si>
    <t>STR004</t>
  </si>
  <si>
    <t>STR005</t>
  </si>
  <si>
    <t>STR006</t>
  </si>
  <si>
    <t>STR007</t>
  </si>
  <si>
    <t>STR008</t>
  </si>
  <si>
    <t>STR009</t>
  </si>
  <si>
    <t>STR010</t>
  </si>
  <si>
    <t>STR011</t>
  </si>
  <si>
    <t>STR012</t>
  </si>
  <si>
    <t>STR013</t>
  </si>
  <si>
    <t>STR014</t>
  </si>
  <si>
    <t>STR015</t>
  </si>
  <si>
    <t>STR016</t>
  </si>
  <si>
    <t>STR017</t>
  </si>
  <si>
    <t>STR018</t>
  </si>
  <si>
    <t>STR019</t>
  </si>
  <si>
    <t>STR020</t>
  </si>
  <si>
    <t>STR021</t>
  </si>
  <si>
    <t>STR022</t>
  </si>
  <si>
    <t>STR023</t>
  </si>
  <si>
    <t>STR024</t>
  </si>
  <si>
    <t>STR025</t>
  </si>
  <si>
    <t>STR026</t>
  </si>
  <si>
    <t>Découvrez le Berry Alloc Trendline 8XL, le revêtement de sol stratifié qui allie élégance et robustesse pour sublimer n'importe quelle pièce de votre maison. Chaque lame a une dimension de 2038 x 241 mm et son épaisseur de 8 mm, ce parquet stratifié moderne est conçu pour apporter une touche contemporaine à votre intérieur tout en assurant une longue durabilité.
Idéal pour la cuisine, le salon et la chambre, le Trendline 8XL se distingue par sa classe d'usage 23/32, garantissant une résistance exceptionnelle même dans les zones à fort passage. Son classement AC4 pour la résistance à l'abrasion témoigne de sa capacité à résister aux épreuves du quotidien, tout en conservant son éclat d'origine. Profitez d'une garantie de 20 ans pour un usage domestique et de 5 ans pour un usage commercial, preuve de la confiance de Berry Alloc dans la qualité de son parquet stratifié.
En outre, ce sol stratifié est classé A+ pour les émissions intérieures, vous offrant un environnement sain et sûr pour toute la famille. L'aspect rustique et moderne du Berry Alloc Trendline 8XL en fait un choix parfait pour ceux qui recherchent à la fois style et performance.
Transformez vos espaces avec ce revêtement de sol stratifié exceptionnel qui combine esthétique raffinée et fonctionnalité durable. Ne laissez pas passer l'opportunité d'améliorer vos espaces avec ce produit unique qui promet d'enchanter votre décor tout en répondant aux exigences les plus élevées.</t>
  </si>
  <si>
    <t>Stratifié UPEC Trendline 8 Verdi Oak paquet 9 lames - 2,2m². Trendline 8 Verdi Oak est un chêne naturel avec une finition mate cérusée et une texture subtile dans une teinte de bois gris clair.</t>
  </si>
  <si>
    <t>Stratifié UPEC Trendline 8 Liverpool Oak paquet 9 lames - 2,2m². Trendline 8 Liverpool Oak est un chêne rustique marqué avec de nombreux nœuds, finition mate et texture riche dans une teinte de bois naturel sable.</t>
  </si>
  <si>
    <t>Stratifié UPEC Trendline 8 Corsica Oak paquet 9 lames - 2,2m². Trendline 8 Corsica Oak est un chêne expressif avec de nombreux nœuds, une finition mate et une texture riche dans une teinte de bois gris.</t>
  </si>
  <si>
    <t>Stratifié UPEC Trendline 8 Sicily Oak paquet 9 lames - 2,2m². Trendline 8 Sicily Oak est un chêne expressif avec de nombreux nœuds, une finition mate et une texture riche dans une teinte bois naturel clair.</t>
  </si>
  <si>
    <t>Stratifié UPEC Trendline 8 Daisy Oak paquet 9 lames - 2,2m². Trendline 8 Daisy Oak est un chêne naturel avec une texture riche dans une teinte chaude de bois naturel.</t>
  </si>
  <si>
    <t>Stratifié UPEC Trendline 8 Capri Oak paquet 9 lames - 2,2m². Trendline 8 Capri Oak est un chêne expressif avec beaucoup de nœuds et une texture riche dans une teinte chaude de bois naturel.</t>
  </si>
  <si>
    <t>Stratifié UPEC Trendline 8 V4 Verdi Oak paquet 9 lames - 2,2m². Trendline 8 V4 Verdi Oak est un chêne naturel avec une finition mate cérusée et une texture subtile dans une teinte de bois gris clair.</t>
  </si>
  <si>
    <t>Stratifié Trendline 8 V4 Puccini Oak paquet 9 lames - 2,2m². Trendline 8 V4 Puccini Oak est un chêne naturel avec une finition mate cérusée et une texture subtile dans une teinte bois naturel.</t>
  </si>
  <si>
    <t>Stratifié Trendline 8 V4 Lotus Oak paquet 9 lames - 2,2m². Trendline 8 V4 Lotus Oak est un chêne naturel avec une texture riche dans une teinte bois naturel.</t>
  </si>
  <si>
    <t>Stratifié Trendline 8 V4 Magnolia Oak paquet 9 lames - 2,2m². Trendline 8 V4 Magnolia Oak est un chêne naturel avec une texture riche dans une teinte de bois gris foncé.</t>
  </si>
  <si>
    <t>Stratifié UPEC Trendline 8 V4 Liverpool Oak paquet 9 lames - 2,2m². Trendline 8 V4 Liverpool Oak est un chêne rustique marqué avec de nombreux nœuds, finition mate, texture riche dans une teinte de bois naturel sable.</t>
  </si>
  <si>
    <t>Stratifié UPEC Trendline 8 V4 Corsica Oak paquet 9 lames - 2,2m². Trendline 8 V4 Corsica Oak est un chêne expressif avec de nombreux nœuds, une finition mate et une texture riche dans une teinte de bois gris.</t>
  </si>
  <si>
    <t>Stratifié Trendline 8 V4 Fiji Oak paquet 9 lames - 2,2m². Trendline 8 V4 Fiji Oak est un chêne expressif avec de nombreux nœuds et une texture riche dans une teinte de bois naturel.</t>
  </si>
  <si>
    <t>Stratifié UPEC Trendline 8 V4 Sicily Oak paquet 9 lames - 2,2m². Trendline 8 V4 Sicily Oak est un chêne expressif avec de nombreux nœuds, une finition mate et une texture riche dans une teinte bois naturel clair.</t>
  </si>
  <si>
    <t>Stratifié Trendline 8 V4 Rossini Oak paquet 9 lames - 2,2m². Trendline 8 V4 Rossini Oak est un chêne naturel avec une finition mate cérusée et une texture subtile dans une douce teinte nude.</t>
  </si>
  <si>
    <t>Stratifié UPEC Trendline 8 V4 Lily Oak paquet 9 lames - 2,2m². Trendline 8 V4 Lily Oak est un chêne naturel avec une texture riche dans une douce teinte de bois nude.</t>
  </si>
  <si>
    <t>Stratifié UPEC Trendline 8 V4 Daisy Oak paquet 9 lames - 2,2m². Trendline 8 V4 Daisy Oak est un chêne naturel avec une texture riche dans une teinte chaude de bois naturel.</t>
  </si>
  <si>
    <t>Stratifié UPEC Trendline 8 V4 Iris Oak paquet 9 lames - 2,2m². Trendline 8 V4 Iris Oak est un chêne naturel avec une texture riche dans une teinte de bois brun foncé.</t>
  </si>
  <si>
    <t>Stratifié Trendline 8 V4 Oxford Oak paquet 9 lames - 2,2m². Trendline 8 V4 Oxford Oak est un chêne rustique marqué avec de nombreux nœuds, finition mate et texture riche dans une teinte de bois brun clair.</t>
  </si>
  <si>
    <t>Stratifié Trendline 8 V4 Bristol Oak paquet 9 lames - 2,2m². Trendline 8 V4 Bristol Oak est un chêne rustique marqué avec de nombreux nœuds, finition mate et texture riche dans une teinte de bois brun foncé.</t>
  </si>
  <si>
    <t>Stratifié UPEC Trendline 8 V4 Capri Oak paquet 9 lames - 2,2m². Trendline 8 V4 Capri Oak est un chêne expressif avec beaucoup de nœuds et une texture riche dans une teinte chaude de bois naturel.</t>
  </si>
  <si>
    <t>Stratifié Trendline 8 XL Rossini Oak paquet 6 lames - 2,95m². Trendline 8 XL Rossini Oak est un chêne naturel avec une finition mate cérusée et une texture subtile dans une douce teinte nude.</t>
  </si>
  <si>
    <t>Stratifié Trendline 8 XL Lily Oak paquet 6 lames - 2,95m². Trendline 8 XL Lily Oak est un chêne naturel avec une texture riche dans une douce teinte de bois nude.</t>
  </si>
  <si>
    <t>Stratifié Trendline 8 XL Iris Oak paquet 6 lames - 2,95m². Trendline 8 XL Iris Oak est un chêne naturel avec une texture riche dans une teinte de bois brun foncé.</t>
  </si>
  <si>
    <t>Stratifié Trendline 8 XL Corsica Oak paquet 6 lames - 2,95m². Trendline 8 XL Corsica Oak est un chêne expressif avec de nombreux nœuds, une finition mate et une texture riche dans une teinte de bois gris.</t>
  </si>
  <si>
    <t>Stratifié Trendline 8 XL Capri Oak paquet 6 lames - 2,95m². Trendline 8 XL Capri Oak est un chêne expressif avec beaucoup de nœuds et une texture riche dans une teinte chaude de bois naturel.</t>
  </si>
  <si>
    <t>Usage résidentiel et commercial (Classe d’usage 23/32)</t>
  </si>
  <si>
    <t>Résistant, stable et durable : AC4</t>
  </si>
  <si>
    <t>Garanti de 20 ans en usage résidentiel</t>
  </si>
  <si>
    <t>Lames extra longues et larges pour un rendu spectaculaire
Usage résidentiel et commercial (Classe d’usage 23/32)
Résistant, stable et durable : AC4
Garanti de 20 ans en usage résidentiel</t>
  </si>
  <si>
    <t>Parquet Sol stratifié et PVC&gt;Stratifié</t>
  </si>
  <si>
    <t xml:space="preserve">
203,8 cm x 24,1 cm</t>
  </si>
  <si>
    <t xml:space="preserve">
Sur les 4 côtés en V</t>
  </si>
  <si>
    <t>Stratifié</t>
  </si>
  <si>
    <t>Lame large</t>
  </si>
  <si>
    <t>Rossini Oak</t>
  </si>
  <si>
    <t>Lily Oak</t>
  </si>
  <si>
    <t>Iris Oak</t>
  </si>
  <si>
    <t>Corsica Oak</t>
  </si>
  <si>
    <t>Capri Oak</t>
  </si>
  <si>
    <t xml:space="preserve">
21,1 kg/m²</t>
  </si>
  <si>
    <t>8 mm</t>
  </si>
  <si>
    <t>19 cm x 128,8 cm</t>
  </si>
  <si>
    <t>Le Berry Alloc Trendline 8 V4 est un parquet stratifié qui conjugue élégance moderne et robustesse exceptionnelle. Conçu pour répondre aux exigences des intérieurs contemporains, ce sol stratifié est idéal pour la cuisine, le salon et la chambre, apportant une touche raffinée à chaque pièce de votre maison.
Avec des lames mesurant 1288 x 190 mm et une épaisseur de 8mm, le Berry Alloc Trendline 8 V4 offre une esthétique à la fois moderne et rustique, parfaite pour ceux qui recherchent un revêtement de sol qui allie style et fonctionnalité. Sa classe d'usage 23/32 garantit une durabilité optimale, tandis que sa résistance à l'abrasion AC4 en fait un choix robuste pour les zones à fort passage. Les quatre chanfreins ajoutent une dimension supplémentaire, créant un effet visuel saisissant qui imite le parquet massif.
Profitez d'une tranquillité d'esprit grâce à sa garantie de 20 ans pour un usage domestique et de 5 ans pour un usage commercial. De plus, ce sol stratifié est classé A+ pour les émissions intérieures, assurant un environnement sain et respectueux de votre bien-être.
Le Berry Alloc Trendline 8 V4 se distingue non seulement par sa qualité, mais aussi par sa capacité à s'intégrer harmonieusement dans divers styles d'intérieur. Que vous soyez attiré par le charme du stratifié rustique ou par l'élégance du stratifié moderne, ce revêtement de sol répondra à toutes vos attentes.
Ce produit est compatible avec les systèmes de chauffage au sol hydrauliques basse température (hors chauffage électrique). Transformez votre espace dès aujourd'hui avec ce parquet stratifié exceptionnel.</t>
  </si>
  <si>
    <t>Doté de 4 chanfreins pour un rendu esthétique
Usage résidentiel et commercial (Classe d’usage 23/32)
Résistant, stable et durable : AC4
Garanti de 20 ans en usage résidentiel</t>
  </si>
  <si>
    <t>Puccini Oak</t>
  </si>
  <si>
    <t>Lotus Oak</t>
  </si>
  <si>
    <t>Magnolia Oak</t>
  </si>
  <si>
    <t>Fiji Oak</t>
  </si>
  <si>
    <t>Oxford Oak</t>
  </si>
  <si>
    <t>Bristol Oak</t>
  </si>
  <si>
    <t xml:space="preserve">
8 mm</t>
  </si>
  <si>
    <t xml:space="preserve">
7,14 kg/m²</t>
  </si>
  <si>
    <t>Découvrez le Berry Alloc Trendline 8, l'alliance parfaite entre élégance et robustesse pour votre intérieur. Avec ses dimensions de 1288 x 190 mm et une épaisseur de 8 mm, ce parquet stratifié est conçu pour transformer vos espaces en véritables havres de paix. Idéal pour la cuisine, le salon et la chambre, ce produit s'intègre harmonieusement à tout style d'aménagement, qu'il soit moderne ou rustique.
Ce sol stratifié de haute qualité se distingue par sa classe d'usage 23/32 et sa remarquable résistance à l'abrasion AC4, assurant durabilité et longévité même dans les zones à fort passage. Grâce à sa classification A+ pour les émissions intérieures, vous pouvez profiter d'un environnement sain et écologique au quotidien.
Le Berry Alloc Trendline 8 offre une garantie de 20 ans pour un usage domestique et de 5 ans pour un usage commercial, témoignant de sa fiabilité et de sa performance exceptionnelle. C'est le choix idéal pour ceux qui recherchent un revêtement de sol alliant esthétique et fonctionnalité.
En optant pour ce stratifié pour cuisine, vous bénéficiez d'une surface facile à entretenir qui résiste aux éclaboussures et aux taches, simplifiant votre quotidien tout en ajoutant une touche raffinée à votre décoration intérieure. Offrez-vous le luxe d'un sol stratifié moderne sans compromis sur la qualité ou le style.
Ce produit est compatible avec les systèmes de chauffage au sol hydrauliques basse température (hors chauffage électrique). Transformez votre espace avec le parquet stratifié Berry Alloc Trendline 8 – où chaque pas raconte une histoire de confort et d'élégance.</t>
  </si>
  <si>
    <t>Usage résidentiel et commercial (Classe d’usage 23/32)
Résistant, stable et durable : AC4
Faibles émissions (classe A+)
Garanti de 20 ans en usage résidentiel</t>
  </si>
  <si>
    <t>Verdi Oak</t>
  </si>
  <si>
    <t>Liverpool Oak</t>
  </si>
  <si>
    <t>Sicily Oak</t>
  </si>
  <si>
    <t>Daisy Oak</t>
  </si>
  <si>
    <t>7,14 kg/m²</t>
  </si>
  <si>
    <t>OCEAN+</t>
  </si>
  <si>
    <t>STR027</t>
  </si>
  <si>
    <t>STR028</t>
  </si>
  <si>
    <t>STR029</t>
  </si>
  <si>
    <t>STR030</t>
  </si>
  <si>
    <t>STR031</t>
  </si>
  <si>
    <t>STR032</t>
  </si>
  <si>
    <t>STR033</t>
  </si>
  <si>
    <t>STR034</t>
  </si>
  <si>
    <t>STR035</t>
  </si>
  <si>
    <t>STR036</t>
  </si>
  <si>
    <t>STR037</t>
  </si>
  <si>
    <t>STR038</t>
  </si>
  <si>
    <t>STR039</t>
  </si>
  <si>
    <t>STR040</t>
  </si>
  <si>
    <t>STR041</t>
  </si>
  <si>
    <t>STR042</t>
  </si>
  <si>
    <t>STR043</t>
  </si>
  <si>
    <t>STR044</t>
  </si>
  <si>
    <t>STR045</t>
  </si>
  <si>
    <t>STR046</t>
  </si>
  <si>
    <t>STR047</t>
  </si>
  <si>
    <t>STR048</t>
  </si>
  <si>
    <t>STR049</t>
  </si>
  <si>
    <t>STR050</t>
  </si>
  <si>
    <t>STR051</t>
  </si>
  <si>
    <t>STR052</t>
  </si>
  <si>
    <t>STR053</t>
  </si>
  <si>
    <t>STR054</t>
  </si>
  <si>
    <t>STR055</t>
  </si>
  <si>
    <t>STR056</t>
  </si>
  <si>
    <t>STR057</t>
  </si>
  <si>
    <t>STR058</t>
  </si>
  <si>
    <t>STR059</t>
  </si>
  <si>
    <t>STR060</t>
  </si>
  <si>
    <t>STR061</t>
  </si>
  <si>
    <t>STR062</t>
  </si>
  <si>
    <t>STR063</t>
  </si>
  <si>
    <t>STR064</t>
  </si>
  <si>
    <t>STR065</t>
  </si>
  <si>
    <t>STR066</t>
  </si>
  <si>
    <t>STR067</t>
  </si>
  <si>
    <t>STR068</t>
  </si>
  <si>
    <t>STR069</t>
  </si>
  <si>
    <t>STR070</t>
  </si>
  <si>
    <t>STR071</t>
  </si>
  <si>
    <t>STR072</t>
  </si>
  <si>
    <t>STR073</t>
  </si>
  <si>
    <t>STR074</t>
  </si>
  <si>
    <t>STR075</t>
  </si>
  <si>
    <t>STR076</t>
  </si>
  <si>
    <t>STR077</t>
  </si>
  <si>
    <t>STR078</t>
  </si>
  <si>
    <t>STR079</t>
  </si>
  <si>
    <t>STR080</t>
  </si>
  <si>
    <t>STR081</t>
  </si>
  <si>
    <t>STR082</t>
  </si>
  <si>
    <t>STR083</t>
  </si>
  <si>
    <t>STR084</t>
  </si>
  <si>
    <t>STR085</t>
  </si>
  <si>
    <t>STR086</t>
  </si>
  <si>
    <t>Stratifié Ocean 8 V4 Majesty Nat paquet 9 lames - 2,2m²</t>
  </si>
  <si>
    <t>Stratifié Ocean 8 V4 Retro Chic BlueGr paquet 9 lames - 2,2m²</t>
  </si>
  <si>
    <t>Stratifié Ocean 8 V4 Gyant Light paquet 9 lames - 2,2m²</t>
  </si>
  <si>
    <t>Stratifié Ocean 8 V4 Gyant Nat paquet 9 lames - 2,2m²</t>
  </si>
  <si>
    <t>Stratifié Ocean 8 V4 Texas Light Nat paquet 9 lames - 2,2m²</t>
  </si>
  <si>
    <t>Stratifié Ocean 8 V4 Texas Brown paquet 9 lames - 2,2m²</t>
  </si>
  <si>
    <t>Stratifié Ocean 8 V4 Teak Brown paquet 9 lames - 2,2m²</t>
  </si>
  <si>
    <t>Stratifié Ocean 8 V4 Charme Black paquet 9 lames - 2,2m²</t>
  </si>
  <si>
    <t>Stratifié Ocean 8 V4 Bloom Light Brown paquet 9 lames - 2,2m²</t>
  </si>
  <si>
    <t>Stratifié Ocean 8 V4 Bloom Light Nat paquet 9 lames - 2,2m²</t>
  </si>
  <si>
    <t>Stratifié Ocean 8 V4 Bloom Nat paquet 9 lames - 2,2m²</t>
  </si>
  <si>
    <t>Stratifié Ocean 8 V4 Bloom Sand Nat paquet 9 lames - 2,2m²</t>
  </si>
  <si>
    <t>Stratifié Ocean 8 V4 Bloom Silver Gr paquet 9 lames - 2,2m²</t>
  </si>
  <si>
    <t>Stratifié Ocean 8 V4 Bloom Warm Nat paquet 9 lames - 2,2m²</t>
  </si>
  <si>
    <t>Stratifié Ocean 8 V4 Canyon Light paquet 9 lames - 2,2m²</t>
  </si>
  <si>
    <t>Stratifié Ocean 8 V4 Canyon Nat paquet 9 lames - 2,2m²</t>
  </si>
  <si>
    <t>Stratifié Ocean 8 V4 Charme White paquet 9 lames - 2,2m²</t>
  </si>
  <si>
    <t>Stratifié Ocean 8 V4 Chestnut White paquet 9 lames - 2,2m²</t>
  </si>
  <si>
    <t>Stratifié Ocean 8 V4 Crush Brown Nat paquet 9 lames - 2,2m²</t>
  </si>
  <si>
    <t>Stratifié Ocean 8 V4 Crush Light paquet 9 lames - 2,2m²</t>
  </si>
  <si>
    <t>Stratifié Ocean 8 V4 Crush Nat paquet 9 lames - 2,2m²</t>
  </si>
  <si>
    <t>Stratifié Ocean 8 V4 Elm Light paquet 9 lames - 2,2m²</t>
  </si>
  <si>
    <t>Stratifié Ocean 8 V4 Epic Brown paquet 9 lames - 2,2m²</t>
  </si>
  <si>
    <t>Stratifié Ocean 8 V4 Epic Gr paquet 9 lames - 2,2m²</t>
  </si>
  <si>
    <t>Stratifié Ocean 8 V4 Epic Light paquet 9 lames - 2,2m²</t>
  </si>
  <si>
    <t>Stratifié Ocean 8 V4 Epic Nat paquet 9 lames - 2,2m²</t>
  </si>
  <si>
    <t>Stratifié Ocean 8 V4 Gyant Brown Nat paquet 9 lames - 2,2m²</t>
  </si>
  <si>
    <t>Stratifié Ocean 8 V4 Gyant Light Nat paquet 9 lames - 2,2m²</t>
  </si>
  <si>
    <t>Stratifié Ocean 8 V4 Gyant Light Sand paquet 9 lames - 2,2m²</t>
  </si>
  <si>
    <t>Stratifié Ocean 8 V4 Gyant Sand Nat paquet 9 lames - 2,2m²</t>
  </si>
  <si>
    <t>Stratifié Ocean 8 V4 Gyant Warm Brown paquet 9 lames - 2,2m²</t>
  </si>
  <si>
    <t>Stratifié Ocean 8 V4 Gyant Warm Nat paquet 9 lames - 2,2m²</t>
  </si>
  <si>
    <t>Stratifié Ocean 8 V4 Java Brown paquet 9 lames - 2,2m²</t>
  </si>
  <si>
    <t>Stratifié Ocean 8 V4 Jazz Light Gr paquet 9 lames - 2,2m²</t>
  </si>
  <si>
    <t>Stratifié Ocean 8 V4 Jazz Sand Nat paquet 9 lames - 2,2m²</t>
  </si>
  <si>
    <t>Stratifié Ocean 8 V4 Merbau Brown paquet 9 lames - 2,2m²</t>
  </si>
  <si>
    <t>Stratifié Ocean 8 V4 Ragnar Light Sand paquet 9 lames - 2,2m²</t>
  </si>
  <si>
    <t>Stratifié Ocean 8 V4 Ragnar Warm Nat paquet 9 lames - 2,2m²</t>
  </si>
  <si>
    <t>Stratifié Ocean 8 V4 Select Light Brown paquet 9 lames - 2,2m²</t>
  </si>
  <si>
    <t>Stratifié Ocean 8 V4 Select Light Sand paquet 9 lames - 2,2m²</t>
  </si>
  <si>
    <t>Stratifié Ocean 8 V4 Select Nat paquet 9 lames - 2,2m²</t>
  </si>
  <si>
    <t>Stratifié Ocean 8 V4 Select Sand Nat paquet 9 lames - 2,2m²</t>
  </si>
  <si>
    <t>Stratifié Ocean 8 V4 Texas Gr paquet 9 lames - 2,2m²</t>
  </si>
  <si>
    <t>Stratifié Ocean 8 V4 Walnut Brown paquet 9 lames - 2,2m²</t>
  </si>
  <si>
    <t>Stratifié Ocean 8 V4 Java Nat paquet 9 lames - 2,2m²</t>
  </si>
  <si>
    <t>Stratifié Ocean 8 V4 Charme Light Nat paquet 9 lames - 2,2m²</t>
  </si>
  <si>
    <t>Stratifié Ocean 8 V4 Gyant D Brown paquet 9 lames - 2,2m²</t>
  </si>
  <si>
    <t>Stratifié Ocean 8 V4 Gyant Light Gr paquet 9 lames - 2,2m²</t>
  </si>
  <si>
    <t>Stratifié Ocean 8 V4 Java Light Gr paquet 9 lames - 2,2m²</t>
  </si>
  <si>
    <t>Stratifié Ocean 8 V4 Texas Light Brown paquet 9 lames - 2,2m²</t>
  </si>
  <si>
    <t>Stratifié Ocean 8 XL Bloom Sand Nat paquet 6 lames - 2,95m²</t>
  </si>
  <si>
    <t>Stratifié Ocean 8 XL Bloom Silver Gr paquet 6 lames - 2,95m²</t>
  </si>
  <si>
    <t>Stratifié Ocean 8 XL Gyant Xl Sand Nat paquet 6 lames - 2,95m²</t>
  </si>
  <si>
    <t>Stratifié Ocean 8 XL Gyant Xl Light Sand paquet 6 lames - 2,95m²</t>
  </si>
  <si>
    <t>Stratifié Ocean 8 XL Gyant Xl Warm Nat paquet 6 lames - 2,95m²</t>
  </si>
  <si>
    <t>Stratifié Ocean 8 XL Gyant Xl Warm Brown paquet 6 lames - 2,95m²</t>
  </si>
  <si>
    <t>Stratifié Ocean 8 XL Jazz Xl Light Gr paquet 6 lames - 2,95m²</t>
  </si>
  <si>
    <t>Stratifié Ocean 8 XL Jazz Xl Sand Nat paquet 6 lames - 2,95m²</t>
  </si>
  <si>
    <t>Stratifié Ocean 8 XL Select Sand Nat paquet 6 lames - 2,95m²</t>
  </si>
  <si>
    <t>Stratifié Ocean 8 XL Select Light Brown paquet 6 lames - 2,95m²</t>
  </si>
  <si>
    <t>Le parquet stratifié Berry Alloc Ocean 8 V4 est un revêtement de sol stratifié moderne et polyvalente qui allie esthétique et fonctionnalité. Ce parquet stratifié est conçu pour répondre aux besoins de la vie contemporaine, offrant une élégance intemporelle avec ses lames mesurant 1288 x 190 mm et une épaisseur de 8 mm.
Sa classe d'usage 23/32 en fait un choix idéal tant pour les espaces résidentiels que commerciaux. Grâce à la technologie innovante Hydro+, le Berry Alloc Ocean 8 V4 se distingue par sa résistance exceptionnelle à l'humidité, permettant son installation dans des pièces comme la salle de bain, sans compromettre son allure sophistiquée. Cette caractéristique le rend également parfait pour la cuisine, le salon ou même la chambre, faisant de ce sol stratifié un choix incontournable pour toute la maison.
Avec ses 4 chanfreins, chaque lame crée un effet visuel attrayant, ajoutant une touche de raffinement rustique à votre décor. Classé AC4 pour sa résistance à l'abrasion, ce parquet stratifié rustique est conçu pour durer, garantissant une beauté durable au fil des ans. De plus, il bénéficie d'une garantie à vie pour un usage domestique et d'une garantie de 5 ans pour un usage commercial, témoignant de sa qualité supérieure.
Le Berry Alloc Ocean 8 V4 incarne à la fois l’élégance d’un stratifié moderne et le charme d’un stratifié authentique. Ses finitions soignées et ses décors inspirés du bois véritable offrent un rendu chaleureux et naturel, tout en s’intégrant parfaitement aux intérieurs les plus contemporains. Ce mélange subtil de style et de réalisme en fait un revêtement de sol aussi esthétique que polyvalent.
Ce produit est compatible avec les systèmes de chauffage au sol hydrauliques basse température (hors chauffage électrique). Le bois utilisé est certifié PEFC, garantissant qu’il provient de forêts gérées durablement et selon des pratiques respectueuses de l’environnement.
Enfin, classé A+ pour les émissions intérieures, le Berry Alloc Ocean 8 V4 assure un environnement sain pour vous et votre famille. Optez pour ce sol stratifié qui allie modernité et durabilité avec élégance, et transformez vos espaces en véritables chefs-d'œuvre de design.</t>
  </si>
  <si>
    <t>Adapté aux pièces humides dont la salle de bain
Doté de 4 chanfreins pour un rendu esthétique
Usage résidentiel et commercial (Classe d’usage 23/32)
Résistant, stable et durable : AC4
Garanti à vie en usage résidentiel</t>
  </si>
  <si>
    <t xml:space="preserve">
19 cm x 128,8 cm</t>
  </si>
  <si>
    <t>Majesty Nat</t>
  </si>
  <si>
    <t>Gyant Light</t>
  </si>
  <si>
    <t>Gyant Nat</t>
  </si>
  <si>
    <t>Teak Brown</t>
  </si>
  <si>
    <t>Charme Black</t>
  </si>
  <si>
    <t>Bloom Nat</t>
  </si>
  <si>
    <t>Warm Nat</t>
  </si>
  <si>
    <t>Canyon Light</t>
  </si>
  <si>
    <t>Canyon Nat</t>
  </si>
  <si>
    <t>Charme White</t>
  </si>
  <si>
    <t>Chestnut White</t>
  </si>
  <si>
    <t>Crush Light</t>
  </si>
  <si>
    <t>Crush Nat</t>
  </si>
  <si>
    <t>Elm Light</t>
  </si>
  <si>
    <t>Epic Brown</t>
  </si>
  <si>
    <t>Epic Gr</t>
  </si>
  <si>
    <t>Retro Chic BlueGr</t>
  </si>
  <si>
    <t>Texas Light Nat</t>
  </si>
  <si>
    <t>Bloom Light Brown</t>
  </si>
  <si>
    <t>Bloom Light Nat</t>
  </si>
  <si>
    <t>Bloom Sand Nat</t>
  </si>
  <si>
    <t>Bloom Silver Gr</t>
  </si>
  <si>
    <t>Bloom Warm Nat</t>
  </si>
  <si>
    <t>Crush Brown Nat</t>
  </si>
  <si>
    <t xml:space="preserve">Texas Brown </t>
  </si>
  <si>
    <t>Epic Light</t>
  </si>
  <si>
    <t>Gyant Light Nat</t>
  </si>
  <si>
    <t>Gyant Light Sand</t>
  </si>
  <si>
    <t>Gyant Sand Nat</t>
  </si>
  <si>
    <t>Gyant Warm Brown</t>
  </si>
  <si>
    <t>Gyant Warm Nat</t>
  </si>
  <si>
    <t>Java Brown</t>
  </si>
  <si>
    <t>Jazz Light Gr</t>
  </si>
  <si>
    <t>Jazz Sand Nat</t>
  </si>
  <si>
    <t>Ragnar Light Sand</t>
  </si>
  <si>
    <t>Ragnar Warm Nat</t>
  </si>
  <si>
    <t>Select Light Brown</t>
  </si>
  <si>
    <t>Select Light Sand</t>
  </si>
  <si>
    <t>Select Nat</t>
  </si>
  <si>
    <t>Select Sand Nat</t>
  </si>
  <si>
    <t>Texas Gr</t>
  </si>
  <si>
    <t xml:space="preserve">Epic Nat </t>
  </si>
  <si>
    <t xml:space="preserve">Gyant Brown Nat </t>
  </si>
  <si>
    <t>Java Nat</t>
  </si>
  <si>
    <t>Charme Light Nat</t>
  </si>
  <si>
    <t>Gyant D Brown</t>
  </si>
  <si>
    <t>Gyant Light Gr</t>
  </si>
  <si>
    <t>Java Light Gr</t>
  </si>
  <si>
    <t>Texas Light Brown</t>
  </si>
  <si>
    <t xml:space="preserve"> Merbau Brown </t>
  </si>
  <si>
    <t>Light Gr</t>
  </si>
  <si>
    <t>Le parquet stratifié Berry Alloc Ocean 8 XL est un sol stratifié qui marie élégance moderne et fonctionnalité remarquable. Avec ses lames de grandes dimensions de 2038 x 241 mm et son épaisseur de 8 mm, ce revêtement de sol stratifié est conçu pour sublimer chaque pièce de votre maison.
Profitez d'un parquet stratifié qui résiste aux aléas du quotidien grâce à sa classe d'usage 23/32 et sa résistance à l'abrasion AC4. Que ce soit pour le salon, la chambre, ou même la cuisine et la salle de bain, la technologie hydro+ garantit une protection contre l'humidité, faisant du Berry Alloc Ocean 8 XL le choix idéal pour toutes les pièces.
Avec son classement A+ pour les émissions intérieures, ce sol stratifié moderne assure un environnement sain dans votre espace de vie. Les 4 chanfreins ajoutent une touche de sophistication, créant un effet visuel élégant qui attire le regard. De plus, vous bénéficiez d'une garantie à vie pour un usage domestique et d'une garantie de 5 ans pour un usage commercial, vous assurant ainsi une tranquillité d'esprit durable.
Le Berry Alloc Ocean 8 XL n'est pas seulement un revêtement de sol, c'est une déclaration de style qui allie durabilité et esthétique. Faites passer votre décoration intérieure au niveau supérieur avec ce stratifié moderne et transformez vos espaces en véritables havres de paix.
Le Berry Alloc Ocean 8 XL séduit par son esthétique raffinée digne d’un stratifié moderne, tout en préservant le charme naturel d’un stratifié authentique. Ses décors réalistes évoquent la texture et la chaleur du bois véritable, apportant du caractère à vos pièces sans compromettre la simplicité d’un design contemporain. Ce mariage subtil entre modernité et authenticité en fait un choix idéal pour un intérieur à la fois tendance et chaleureux.
Ce produit est compatible avec les systèmes de chauffage au sol hydrauliques basse température (hors chauffage électrique). Le bois utilisé est certifié PEFC, garantissant qu’il provient de forêts gérées durablement et selon des pratiques respectueuses de l’environnement.
Optez pour la différence avec le Berry Alloc Ocean 8 XL où innovation et design se rencontrent pour offrir un sol stratifié qui répond à toutes vos attentes.
Meilleur prix garanti
Meilleur prix garanti
Sur nos 25 000 produits !
Devis gratuit
Devis gratuit
Obtenez votre offre personnalisée !
Service échantillons
Service échantillons
Commandez jusqu'à 5 échantillons !
Contact
location
2 chemin de la Blanchisserie
59400 Cambrai
location
09 70 46 48 38
location
info@bricoflor.fr
Facebook icon Pinterest icon YouTube icon Instagram icon
Countries
Austrian Store Logo
Belgium Store Logo
English Store Logo
Czech-Republic Store Logo
German Store Logo
Spanish Store Logo
Finnish Store Logo
France Store Logo
Italian Store Logo
Netherlands Store Logo
Polish Store Logo
Portuguese Store Logo
Sweden Store Logo
Du nouveau sur notre blog !
Aménagez une terrasse tendance avec un petit budget !
Quand les beaux jours arrivent, on a envie de profiter......
Découvrez les différentes gammes de linoléum naturel de la marque Forbo
Le linoléum naturel est un revêtement de sol qui a......
Newsletter
Restez informé !
Profitez de nos offres exclusives
Catégories les plus populaires
Revêtements de sol
Sol vinyle rouleau
Lame PVC clipsable
Dalle PVC
Dalle de moquette
Sol linoléum naturel
Parquet stratifié
Sol en liège
Gazon synthétique
Papier peint
Lame PVC
Lame PVC adhésive
Dalle PVC garage
Moquette
Sol naturel (sisal, etc.)
Parquet contrecollé
Moquette aiguilletée
Carrelage
Notre société
Qui sommes-nous ?
Facebook
YouTube
Pinterest
Instagram
Notre blog
Newsletter
Conditions générales de vente (CGV)
Avis clients
Mentions légales
Droit de rétractation
Service
500€ de cashback
Contact
Garantie du meilleur prix
Service échantillons
Devis gratuit
Comment commander ?
Méthodes de paiement
Frais de livraison
Bons d'achat / Cartes cadeaux
Avi</t>
  </si>
  <si>
    <t>Adapté aux pièces humides dont la salle de bain
Lames extra longues et larges pour un rendu spectaculaire
Doté de 4 chanfreins pour un rendu esthétique
Usage résidentiel et commercial (Classe d’usage 23/32)
Résistant, stable et durable : AC4
Garanti à vie en usage résidentiel</t>
  </si>
  <si>
    <t xml:space="preserve">
203,8 x 24,1 cm</t>
  </si>
  <si>
    <t xml:space="preserve"> Bloom Sand Nat</t>
  </si>
  <si>
    <t>Light Sand</t>
  </si>
  <si>
    <t>Warm Brown</t>
  </si>
  <si>
    <t xml:space="preserve">Sand Nat </t>
  </si>
  <si>
    <t xml:space="preserve">Select Sand Nat </t>
  </si>
  <si>
    <t xml:space="preserve">
21,1 kg</t>
  </si>
  <si>
    <t>EXCLUSIFS</t>
  </si>
  <si>
    <t>Parquet contrecollé Exclusif Reg Long Pampa Nat01 paquet 8 lames - 2,06m²</t>
  </si>
  <si>
    <t>Parquet contrecollé Exclusif Reg Long Chêne Pur 01 paquet 8 lames - 2,06m²</t>
  </si>
  <si>
    <t>Parquet contrecollé Exclusif Reg Long Chêne Nat01 paquet 8 lames - 2,06m²</t>
  </si>
  <si>
    <t>Parquet contrecollé Exclusif Reg Long Perenne Nat01 paquet 8 lames - 2,06m²</t>
  </si>
  <si>
    <t>Parquet contrecollé Exclusif Reg Long Chêne Aut01 paquet 8 lames - 2,06m²</t>
  </si>
  <si>
    <t>Parquet contrecollé Exclusif Reg Long Toundra Aut01 paquet 8 lames - 2,06m²</t>
  </si>
  <si>
    <t>Parquet contrecollé Exclusif Reg Long Perenne Aut01 paquet 8 lames - 2,06m²</t>
  </si>
  <si>
    <t>Parquet contrecollé Exclusif Reg Long Lumia Aut01 paquet 8 lames - 2,06m²</t>
  </si>
  <si>
    <t>Parquet contrecollé Exclusif Reg Long Cashemire Nat02 paquet 8 lames - 2,06m²</t>
  </si>
  <si>
    <t>Parquet contrecollé Exclusif Reg Long Perenne Pur 01 paquet 8 lames - 2,06m²</t>
  </si>
  <si>
    <t>Les Exclusifs se déploient en 10 teintes premium avec un effet de profondeur accru. Lagune, Taïga, Canopée… Le nom de chaque teinte s’inspire des grands espaces naturels. Découvrez Ultimtec : une finition au vernis extra mat. Toute la transparence et la beauté d'un parquet huilé, la résistance et la facilité d’entretien en plus.
Les Exclusifs sont disponibles en 4 formats de lames XXL tant en largeur qu’en longueur: XXL, Regular Long, XL Long, XXL Long.</t>
  </si>
  <si>
    <t>BestLoc X-Treme, à plat, sans colle, sans outils</t>
  </si>
  <si>
    <t>1 980 x 130 mm</t>
  </si>
  <si>
    <t>21,9 kg</t>
  </si>
  <si>
    <t>Pampa</t>
  </si>
  <si>
    <t>Chêne pur</t>
  </si>
  <si>
    <t>Chêne naturel</t>
  </si>
  <si>
    <t>Perenne nat</t>
  </si>
  <si>
    <t>Chêne Authentique</t>
  </si>
  <si>
    <t>Toundra Aut</t>
  </si>
  <si>
    <t>Perenne Aut</t>
  </si>
  <si>
    <t>Lumia Aut</t>
  </si>
  <si>
    <t>Cashemire Nat</t>
  </si>
  <si>
    <t>Perenne pur</t>
  </si>
  <si>
    <t>2 chanfreins</t>
  </si>
  <si>
    <t>Parquet PEFC, Parquet fabriqué avec du bois en provenance de France, Bois véritable, résistant à l'eau, facile à installer, facile à nettoyer</t>
  </si>
  <si>
    <t>VENTES FLASH</t>
  </si>
  <si>
    <t>Brossé</t>
  </si>
  <si>
    <t>Brossé extra mat</t>
  </si>
  <si>
    <t>Mortier colle KERAFIX BLANC             SAC 25 KG</t>
  </si>
  <si>
    <t>Mortier colle KERAFIX GRIS              SAC 25 KG</t>
  </si>
  <si>
    <t>Le mortier-colle amélioré C2TE Kerafix Extra de Mapei est utilisé pour la pose de carrelage et de pierre naturelle sur sols intérieurs et extérieurs, ainsi que sur murs intérieurs. Il est également adapté à la pose de carrelage de porosité supérieure à 0,5 % dans une piscine. Ce mortier est compatible avec une variété de supports, allant des enduits de ciment, béton banché, plaques de plâtre et anciens carrelages, jusqu'aux systèmes d'étanchéité comme Mapelastic Aquadefense et Mapelastic Smart.</t>
  </si>
  <si>
    <t>Sac 25kg</t>
  </si>
  <si>
    <t>Conseils d'utilisation :
- Taux de gâchage : gris : 6,75 à 7,5 l/blanc : 6,5 à 7,25 l
- Temps ouvert : 30 minutes
Durée d'utilisation de la gâchée : environ 3 heures
- Délai d'ajustabilité : environ 45 minutes
- Délai avant jointoiement : 24 heures minimum
- Ouverture au traif piétonnier : 24 à 48 heures après jointoiement
- Consommation : 3,5 à 7 kg/m² en simple encollage, 5 à 8 kg/m² en double encollage
- Conditionnement : Sac de 25 kg à ouverture facile
- Stockage : 12 mois à l'abri de l'humidité en emballage d'origine non entamé</t>
  </si>
  <si>
    <t>Mortier colle amélioré et déformable, à consistance variable (normale ou fluide), destiné à la pose de carrelage en sol et mur intérieurs et extérieurs. Convient aux carrelages de toutes porosités (Grés cérame, faïence, pierres naturelles, pâte de verre, ...) Peut se travailler en double gâchage: normal ou fluide Spécial plancher chauffant, façade et carreaux XXL (jusqu'à 30 000cm²). Classement: C2ES1 Mention légales : Dangereux. Respecter les précautions d’usage.</t>
  </si>
  <si>
    <t>17.36</t>
  </si>
  <si>
    <t>41.58333333</t>
  </si>
  <si>
    <t>49.9</t>
  </si>
  <si>
    <t>21.56</t>
  </si>
  <si>
    <t>45.75</t>
  </si>
  <si>
    <t>54.9</t>
  </si>
  <si>
    <t>10.16</t>
  </si>
  <si>
    <t>27.6</t>
  </si>
  <si>
    <t>33.12</t>
  </si>
  <si>
    <t>12.37</t>
  </si>
  <si>
    <t>31.19166667</t>
  </si>
  <si>
    <t>37.43</t>
  </si>
  <si>
    <t>13.78</t>
  </si>
  <si>
    <t>34.79166667</t>
  </si>
  <si>
    <t>41.75</t>
  </si>
  <si>
    <t>15.99</t>
  </si>
  <si>
    <t>40.79166667</t>
  </si>
  <si>
    <t>48.95</t>
  </si>
  <si>
    <t>35.56</t>
  </si>
  <si>
    <t>68.8</t>
  </si>
  <si>
    <t>82.56</t>
  </si>
  <si>
    <t>49.84</t>
  </si>
  <si>
    <t>98.9</t>
  </si>
  <si>
    <t>118.68</t>
  </si>
  <si>
    <t>40.53</t>
  </si>
  <si>
    <t>38.69</t>
  </si>
  <si>
    <t>77.4</t>
  </si>
  <si>
    <t>92.88</t>
  </si>
  <si>
    <t>Par pièce</t>
  </si>
  <si>
    <t>Mur salle de bains</t>
  </si>
  <si>
    <t>Cuisine / sdb / salon / chambre / WC</t>
  </si>
  <si>
    <t>Carrelage extérieur</t>
  </si>
  <si>
    <t>Salon / chambre / cuisine</t>
  </si>
  <si>
    <t>Lappatto</t>
  </si>
  <si>
    <t>Colle carrelage en poudre KERAFLEX EXTRA S BLANC         SAC 25 KG</t>
  </si>
  <si>
    <t>Colle carrelage en poudre KERAFLEX  EASY S GRIS          SAC 25 KG</t>
  </si>
  <si>
    <t>Baignoire d'angle en acrylique CORNER</t>
  </si>
  <si>
    <t>Titanium</t>
  </si>
  <si>
    <t>Vert sauge</t>
  </si>
  <si>
    <t>SDB701</t>
  </si>
  <si>
    <t>SDB702</t>
  </si>
  <si>
    <t>SDB703</t>
  </si>
  <si>
    <t>SDB704</t>
  </si>
  <si>
    <t>SDB705</t>
  </si>
  <si>
    <t>SDB706</t>
  </si>
  <si>
    <t>SDB707</t>
  </si>
  <si>
    <t>SDB708</t>
  </si>
  <si>
    <t>SDB709</t>
  </si>
  <si>
    <t>SDB710</t>
  </si>
  <si>
    <t>SDB711</t>
  </si>
  <si>
    <t>SDB712</t>
  </si>
  <si>
    <t>SDB713</t>
  </si>
  <si>
    <t>SDB714</t>
  </si>
  <si>
    <t>SDB715</t>
  </si>
  <si>
    <t>SDB716</t>
  </si>
  <si>
    <t>SDB717</t>
  </si>
  <si>
    <t>SDB718</t>
  </si>
  <si>
    <t>SDB719</t>
  </si>
  <si>
    <t>CORNER</t>
  </si>
  <si>
    <t>8445583509137</t>
  </si>
  <si>
    <t>8445583509144</t>
  </si>
  <si>
    <t>8445583509151</t>
  </si>
  <si>
    <t>8445583509168</t>
  </si>
  <si>
    <t>8445583509175</t>
  </si>
  <si>
    <t>8445583509182</t>
  </si>
  <si>
    <t>8445583509212</t>
  </si>
  <si>
    <t>8445583509229</t>
  </si>
  <si>
    <t>8445583509236</t>
  </si>
  <si>
    <t>8445583509243</t>
  </si>
  <si>
    <t>8445583509250</t>
  </si>
  <si>
    <t>8445583509267</t>
  </si>
  <si>
    <t>8445583509274</t>
  </si>
  <si>
    <t>8445583509281</t>
  </si>
  <si>
    <t>8445583509298</t>
  </si>
  <si>
    <t>8445583509304</t>
  </si>
  <si>
    <t>8445583509311</t>
  </si>
  <si>
    <t>8445583509328</t>
  </si>
  <si>
    <t>Baignoire encastrée en acrylique, idéale pour s'intégrer dans des espaces fonctionnels,
Corner rejoint la révolution des baignoires en matériaux avancés qui s'imposent dans les salles de bains les plus spéciales, Corner est notre pari en acrylique pour les baignoires à encastrer et il est disponible aussi bien à gauche qu'à droite pour une plus grande capacité d'adaptation aux projets, Son matériau acrylique le rend plus léger sans perdre la résistance qui caractérise notre matériau, ce qui facilite son installation, C'est aussi un puissant outil de décoration, avec 12 teintes standard pour l'intérieur et 7 teintes métallisées disponibles pour l'extérieur,</t>
  </si>
  <si>
    <t>70x170cm</t>
  </si>
  <si>
    <t>New pearl</t>
  </si>
  <si>
    <t>Creme</t>
  </si>
  <si>
    <t>Petites etiquettes a intégrer: Trop-plein / Antibactérien / Nettoyage facile / Garantie 3 ans / Texture soft</t>
  </si>
  <si>
    <t>Lavabo mural compact DANIA</t>
  </si>
  <si>
    <t>Lavabo mural compact aux lignes douces, idéal pour les salles de bains fonctionnelles,
DANIA est un lavabo mural qui se distingue par sa forme ovale et ses lignes courbes, Il peut être personnalisé avec de multiples teintes à l'intérieur et à l'extérieur, avec des options plus audacieuses comme le bleu ou le vert, ou avec des couleurs métalliques sur la face extérieure, DANIA se distingue par sa praticité, car il peut être placé sur n'importe quel mur de la salle de bains, L'aspect léger de notre matériau Solid Surface s'accompagne d'une grande résistance,</t>
  </si>
  <si>
    <t>SDB720</t>
  </si>
  <si>
    <t>SDB721</t>
  </si>
  <si>
    <t>SDB722</t>
  </si>
  <si>
    <t>SDB723</t>
  </si>
  <si>
    <t>SDB724</t>
  </si>
  <si>
    <t>SDB725</t>
  </si>
  <si>
    <t>SDB726</t>
  </si>
  <si>
    <t>SDB727</t>
  </si>
  <si>
    <t>SDB729</t>
  </si>
  <si>
    <t>SDB730</t>
  </si>
  <si>
    <t>SDB731</t>
  </si>
  <si>
    <t>SDB732</t>
  </si>
  <si>
    <t>SDB733</t>
  </si>
  <si>
    <t>SDB734</t>
  </si>
  <si>
    <t>SDB735</t>
  </si>
  <si>
    <t>SDB736</t>
  </si>
  <si>
    <t>SDB737</t>
  </si>
  <si>
    <t>SDB738</t>
  </si>
  <si>
    <t>SDB739</t>
  </si>
  <si>
    <t>DANIA</t>
  </si>
  <si>
    <t>8445583457094</t>
  </si>
  <si>
    <t>8445583457483</t>
  </si>
  <si>
    <t>8445583478136</t>
  </si>
  <si>
    <t>8445583478143</t>
  </si>
  <si>
    <t>8445583478150</t>
  </si>
  <si>
    <t>8445583478167</t>
  </si>
  <si>
    <t>8445583478174</t>
  </si>
  <si>
    <t>8445583478181</t>
  </si>
  <si>
    <t>8445583478204</t>
  </si>
  <si>
    <t>8445583478211</t>
  </si>
  <si>
    <t>8445583478228</t>
  </si>
  <si>
    <t>8445583478235</t>
  </si>
  <si>
    <t>8445583478242</t>
  </si>
  <si>
    <t>8445583478259</t>
  </si>
  <si>
    <t>8445583478266</t>
  </si>
  <si>
    <t>8445583478273</t>
  </si>
  <si>
    <t>8445583478280</t>
  </si>
  <si>
    <t>8445583478297</t>
  </si>
  <si>
    <t>8445583478303</t>
  </si>
  <si>
    <t>Salle de bains&gt;Lababo</t>
  </si>
  <si>
    <t>50x30cm</t>
  </si>
  <si>
    <t>Solid surface</t>
  </si>
  <si>
    <t>Petites etiquettes a intégrer: Antibactérien / Nettoyage facile / Garantie 3 ans / Texture soft</t>
  </si>
  <si>
    <t>Couleur burger</t>
  </si>
  <si>
    <t>Jaune</t>
  </si>
  <si>
    <t>vert</t>
  </si>
  <si>
    <t>violet</t>
  </si>
  <si>
    <t>jaune</t>
  </si>
  <si>
    <t>rose</t>
  </si>
  <si>
    <t>Alabaster</t>
  </si>
  <si>
    <t>Couleur Burger</t>
  </si>
  <si>
    <t>Beige/Marron naturel</t>
  </si>
  <si>
    <t>Style décoratif</t>
  </si>
  <si>
    <t>Rustique / Vintage / Méditerranéen</t>
  </si>
  <si>
    <t>Industriel / Minimaliste / Moderne</t>
  </si>
  <si>
    <t>Méditerranéen</t>
  </si>
  <si>
    <t>Art Déco</t>
  </si>
  <si>
    <t>Industriel / Rustique / Méditerranéen / Vintage</t>
  </si>
  <si>
    <t>Minimaliste / Moderne</t>
  </si>
  <si>
    <t>Industriel</t>
  </si>
  <si>
    <t>Industriel  Minimaliste / Moderne</t>
  </si>
  <si>
    <t>Art Déco / moderne</t>
  </si>
  <si>
    <t>Rustique</t>
  </si>
  <si>
    <t>Minimaliste</t>
  </si>
  <si>
    <t>Industriel / Moderne</t>
  </si>
  <si>
    <t>Industriel / Mediterrannéen</t>
  </si>
  <si>
    <t>Rustique / Art Déco</t>
  </si>
  <si>
    <t>Vintage / Art deco</t>
  </si>
  <si>
    <t>Art deco</t>
  </si>
  <si>
    <t>Mediterrannéen</t>
  </si>
  <si>
    <t>Moderne</t>
  </si>
  <si>
    <t>Minimaliste / moderne</t>
  </si>
  <si>
    <t>Mediterranéen / moderne</t>
  </si>
  <si>
    <t>Dimensions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</si>
</sst>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00"/>
    <numFmt numFmtId="165" formatCode="#,##0.00\ _€"/>
    <numFmt numFmtId="166" formatCode="0.000"/>
    <numFmt numFmtId="167" formatCode="#,##0.00\ &quot;€&quot;"/>
  </numFmts>
  <fonts count="2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u/>
      <sz val="11"/>
      <color theme="10"/>
      <name val="Calibri"/>
      <family val="2"/>
    </font>
    <font>
      <sz val="11"/>
      <color rgb="FF000000"/>
      <name val="Calibri"/>
      <family val="2"/>
    </font>
    <font>
      <b/>
      <sz val="11"/>
      <color theme="1"/>
      <name val="Calibri"/>
      <family val="2"/>
      <scheme val="minor"/>
    </font>
    <font>
      <sz val="10"/>
      <name val="Arial"/>
      <family val="2"/>
    </font>
    <font>
      <u/>
      <sz val="11"/>
      <color theme="10"/>
      <name val="Calibri"/>
      <family val="2"/>
      <scheme val="minor"/>
    </font>
    <font>
      <sz val="8"/>
      <name val="Calibri"/>
      <family val="2"/>
      <scheme val="minor"/>
    </font>
    <font>
      <sz val="11"/>
      <color theme="1"/>
      <name val="Poppins ExtraLight"/>
      <family val="2"/>
    </font>
    <font>
      <b/>
      <sz val="10"/>
      <color theme="1"/>
      <name val="Arial Nova"/>
      <family val="2"/>
    </font>
    <font>
      <sz val="8"/>
      <name val="Calibri"/>
      <family val="2"/>
      <scheme val="minor"/>
    </font>
    <font>
      <sz val="10"/>
      <color indexed="8"/>
      <name val="Arial"/>
      <family val="2"/>
    </font>
    <font>
      <b/>
      <sz val="11"/>
      <color theme="1"/>
      <name val="Calibri"/>
      <family val="2"/>
    </font>
    <font>
      <b/>
      <sz val="11"/>
      <color rgb="FFFF0000"/>
      <name val="Calibri"/>
      <family val="2"/>
    </font>
    <font>
      <b/>
      <sz val="11"/>
      <color rgb="FFFF0000"/>
      <name val="Calibri"/>
      <family val="2"/>
      <scheme val="minor"/>
    </font>
    <font>
      <b/>
      <u/>
      <sz val="11"/>
      <color theme="10"/>
      <name val="Calibri"/>
      <family val="2"/>
    </font>
    <font>
      <b/>
      <sz val="11"/>
      <color indexed="8"/>
      <name val="Calibri Light"/>
      <family val="2"/>
    </font>
    <font>
      <b/>
      <sz val="10"/>
      <color indexed="8"/>
      <name val="Calibri"/>
      <family val="2"/>
    </font>
    <font>
      <b/>
      <sz val="11"/>
      <name val="Calibri"/>
      <family val="2"/>
      <scheme val="minor"/>
    </font>
    <font>
      <b/>
      <u/>
      <sz val="11"/>
      <color theme="10"/>
      <name val="Calibri"/>
      <family val="2"/>
      <scheme val="minor"/>
    </font>
    <font>
      <sz val="11"/>
      <color rgb="FFFF0000"/>
      <name val="Calibri"/>
      <family val="2"/>
      <scheme val="minor"/>
    </font>
    <font>
      <sz val="11"/>
      <color rgb="FFFF0000"/>
      <name val="Calibri"/>
      <family val="2"/>
    </font>
  </fonts>
  <fills count="5">
    <fill>
      <patternFill patternType="none"/>
    </fill>
    <fill>
      <patternFill patternType="gray125"/>
    </fill>
    <fill>
      <patternFill patternType="solid">
        <fgColor rgb="FFE5DFEC"/>
        <bgColor rgb="FFE5DFEC"/>
      </patternFill>
    </fill>
    <fill>
      <patternFill patternType="solid">
        <fgColor theme="7" tint="0.79998168889431442"/>
        <bgColor indexed="64"/>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0C0C0"/>
      </left>
      <right style="thin">
        <color rgb="FFC0C0C0"/>
      </right>
      <top style="thin">
        <color rgb="FFC0C0C0"/>
      </top>
      <bottom style="thin">
        <color rgb="FFC0C0C0"/>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rgb="FF000000"/>
      </left>
      <right style="thin">
        <color rgb="FF000000"/>
      </right>
      <top/>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s>
  <cellStyleXfs count="5">
    <xf numFmtId="0" fontId="0" fillId="0" borderId="0"/>
    <xf numFmtId="44" fontId="4" fillId="0" borderId="0" applyFont="0" applyFill="0" applyBorder="0" applyAlignment="0" applyProtection="0"/>
    <xf numFmtId="0" fontId="10" fillId="0" borderId="0" applyNumberFormat="0" applyFill="0" applyBorder="0" applyAlignment="0" applyProtection="0"/>
    <xf numFmtId="0" fontId="12" fillId="0" borderId="2"/>
    <xf numFmtId="0" fontId="15" fillId="0" borderId="2"/>
  </cellStyleXfs>
  <cellXfs count="108">
    <xf numFmtId="0" fontId="0" fillId="0" borderId="0" xfId="0"/>
    <xf numFmtId="0" fontId="3" fillId="0" borderId="1" xfId="0" applyFont="1" applyBorder="1" applyAlignment="1">
      <alignment horizontal="center" vertical="top"/>
    </xf>
    <xf numFmtId="0" fontId="3" fillId="2" borderId="1" xfId="0" applyFont="1" applyFill="1" applyBorder="1" applyAlignment="1">
      <alignment horizontal="center" vertical="top"/>
    </xf>
    <xf numFmtId="0" fontId="4" fillId="0" borderId="0" xfId="0" applyFont="1"/>
    <xf numFmtId="0" fontId="5" fillId="0" borderId="0" xfId="0" applyFont="1" applyAlignment="1">
      <alignment vertical="top"/>
    </xf>
    <xf numFmtId="0" fontId="6" fillId="0" borderId="0" xfId="0" applyFont="1"/>
    <xf numFmtId="3" fontId="5" fillId="0" borderId="0" xfId="0" applyNumberFormat="1" applyFont="1" applyAlignment="1">
      <alignment horizontal="right" vertical="top"/>
    </xf>
    <xf numFmtId="0" fontId="5" fillId="2" borderId="2" xfId="0" applyFont="1" applyFill="1" applyBorder="1"/>
    <xf numFmtId="164" fontId="5" fillId="0" borderId="0" xfId="0" applyNumberFormat="1" applyFont="1" applyAlignment="1">
      <alignment horizontal="right" vertical="top"/>
    </xf>
    <xf numFmtId="2" fontId="5" fillId="0" borderId="0" xfId="0" applyNumberFormat="1" applyFont="1"/>
    <xf numFmtId="2" fontId="4" fillId="0" borderId="0" xfId="0" applyNumberFormat="1" applyFont="1"/>
    <xf numFmtId="4" fontId="5" fillId="0" borderId="0" xfId="0" applyNumberFormat="1" applyFont="1" applyAlignment="1">
      <alignment horizontal="right" vertical="top"/>
    </xf>
    <xf numFmtId="0" fontId="5" fillId="0" borderId="0" xfId="0" applyFont="1" applyAlignment="1">
      <alignment horizontal="right"/>
    </xf>
    <xf numFmtId="165" fontId="5" fillId="0" borderId="0" xfId="0" applyNumberFormat="1" applyFont="1" applyAlignment="1">
      <alignment horizontal="right"/>
    </xf>
    <xf numFmtId="0" fontId="7" fillId="0" borderId="0" xfId="0" applyFont="1"/>
    <xf numFmtId="1" fontId="5" fillId="0" borderId="0" xfId="0" applyNumberFormat="1" applyFont="1" applyAlignment="1">
      <alignment horizontal="left"/>
    </xf>
    <xf numFmtId="1" fontId="5" fillId="0" borderId="0" xfId="0" applyNumberFormat="1" applyFont="1"/>
    <xf numFmtId="0" fontId="5" fillId="0" borderId="0" xfId="0" applyFont="1" applyAlignment="1">
      <alignment horizontal="left"/>
    </xf>
    <xf numFmtId="9" fontId="5" fillId="0" borderId="0" xfId="0" applyNumberFormat="1" applyFont="1"/>
    <xf numFmtId="1" fontId="5" fillId="0" borderId="0" xfId="0" applyNumberFormat="1" applyFont="1" applyAlignment="1">
      <alignment horizontal="center" vertical="center" wrapText="1"/>
    </xf>
    <xf numFmtId="0" fontId="8" fillId="0" borderId="4" xfId="0" applyFont="1" applyBorder="1" applyAlignment="1">
      <alignment horizontal="center" vertical="top"/>
    </xf>
    <xf numFmtId="0" fontId="8" fillId="3" borderId="4" xfId="0" applyFont="1" applyFill="1" applyBorder="1" applyAlignment="1">
      <alignment horizontal="center" vertical="top"/>
    </xf>
    <xf numFmtId="0" fontId="0" fillId="0" borderId="0" xfId="0" applyAlignment="1">
      <alignment vertical="top"/>
    </xf>
    <xf numFmtId="44" fontId="0" fillId="0" borderId="0" xfId="1" applyFont="1"/>
    <xf numFmtId="9" fontId="0" fillId="0" borderId="0" xfId="0" applyNumberFormat="1"/>
    <xf numFmtId="3" fontId="0" fillId="0" borderId="0" xfId="0" applyNumberFormat="1" applyAlignment="1">
      <alignment horizontal="right" vertical="top"/>
    </xf>
    <xf numFmtId="0" fontId="9" fillId="0" borderId="0" xfId="0" applyFont="1" applyAlignment="1">
      <alignment vertical="top"/>
    </xf>
    <xf numFmtId="0" fontId="0" fillId="3" borderId="0" xfId="0" applyFill="1"/>
    <xf numFmtId="0" fontId="13" fillId="0" borderId="0" xfId="0" applyFont="1"/>
    <xf numFmtId="0" fontId="13" fillId="0" borderId="0" xfId="0" applyFont="1" applyAlignment="1">
      <alignment horizontal="center" vertical="center"/>
    </xf>
    <xf numFmtId="0" fontId="5" fillId="0" borderId="0" xfId="0" applyFont="1"/>
    <xf numFmtId="0" fontId="4" fillId="0" borderId="3" xfId="0" applyFont="1" applyBorder="1"/>
    <xf numFmtId="0" fontId="2" fillId="0" borderId="0" xfId="0" applyFont="1"/>
    <xf numFmtId="0" fontId="16" fillId="0" borderId="1" xfId="0" applyFont="1" applyBorder="1" applyAlignment="1">
      <alignment horizontal="center" vertical="top"/>
    </xf>
    <xf numFmtId="0" fontId="17" fillId="0" borderId="6" xfId="0" applyFont="1" applyBorder="1" applyAlignment="1">
      <alignment horizontal="center" vertical="top"/>
    </xf>
    <xf numFmtId="0" fontId="18" fillId="0" borderId="0" xfId="0" applyFont="1" applyAlignment="1">
      <alignment horizontal="center"/>
    </xf>
    <xf numFmtId="49" fontId="8" fillId="0" borderId="0" xfId="0" applyNumberFormat="1" applyFont="1" applyAlignment="1">
      <alignment horizontal="left" vertical="center" wrapText="1"/>
    </xf>
    <xf numFmtId="0" fontId="8" fillId="0" borderId="0" xfId="0" applyFont="1"/>
    <xf numFmtId="1" fontId="16" fillId="0" borderId="0" xfId="0" applyNumberFormat="1" applyFont="1" applyAlignment="1">
      <alignment horizontal="center" vertical="center" wrapText="1"/>
    </xf>
    <xf numFmtId="0" fontId="8" fillId="0" borderId="0" xfId="0" applyFont="1" applyAlignment="1">
      <alignment wrapText="1"/>
    </xf>
    <xf numFmtId="0" fontId="16" fillId="0" borderId="0" xfId="0" applyFont="1" applyAlignment="1">
      <alignment horizontal="left"/>
    </xf>
    <xf numFmtId="0" fontId="8" fillId="0" borderId="0" xfId="0" applyFont="1" applyAlignment="1">
      <alignment horizontal="left"/>
    </xf>
    <xf numFmtId="1" fontId="8" fillId="0" borderId="0" xfId="0" applyNumberFormat="1" applyFont="1" applyAlignment="1">
      <alignment horizontal="center" vertical="center" wrapText="1"/>
    </xf>
    <xf numFmtId="0" fontId="8" fillId="0" borderId="2" xfId="0" applyFont="1" applyBorder="1"/>
    <xf numFmtId="0" fontId="19" fillId="0" borderId="0" xfId="0" applyFont="1"/>
    <xf numFmtId="0" fontId="16" fillId="2" borderId="2" xfId="0" applyFont="1" applyFill="1" applyBorder="1"/>
    <xf numFmtId="0" fontId="20" fillId="0" borderId="5" xfId="4" applyFont="1" applyBorder="1"/>
    <xf numFmtId="0" fontId="8" fillId="0" borderId="0" xfId="0" applyFont="1" applyAlignment="1">
      <alignment horizontal="right"/>
    </xf>
    <xf numFmtId="0" fontId="20" fillId="0" borderId="5" xfId="4" applyFont="1" applyBorder="1" applyAlignment="1">
      <alignment horizontal="right"/>
    </xf>
    <xf numFmtId="0" fontId="16" fillId="0" borderId="2" xfId="0" applyFont="1" applyBorder="1"/>
    <xf numFmtId="0" fontId="8" fillId="0" borderId="0" xfId="0" applyFont="1" applyAlignment="1">
      <alignment horizontal="left" wrapText="1"/>
    </xf>
    <xf numFmtId="0" fontId="3" fillId="0" borderId="6" xfId="0" applyFont="1" applyBorder="1" applyAlignment="1">
      <alignment horizontal="center" vertical="top"/>
    </xf>
    <xf numFmtId="0" fontId="8" fillId="0" borderId="4" xfId="0" applyFont="1" applyBorder="1" applyAlignment="1">
      <alignment vertical="top"/>
    </xf>
    <xf numFmtId="0" fontId="8" fillId="0" borderId="0" xfId="0" applyFont="1" applyAlignment="1">
      <alignment horizontal="center"/>
    </xf>
    <xf numFmtId="0" fontId="8" fillId="3" borderId="0" xfId="0" applyFont="1" applyFill="1"/>
    <xf numFmtId="1" fontId="8" fillId="0" borderId="0" xfId="0" applyNumberFormat="1" applyFont="1"/>
    <xf numFmtId="0" fontId="23" fillId="0" borderId="0" xfId="2" applyFont="1"/>
    <xf numFmtId="0" fontId="13" fillId="0" borderId="0" xfId="0" applyFont="1" applyAlignment="1">
      <alignment horizontal="center"/>
    </xf>
    <xf numFmtId="166" fontId="13" fillId="0" borderId="0" xfId="0" applyNumberFormat="1" applyFont="1"/>
    <xf numFmtId="9" fontId="8" fillId="0" borderId="0" xfId="0" applyNumberFormat="1" applyFont="1"/>
    <xf numFmtId="0" fontId="23" fillId="0" borderId="0" xfId="2" applyFont="1" applyFill="1"/>
    <xf numFmtId="0" fontId="8" fillId="0" borderId="0" xfId="0" applyFont="1" applyAlignment="1">
      <alignment vertical="top"/>
    </xf>
    <xf numFmtId="3" fontId="8" fillId="0" borderId="0" xfId="0" applyNumberFormat="1" applyFont="1" applyAlignment="1">
      <alignment horizontal="right" vertical="top"/>
    </xf>
    <xf numFmtId="167" fontId="8" fillId="0" borderId="0" xfId="0" applyNumberFormat="1" applyFont="1" applyAlignment="1">
      <alignment vertical="top"/>
    </xf>
    <xf numFmtId="0" fontId="1" fillId="0" borderId="0" xfId="0" applyFont="1"/>
    <xf numFmtId="0" fontId="4" fillId="0" borderId="7" xfId="0" applyFont="1" applyBorder="1"/>
    <xf numFmtId="0" fontId="3" fillId="4" borderId="1" xfId="0" applyFont="1" applyFill="1" applyBorder="1" applyAlignment="1">
      <alignment horizontal="center" vertical="top"/>
    </xf>
    <xf numFmtId="0" fontId="5" fillId="4" borderId="0" xfId="0" applyFont="1" applyFill="1" applyAlignment="1">
      <alignment vertical="top"/>
    </xf>
    <xf numFmtId="0" fontId="5" fillId="4" borderId="2" xfId="0" applyFont="1" applyFill="1" applyBorder="1" applyAlignment="1">
      <alignment vertical="top"/>
    </xf>
    <xf numFmtId="0" fontId="1" fillId="4" borderId="0" xfId="0" applyFont="1" applyFill="1"/>
    <xf numFmtId="0" fontId="1" fillId="4" borderId="2" xfId="0" applyFont="1" applyFill="1" applyBorder="1"/>
    <xf numFmtId="0" fontId="4" fillId="4" borderId="0" xfId="0" applyFont="1" applyFill="1"/>
    <xf numFmtId="0" fontId="7" fillId="4" borderId="0" xfId="0" applyFont="1" applyFill="1"/>
    <xf numFmtId="0" fontId="8" fillId="4" borderId="0" xfId="0" applyFont="1" applyFill="1"/>
    <xf numFmtId="0" fontId="0" fillId="4" borderId="0" xfId="0" applyFill="1"/>
    <xf numFmtId="0" fontId="20" fillId="0" borderId="2" xfId="4" applyFont="1"/>
    <xf numFmtId="0" fontId="20" fillId="4" borderId="2" xfId="4" applyFont="1" applyFill="1"/>
    <xf numFmtId="0" fontId="8" fillId="4" borderId="2" xfId="0" applyFont="1" applyFill="1" applyBorder="1"/>
    <xf numFmtId="0" fontId="3" fillId="4" borderId="2" xfId="0" applyFont="1" applyFill="1" applyBorder="1"/>
    <xf numFmtId="0" fontId="20" fillId="0" borderId="9" xfId="4" applyFont="1" applyBorder="1"/>
    <xf numFmtId="0" fontId="20" fillId="0" borderId="10" xfId="4" applyFont="1" applyBorder="1"/>
    <xf numFmtId="0" fontId="3" fillId="4" borderId="6" xfId="0" applyFont="1" applyFill="1" applyBorder="1" applyAlignment="1">
      <alignment horizontal="center" vertical="top"/>
    </xf>
    <xf numFmtId="0" fontId="0" fillId="4" borderId="0" xfId="0" applyFill="1" applyAlignment="1">
      <alignment horizontal="left"/>
    </xf>
    <xf numFmtId="0" fontId="4" fillId="4" borderId="2" xfId="0" applyFont="1" applyFill="1" applyBorder="1"/>
    <xf numFmtId="0" fontId="7" fillId="4" borderId="2" xfId="0" applyFont="1" applyFill="1" applyBorder="1"/>
    <xf numFmtId="0" fontId="4" fillId="0" borderId="2" xfId="0" applyFont="1" applyBorder="1"/>
    <xf numFmtId="0" fontId="4" fillId="0" borderId="8" xfId="0" applyFont="1" applyBorder="1"/>
    <xf numFmtId="0" fontId="3" fillId="0" borderId="1" xfId="0" applyFont="1" applyBorder="1" applyAlignment="1">
      <alignment horizontal="right" vertical="top"/>
    </xf>
    <xf numFmtId="164" fontId="5" fillId="0" borderId="0" xfId="0" applyNumberFormat="1" applyFont="1" applyAlignment="1">
      <alignment horizontal="right"/>
    </xf>
    <xf numFmtId="0" fontId="4" fillId="0" borderId="0" xfId="0" applyFont="1" applyAlignment="1">
      <alignment horizontal="right"/>
    </xf>
    <xf numFmtId="164" fontId="25" fillId="0" borderId="0" xfId="0" applyNumberFormat="1" applyFont="1" applyAlignment="1">
      <alignment horizontal="right"/>
    </xf>
    <xf numFmtId="0" fontId="24" fillId="0" borderId="0" xfId="0" applyFont="1" applyAlignment="1">
      <alignment horizontal="right"/>
    </xf>
    <xf numFmtId="0" fontId="0" fillId="0" borderId="0" xfId="0" applyAlignment="1">
      <alignment horizontal="right"/>
    </xf>
    <xf numFmtId="2" fontId="4" fillId="0" borderId="0" xfId="0" applyNumberFormat="1" applyFont="1" applyAlignment="1">
      <alignment horizontal="right"/>
    </xf>
    <xf numFmtId="0" fontId="8" fillId="0" borderId="0" xfId="0" applyFont="1" applyBorder="1"/>
    <xf numFmtId="0" fontId="21" fillId="0" borderId="0" xfId="0" applyFont="1" applyBorder="1"/>
    <xf numFmtId="0" fontId="8" fillId="0" borderId="5" xfId="0" applyFont="1" applyBorder="1"/>
    <xf numFmtId="0" fontId="22" fillId="0" borderId="0" xfId="0" applyFont="1" applyBorder="1"/>
    <xf numFmtId="0" fontId="20" fillId="0" borderId="0" xfId="4" applyFont="1" applyBorder="1"/>
    <xf numFmtId="0" fontId="20" fillId="0" borderId="2" xfId="4" applyFont="1" applyBorder="1"/>
    <xf numFmtId="0" fontId="4" fillId="0" borderId="5" xfId="0" applyFont="1" applyBorder="1"/>
    <xf numFmtId="0" fontId="5" fillId="0" borderId="5" xfId="0" applyFont="1" applyBorder="1" applyAlignment="1">
      <alignment vertical="top"/>
    </xf>
    <xf numFmtId="0" fontId="20" fillId="4" borderId="0" xfId="4" applyFont="1" applyFill="1" applyBorder="1"/>
    <xf numFmtId="0" fontId="8" fillId="4" borderId="0" xfId="0" applyFont="1" applyFill="1" applyBorder="1"/>
    <xf numFmtId="0" fontId="20" fillId="0" borderId="0" xfId="4" applyFont="1" applyBorder="1" applyAlignment="1">
      <alignment horizontal="right"/>
    </xf>
    <xf numFmtId="0" fontId="8" fillId="0" borderId="5" xfId="0" applyFont="1" applyBorder="1" applyAlignment="1">
      <alignment horizontal="right"/>
    </xf>
    <xf numFmtId="165" fontId="16" fillId="0" borderId="0" xfId="0" applyNumberFormat="1" applyFont="1" applyBorder="1" applyAlignment="1">
      <alignment horizontal="right"/>
    </xf>
    <xf numFmtId="0" fontId="8" fillId="0" borderId="2" xfId="0" applyFont="1" applyBorder="1" applyAlignment="1">
      <alignment horizontal="right"/>
    </xf>
  </cellXfs>
  <cellStyles count="5">
    <cellStyle name="Lien hypertexte" xfId="2" builtinId="8"/>
    <cellStyle name="Monétaire" xfId="1" builtinId="4"/>
    <cellStyle name="Normal" xfId="0" builtinId="0"/>
    <cellStyle name="Normal 2" xfId="3" xr:uid="{9C874388-8362-4674-BD32-EE9ACB4A4D37}"/>
    <cellStyle name="Normale_Foglio1" xfId="4" xr:uid="{3CEF794E-E92D-485A-A032-F61C0E62646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68581</xdr:colOff>
      <xdr:row>703</xdr:row>
      <xdr:rowOff>102870</xdr:rowOff>
    </xdr:from>
    <xdr:to>
      <xdr:col>9</xdr:col>
      <xdr:colOff>419101</xdr:colOff>
      <xdr:row>705</xdr:row>
      <xdr:rowOff>134590</xdr:rowOff>
    </xdr:to>
    <xdr:pic>
      <xdr:nvPicPr>
        <xdr:cNvPr id="2" name="Image 1">
          <a:extLst>
            <a:ext uri="{FF2B5EF4-FFF2-40B4-BE49-F238E27FC236}">
              <a16:creationId xmlns:a16="http://schemas.microsoft.com/office/drawing/2014/main" id="{589D71D8-F5FE-1604-D600-EB5B25181C7F}"/>
            </a:ext>
          </a:extLst>
        </xdr:cNvPr>
        <xdr:cNvPicPr>
          <a:picLocks noChangeAspect="1"/>
        </xdr:cNvPicPr>
      </xdr:nvPicPr>
      <xdr:blipFill>
        <a:blip xmlns:r="http://schemas.openxmlformats.org/officeDocument/2006/relationships" r:embed="rId1"/>
        <a:stretch>
          <a:fillRect/>
        </a:stretch>
      </xdr:blipFill>
      <xdr:spPr>
        <a:xfrm>
          <a:off x="10984231" y="134024370"/>
          <a:ext cx="4503420" cy="408910"/>
        </a:xfrm>
        <a:prstGeom prst="rect">
          <a:avLst/>
        </a:prstGeom>
      </xdr:spPr>
    </xdr:pic>
    <xdr:clientData/>
  </xdr:twoCellAnchor>
  <xdr:twoCellAnchor editAs="oneCell">
    <xdr:from>
      <xdr:col>6</xdr:col>
      <xdr:colOff>0</xdr:colOff>
      <xdr:row>726</xdr:row>
      <xdr:rowOff>0</xdr:rowOff>
    </xdr:from>
    <xdr:to>
      <xdr:col>8</xdr:col>
      <xdr:colOff>834718</xdr:colOff>
      <xdr:row>728</xdr:row>
      <xdr:rowOff>53378</xdr:rowOff>
    </xdr:to>
    <xdr:pic>
      <xdr:nvPicPr>
        <xdr:cNvPr id="3" name="Image 2">
          <a:extLst>
            <a:ext uri="{FF2B5EF4-FFF2-40B4-BE49-F238E27FC236}">
              <a16:creationId xmlns:a16="http://schemas.microsoft.com/office/drawing/2014/main" id="{872728A1-B052-70DF-1E16-069668E7A1AA}"/>
            </a:ext>
          </a:extLst>
        </xdr:cNvPr>
        <xdr:cNvPicPr>
          <a:picLocks noChangeAspect="1"/>
        </xdr:cNvPicPr>
      </xdr:nvPicPr>
      <xdr:blipFill>
        <a:blip xmlns:r="http://schemas.openxmlformats.org/officeDocument/2006/relationships" r:embed="rId2"/>
        <a:stretch>
          <a:fillRect/>
        </a:stretch>
      </xdr:blipFill>
      <xdr:spPr>
        <a:xfrm>
          <a:off x="10915650" y="138303000"/>
          <a:ext cx="3787468" cy="43437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example.com/carrelage2.jpg" TargetMode="External"/><Relationship Id="rId1827" Type="http://schemas.openxmlformats.org/officeDocument/2006/relationships/hyperlink" Target="http://example.com/carrelage1.jpg" TargetMode="External"/><Relationship Id="rId21" Type="http://schemas.openxmlformats.org/officeDocument/2006/relationships/hyperlink" Target="http://example.com/carrelage3.jpg" TargetMode="External"/><Relationship Id="rId170" Type="http://schemas.openxmlformats.org/officeDocument/2006/relationships/hyperlink" Target="http://example.com/carrelage2.jpg" TargetMode="External"/><Relationship Id="rId268" Type="http://schemas.openxmlformats.org/officeDocument/2006/relationships/hyperlink" Target="http://example.com/carrelage1.jpg" TargetMode="External"/><Relationship Id="rId475" Type="http://schemas.openxmlformats.org/officeDocument/2006/relationships/hyperlink" Target="http://example.com/carrelage1.jpg" TargetMode="External"/><Relationship Id="rId682" Type="http://schemas.openxmlformats.org/officeDocument/2006/relationships/hyperlink" Target="http://example.com/carrelage1.jpg" TargetMode="External"/><Relationship Id="rId128" Type="http://schemas.openxmlformats.org/officeDocument/2006/relationships/hyperlink" Target="http://example.com/carrelage2.jpg" TargetMode="External"/><Relationship Id="rId335" Type="http://schemas.openxmlformats.org/officeDocument/2006/relationships/hyperlink" Target="http://example.com/carrelage2.jpg" TargetMode="External"/><Relationship Id="rId542" Type="http://schemas.openxmlformats.org/officeDocument/2006/relationships/hyperlink" Target="http://example.com/carrelage2.jpg" TargetMode="External"/><Relationship Id="rId987" Type="http://schemas.openxmlformats.org/officeDocument/2006/relationships/hyperlink" Target="http://example.com/carrelage3.jpg" TargetMode="External"/><Relationship Id="rId1172" Type="http://schemas.openxmlformats.org/officeDocument/2006/relationships/hyperlink" Target="http://example.com/carrelage3.jpg" TargetMode="External"/><Relationship Id="rId402" Type="http://schemas.openxmlformats.org/officeDocument/2006/relationships/hyperlink" Target="http://example.com/carrelage3.jpg" TargetMode="External"/><Relationship Id="rId847" Type="http://schemas.openxmlformats.org/officeDocument/2006/relationships/hyperlink" Target="http://example.com/carrelage1.jpg" TargetMode="External"/><Relationship Id="rId1032" Type="http://schemas.openxmlformats.org/officeDocument/2006/relationships/hyperlink" Target="http://example.com/carrelage3.jpg" TargetMode="External"/><Relationship Id="rId1477" Type="http://schemas.openxmlformats.org/officeDocument/2006/relationships/hyperlink" Target="http://example.com/carrelage2.jpg" TargetMode="External"/><Relationship Id="rId1684" Type="http://schemas.openxmlformats.org/officeDocument/2006/relationships/hyperlink" Target="http://example.com/carrelage2.jpg" TargetMode="External"/><Relationship Id="rId1891" Type="http://schemas.openxmlformats.org/officeDocument/2006/relationships/hyperlink" Target="http://example.com/carrelage2.jpg" TargetMode="External"/><Relationship Id="rId707" Type="http://schemas.openxmlformats.org/officeDocument/2006/relationships/hyperlink" Target="http://example.com/carrelage2.jpg" TargetMode="External"/><Relationship Id="rId914" Type="http://schemas.openxmlformats.org/officeDocument/2006/relationships/hyperlink" Target="http://example.com/carrelage2.jpg" TargetMode="External"/><Relationship Id="rId1337" Type="http://schemas.openxmlformats.org/officeDocument/2006/relationships/hyperlink" Target="http://example.com/carrelage3.jpg" TargetMode="External"/><Relationship Id="rId1544" Type="http://schemas.openxmlformats.org/officeDocument/2006/relationships/hyperlink" Target="http://example.com/carrelage3.jpg" TargetMode="External"/><Relationship Id="rId1751" Type="http://schemas.openxmlformats.org/officeDocument/2006/relationships/hyperlink" Target="http://example.com/carrelage3.jpg" TargetMode="External"/><Relationship Id="rId43" Type="http://schemas.openxmlformats.org/officeDocument/2006/relationships/hyperlink" Target="http://example.com/carrelage1.jpg" TargetMode="External"/><Relationship Id="rId1404" Type="http://schemas.openxmlformats.org/officeDocument/2006/relationships/hyperlink" Target="http://example.com/carrelage1.jpg" TargetMode="External"/><Relationship Id="rId1611" Type="http://schemas.openxmlformats.org/officeDocument/2006/relationships/hyperlink" Target="http://example.com/carrelage1.jpg" TargetMode="External"/><Relationship Id="rId1849" Type="http://schemas.openxmlformats.org/officeDocument/2006/relationships/hyperlink" Target="http://example.com/carrelage2.jpg" TargetMode="External"/><Relationship Id="rId192" Type="http://schemas.openxmlformats.org/officeDocument/2006/relationships/hyperlink" Target="http://example.com/carrelage3.jpg" TargetMode="External"/><Relationship Id="rId1709" Type="http://schemas.openxmlformats.org/officeDocument/2006/relationships/hyperlink" Target="http://example.com/carrelage3.jpg" TargetMode="External"/><Relationship Id="rId1916" Type="http://schemas.openxmlformats.org/officeDocument/2006/relationships/hyperlink" Target="http://example.com/carrelage3.jpg" TargetMode="External"/><Relationship Id="rId497" Type="http://schemas.openxmlformats.org/officeDocument/2006/relationships/hyperlink" Target="http://example.com/carrelage2.jpg" TargetMode="External"/><Relationship Id="rId357" Type="http://schemas.openxmlformats.org/officeDocument/2006/relationships/hyperlink" Target="http://example.com/carrelage3.jpg" TargetMode="External"/><Relationship Id="rId1194" Type="http://schemas.openxmlformats.org/officeDocument/2006/relationships/hyperlink" Target="http://example.com/carrelage1.jpg" TargetMode="External"/><Relationship Id="rId217" Type="http://schemas.openxmlformats.org/officeDocument/2006/relationships/hyperlink" Target="http://example.com/carrelage1.jpg" TargetMode="External"/><Relationship Id="rId564" Type="http://schemas.openxmlformats.org/officeDocument/2006/relationships/hyperlink" Target="http://example.com/carrelage3.jpg" TargetMode="External"/><Relationship Id="rId771" Type="http://schemas.openxmlformats.org/officeDocument/2006/relationships/hyperlink" Target="http://example.com/carrelage3.jpg" TargetMode="External"/><Relationship Id="rId869" Type="http://schemas.openxmlformats.org/officeDocument/2006/relationships/hyperlink" Target="http://example.com/carrelage2.jpg" TargetMode="External"/><Relationship Id="rId1499" Type="http://schemas.openxmlformats.org/officeDocument/2006/relationships/hyperlink" Target="http://example.com/carrelage3.jpg" TargetMode="External"/><Relationship Id="rId424" Type="http://schemas.openxmlformats.org/officeDocument/2006/relationships/hyperlink" Target="http://example.com/carrelage1.jpg" TargetMode="External"/><Relationship Id="rId631" Type="http://schemas.openxmlformats.org/officeDocument/2006/relationships/hyperlink" Target="http://example.com/carrelage1.jpg" TargetMode="External"/><Relationship Id="rId729" Type="http://schemas.openxmlformats.org/officeDocument/2006/relationships/hyperlink" Target="http://example.com/carrelage3.jpg" TargetMode="External"/><Relationship Id="rId1054" Type="http://schemas.openxmlformats.org/officeDocument/2006/relationships/hyperlink" Target="http://example.com/carrelage1.jpg" TargetMode="External"/><Relationship Id="rId1261" Type="http://schemas.openxmlformats.org/officeDocument/2006/relationships/hyperlink" Target="http://example.com/carrelage2.jpg" TargetMode="External"/><Relationship Id="rId1359" Type="http://schemas.openxmlformats.org/officeDocument/2006/relationships/hyperlink" Target="http://example.com/carrelage1.jpg" TargetMode="External"/><Relationship Id="rId936" Type="http://schemas.openxmlformats.org/officeDocument/2006/relationships/hyperlink" Target="http://example.com/carrelage3.jpg" TargetMode="External"/><Relationship Id="rId1121" Type="http://schemas.openxmlformats.org/officeDocument/2006/relationships/hyperlink" Target="http://example.com/carrelage3.jpg" TargetMode="External"/><Relationship Id="rId1219" Type="http://schemas.openxmlformats.org/officeDocument/2006/relationships/hyperlink" Target="http://example.com/carrelage2.jpg" TargetMode="External"/><Relationship Id="rId1566" Type="http://schemas.openxmlformats.org/officeDocument/2006/relationships/hyperlink" Target="http://example.com/carrelage1.jpg" TargetMode="External"/><Relationship Id="rId1773" Type="http://schemas.openxmlformats.org/officeDocument/2006/relationships/hyperlink" Target="http://example.com/carrelage1.jpg" TargetMode="External"/><Relationship Id="rId65" Type="http://schemas.openxmlformats.org/officeDocument/2006/relationships/hyperlink" Target="http://example.com/carrelage2.jpg" TargetMode="External"/><Relationship Id="rId1426" Type="http://schemas.openxmlformats.org/officeDocument/2006/relationships/hyperlink" Target="http://example.com/carrelage2.jpg" TargetMode="External"/><Relationship Id="rId1633" Type="http://schemas.openxmlformats.org/officeDocument/2006/relationships/hyperlink" Target="http://example.com/carrelage2.jpg" TargetMode="External"/><Relationship Id="rId1840" Type="http://schemas.openxmlformats.org/officeDocument/2006/relationships/hyperlink" Target="http://example.com/carrelage2.jpg" TargetMode="External"/><Relationship Id="rId1700" Type="http://schemas.openxmlformats.org/officeDocument/2006/relationships/hyperlink" Target="http://example.com/carrelage3.jpg" TargetMode="External"/><Relationship Id="rId1938" Type="http://schemas.openxmlformats.org/officeDocument/2006/relationships/hyperlink" Target="http://example.com/carrelage1.jpg" TargetMode="External"/><Relationship Id="rId281" Type="http://schemas.openxmlformats.org/officeDocument/2006/relationships/hyperlink" Target="http://example.com/carrelage2.jpg" TargetMode="External"/><Relationship Id="rId141" Type="http://schemas.openxmlformats.org/officeDocument/2006/relationships/hyperlink" Target="http://example.com/carrelage3.jpg" TargetMode="External"/><Relationship Id="rId379" Type="http://schemas.openxmlformats.org/officeDocument/2006/relationships/hyperlink" Target="http://example.com/carrelage1.jpg" TargetMode="External"/><Relationship Id="rId586" Type="http://schemas.openxmlformats.org/officeDocument/2006/relationships/hyperlink" Target="http://example.com/carrelage1.jpg" TargetMode="External"/><Relationship Id="rId793" Type="http://schemas.openxmlformats.org/officeDocument/2006/relationships/hyperlink" Target="http://example.com/carrelage1.jpg" TargetMode="External"/><Relationship Id="rId7" Type="http://schemas.openxmlformats.org/officeDocument/2006/relationships/hyperlink" Target="http://example.com/carrelage1.jpg" TargetMode="External"/><Relationship Id="rId239" Type="http://schemas.openxmlformats.org/officeDocument/2006/relationships/hyperlink" Target="http://example.com/carrelage2.jpg" TargetMode="External"/><Relationship Id="rId446" Type="http://schemas.openxmlformats.org/officeDocument/2006/relationships/hyperlink" Target="http://example.com/carrelage2.jpg" TargetMode="External"/><Relationship Id="rId653" Type="http://schemas.openxmlformats.org/officeDocument/2006/relationships/hyperlink" Target="http://example.com/carrelage2.jpg" TargetMode="External"/><Relationship Id="rId1076" Type="http://schemas.openxmlformats.org/officeDocument/2006/relationships/hyperlink" Target="http://example.com/carrelage2.jpg" TargetMode="External"/><Relationship Id="rId1283" Type="http://schemas.openxmlformats.org/officeDocument/2006/relationships/hyperlink" Target="http://example.com/carrelage3.jpg" TargetMode="External"/><Relationship Id="rId1490" Type="http://schemas.openxmlformats.org/officeDocument/2006/relationships/hyperlink" Target="http://example.com/carrelage3.jpg" TargetMode="External"/><Relationship Id="rId306" Type="http://schemas.openxmlformats.org/officeDocument/2006/relationships/hyperlink" Target="http://example.com/carrelage3.jpg" TargetMode="External"/><Relationship Id="rId860" Type="http://schemas.openxmlformats.org/officeDocument/2006/relationships/hyperlink" Target="http://example.com/carrelage2.jpg" TargetMode="External"/><Relationship Id="rId958" Type="http://schemas.openxmlformats.org/officeDocument/2006/relationships/hyperlink" Target="http://example.com/carrelage1.jpg" TargetMode="External"/><Relationship Id="rId1143" Type="http://schemas.openxmlformats.org/officeDocument/2006/relationships/hyperlink" Target="http://example.com/carrelage1.jpg" TargetMode="External"/><Relationship Id="rId1588" Type="http://schemas.openxmlformats.org/officeDocument/2006/relationships/hyperlink" Target="http://example.com/carrelage2.jpg" TargetMode="External"/><Relationship Id="rId1795" Type="http://schemas.openxmlformats.org/officeDocument/2006/relationships/hyperlink" Target="http://example.com/carrelage2.jpg" TargetMode="External"/><Relationship Id="rId87" Type="http://schemas.openxmlformats.org/officeDocument/2006/relationships/hyperlink" Target="http://example.com/carrelage3.jpg" TargetMode="External"/><Relationship Id="rId513" Type="http://schemas.openxmlformats.org/officeDocument/2006/relationships/hyperlink" Target="http://example.com/carrelage3.jpg" TargetMode="External"/><Relationship Id="rId720" Type="http://schemas.openxmlformats.org/officeDocument/2006/relationships/hyperlink" Target="http://example.com/carrelage3.jpg" TargetMode="External"/><Relationship Id="rId818" Type="http://schemas.openxmlformats.org/officeDocument/2006/relationships/hyperlink" Target="http://example.com/carrelage2.jpg" TargetMode="External"/><Relationship Id="rId1350" Type="http://schemas.openxmlformats.org/officeDocument/2006/relationships/hyperlink" Target="http://example.com/carrelage1.jpg" TargetMode="External"/><Relationship Id="rId1448" Type="http://schemas.openxmlformats.org/officeDocument/2006/relationships/hyperlink" Target="http://example.com/carrelage3.jpg" TargetMode="External"/><Relationship Id="rId1655" Type="http://schemas.openxmlformats.org/officeDocument/2006/relationships/hyperlink" Target="http://example.com/carrelage3.jpg" TargetMode="External"/><Relationship Id="rId1003" Type="http://schemas.openxmlformats.org/officeDocument/2006/relationships/hyperlink" Target="http://example.com/carrelage1.jpg" TargetMode="External"/><Relationship Id="rId1210" Type="http://schemas.openxmlformats.org/officeDocument/2006/relationships/hyperlink" Target="http://example.com/carrelage2.jpg" TargetMode="External"/><Relationship Id="rId1308" Type="http://schemas.openxmlformats.org/officeDocument/2006/relationships/hyperlink" Target="http://example.com/carrelage1.jpg" TargetMode="External"/><Relationship Id="rId1862" Type="http://schemas.openxmlformats.org/officeDocument/2006/relationships/hyperlink" Target="http://example.com/carrelage3.jpg" TargetMode="External"/><Relationship Id="rId1515" Type="http://schemas.openxmlformats.org/officeDocument/2006/relationships/hyperlink" Target="http://example.com/carrelage1.jpg" TargetMode="External"/><Relationship Id="rId1722" Type="http://schemas.openxmlformats.org/officeDocument/2006/relationships/hyperlink" Target="http://example.com/carrelage1.jpg" TargetMode="External"/><Relationship Id="rId14" Type="http://schemas.openxmlformats.org/officeDocument/2006/relationships/hyperlink" Target="http://example.com/carrelage2.jpg" TargetMode="External"/><Relationship Id="rId163" Type="http://schemas.openxmlformats.org/officeDocument/2006/relationships/hyperlink" Target="http://example.com/carrelage1.jpg" TargetMode="External"/><Relationship Id="rId370" Type="http://schemas.openxmlformats.org/officeDocument/2006/relationships/hyperlink" Target="http://example.com/carrelage1.jpg" TargetMode="External"/><Relationship Id="rId230" Type="http://schemas.openxmlformats.org/officeDocument/2006/relationships/hyperlink" Target="http://example.com/carrelage2.jpg" TargetMode="External"/><Relationship Id="rId468" Type="http://schemas.openxmlformats.org/officeDocument/2006/relationships/hyperlink" Target="http://example.com/carrelage3.jpg" TargetMode="External"/><Relationship Id="rId675" Type="http://schemas.openxmlformats.org/officeDocument/2006/relationships/hyperlink" Target="http://example.com/carrelage3.jpg" TargetMode="External"/><Relationship Id="rId882" Type="http://schemas.openxmlformats.org/officeDocument/2006/relationships/hyperlink" Target="http://example.com/carrelage3.jpg" TargetMode="External"/><Relationship Id="rId1098" Type="http://schemas.openxmlformats.org/officeDocument/2006/relationships/hyperlink" Target="http://example.com/carrelage1.jpg" TargetMode="External"/><Relationship Id="rId328" Type="http://schemas.openxmlformats.org/officeDocument/2006/relationships/hyperlink" Target="http://example.com/carrelage1.jpg" TargetMode="External"/><Relationship Id="rId535" Type="http://schemas.openxmlformats.org/officeDocument/2006/relationships/hyperlink" Target="http://example.com/carrelage1.jpg" TargetMode="External"/><Relationship Id="rId742" Type="http://schemas.openxmlformats.org/officeDocument/2006/relationships/hyperlink" Target="http://example.com/carrelage1.jpg" TargetMode="External"/><Relationship Id="rId1165" Type="http://schemas.openxmlformats.org/officeDocument/2006/relationships/hyperlink" Target="http://example.com/carrelage2.jpg" TargetMode="External"/><Relationship Id="rId1372" Type="http://schemas.openxmlformats.org/officeDocument/2006/relationships/hyperlink" Target="http://example.com/carrelage2.jpg" TargetMode="External"/><Relationship Id="rId602" Type="http://schemas.openxmlformats.org/officeDocument/2006/relationships/hyperlink" Target="http://example.com/carrelage2.jpg" TargetMode="External"/><Relationship Id="rId1025" Type="http://schemas.openxmlformats.org/officeDocument/2006/relationships/hyperlink" Target="http://example.com/carrelage2.jpg" TargetMode="External"/><Relationship Id="rId1232" Type="http://schemas.openxmlformats.org/officeDocument/2006/relationships/hyperlink" Target="http://example.com/carrelage3.jpg" TargetMode="External"/><Relationship Id="rId1677" Type="http://schemas.openxmlformats.org/officeDocument/2006/relationships/hyperlink" Target="http://example.com/carrelage1.jpg" TargetMode="External"/><Relationship Id="rId1884" Type="http://schemas.openxmlformats.org/officeDocument/2006/relationships/hyperlink" Target="http://example.com/carrelage1.jpg" TargetMode="External"/><Relationship Id="rId907" Type="http://schemas.openxmlformats.org/officeDocument/2006/relationships/hyperlink" Target="http://example.com/carrelage1.jpg" TargetMode="External"/><Relationship Id="rId1537" Type="http://schemas.openxmlformats.org/officeDocument/2006/relationships/hyperlink" Target="http://example.com/carrelage2.jpg" TargetMode="External"/><Relationship Id="rId1744" Type="http://schemas.openxmlformats.org/officeDocument/2006/relationships/hyperlink" Target="http://example.com/carrelage2.jpg" TargetMode="External"/><Relationship Id="rId1951" Type="http://schemas.openxmlformats.org/officeDocument/2006/relationships/hyperlink" Target="http://example.com/carrelage1.jpg" TargetMode="External"/><Relationship Id="rId36" Type="http://schemas.openxmlformats.org/officeDocument/2006/relationships/hyperlink" Target="http://example.com/carrelage3.jpg" TargetMode="External"/><Relationship Id="rId1604" Type="http://schemas.openxmlformats.org/officeDocument/2006/relationships/hyperlink" Target="http://example.com/carrelage3.jpg" TargetMode="External"/><Relationship Id="rId185" Type="http://schemas.openxmlformats.org/officeDocument/2006/relationships/hyperlink" Target="http://example.com/carrelage2.jpg" TargetMode="External"/><Relationship Id="rId1811" Type="http://schemas.openxmlformats.org/officeDocument/2006/relationships/hyperlink" Target="http://example.com/carrelage3.jpg" TargetMode="External"/><Relationship Id="rId1909" Type="http://schemas.openxmlformats.org/officeDocument/2006/relationships/hyperlink" Target="http://example.com/carrelage2.jpg" TargetMode="External"/><Relationship Id="rId392" Type="http://schemas.openxmlformats.org/officeDocument/2006/relationships/hyperlink" Target="http://example.com/carrelage2.jpg" TargetMode="External"/><Relationship Id="rId697" Type="http://schemas.openxmlformats.org/officeDocument/2006/relationships/hyperlink" Target="http://example.com/carrelage1.jpg" TargetMode="External"/><Relationship Id="rId252" Type="http://schemas.openxmlformats.org/officeDocument/2006/relationships/hyperlink" Target="http://example.com/carrelage3.jpg" TargetMode="External"/><Relationship Id="rId1187" Type="http://schemas.openxmlformats.org/officeDocument/2006/relationships/hyperlink" Target="http://example.com/carrelage3.jpg" TargetMode="External"/><Relationship Id="rId112" Type="http://schemas.openxmlformats.org/officeDocument/2006/relationships/hyperlink" Target="http://example.com/carrelage1.jpg" TargetMode="External"/><Relationship Id="rId557" Type="http://schemas.openxmlformats.org/officeDocument/2006/relationships/hyperlink" Target="http://example.com/carrelage2.jpg" TargetMode="External"/><Relationship Id="rId764" Type="http://schemas.openxmlformats.org/officeDocument/2006/relationships/hyperlink" Target="http://example.com/carrelage2.jpg" TargetMode="External"/><Relationship Id="rId971" Type="http://schemas.openxmlformats.org/officeDocument/2006/relationships/hyperlink" Target="http://example.com/carrelage2.jpg" TargetMode="External"/><Relationship Id="rId1394" Type="http://schemas.openxmlformats.org/officeDocument/2006/relationships/hyperlink" Target="http://example.com/carrelage3.jpg" TargetMode="External"/><Relationship Id="rId1699" Type="http://schemas.openxmlformats.org/officeDocument/2006/relationships/hyperlink" Target="http://example.com/carrelage2.jpg" TargetMode="External"/><Relationship Id="rId417" Type="http://schemas.openxmlformats.org/officeDocument/2006/relationships/hyperlink" Target="http://example.com/carrelage3.jpg" TargetMode="External"/><Relationship Id="rId624" Type="http://schemas.openxmlformats.org/officeDocument/2006/relationships/hyperlink" Target="http://example.com/carrelage3.jpg" TargetMode="External"/><Relationship Id="rId831" Type="http://schemas.openxmlformats.org/officeDocument/2006/relationships/hyperlink" Target="http://example.com/carrelage3.jpg" TargetMode="External"/><Relationship Id="rId1047" Type="http://schemas.openxmlformats.org/officeDocument/2006/relationships/hyperlink" Target="http://example.com/carrelage3.jpg" TargetMode="External"/><Relationship Id="rId1254" Type="http://schemas.openxmlformats.org/officeDocument/2006/relationships/hyperlink" Target="http://example.com/carrelage1.jpg" TargetMode="External"/><Relationship Id="rId1461" Type="http://schemas.openxmlformats.org/officeDocument/2006/relationships/hyperlink" Target="http://example.com/carrelage1.jpg" TargetMode="External"/><Relationship Id="rId929" Type="http://schemas.openxmlformats.org/officeDocument/2006/relationships/hyperlink" Target="http://example.com/carrelage2.jpg" TargetMode="External"/><Relationship Id="rId1114" Type="http://schemas.openxmlformats.org/officeDocument/2006/relationships/hyperlink" Target="http://example.com/carrelage2.jpg" TargetMode="External"/><Relationship Id="rId1321" Type="http://schemas.openxmlformats.org/officeDocument/2006/relationships/hyperlink" Target="http://example.com/carrelage2.jpg" TargetMode="External"/><Relationship Id="rId1559" Type="http://schemas.openxmlformats.org/officeDocument/2006/relationships/hyperlink" Target="http://example.com/carrelage3.jpg" TargetMode="External"/><Relationship Id="rId1766" Type="http://schemas.openxmlformats.org/officeDocument/2006/relationships/hyperlink" Target="http://example.com/carrelage3.jpg" TargetMode="External"/><Relationship Id="rId1973" Type="http://schemas.openxmlformats.org/officeDocument/2006/relationships/hyperlink" Target="http://example.com/carrelage3.jpg" TargetMode="External"/><Relationship Id="rId58" Type="http://schemas.openxmlformats.org/officeDocument/2006/relationships/hyperlink" Target="http://example.com/carrelage1.jpg" TargetMode="External"/><Relationship Id="rId1419" Type="http://schemas.openxmlformats.org/officeDocument/2006/relationships/hyperlink" Target="http://example.com/carrelage1.jpg" TargetMode="External"/><Relationship Id="rId1626" Type="http://schemas.openxmlformats.org/officeDocument/2006/relationships/hyperlink" Target="http://example.com/carrelage1.jpg" TargetMode="External"/><Relationship Id="rId1833" Type="http://schemas.openxmlformats.org/officeDocument/2006/relationships/hyperlink" Target="http://example.com/carrelage1.jpg" TargetMode="External"/><Relationship Id="rId1900" Type="http://schemas.openxmlformats.org/officeDocument/2006/relationships/hyperlink" Target="http://example.com/carrelage2.jpg" TargetMode="External"/><Relationship Id="rId274" Type="http://schemas.openxmlformats.org/officeDocument/2006/relationships/hyperlink" Target="http://example.com/carrelage1.jpg" TargetMode="External"/><Relationship Id="rId481" Type="http://schemas.openxmlformats.org/officeDocument/2006/relationships/hyperlink" Target="http://example.com/carrelage1.jpg" TargetMode="External"/><Relationship Id="rId134" Type="http://schemas.openxmlformats.org/officeDocument/2006/relationships/hyperlink" Target="http://example.com/carrelage2.jpg" TargetMode="External"/><Relationship Id="rId579" Type="http://schemas.openxmlformats.org/officeDocument/2006/relationships/hyperlink" Target="http://example.com/carrelage3.jpg" TargetMode="External"/><Relationship Id="rId786" Type="http://schemas.openxmlformats.org/officeDocument/2006/relationships/hyperlink" Target="http://example.com/carrelage3.jpg" TargetMode="External"/><Relationship Id="rId993" Type="http://schemas.openxmlformats.org/officeDocument/2006/relationships/hyperlink" Target="http://example.com/carrelage3.jpg" TargetMode="External"/><Relationship Id="rId341" Type="http://schemas.openxmlformats.org/officeDocument/2006/relationships/hyperlink" Target="http://example.com/carrelage2.jpg" TargetMode="External"/><Relationship Id="rId439" Type="http://schemas.openxmlformats.org/officeDocument/2006/relationships/hyperlink" Target="http://example.com/carrelage1.jpg" TargetMode="External"/><Relationship Id="rId646" Type="http://schemas.openxmlformats.org/officeDocument/2006/relationships/hyperlink" Target="http://example.com/carrelage1.jpg" TargetMode="External"/><Relationship Id="rId1069" Type="http://schemas.openxmlformats.org/officeDocument/2006/relationships/hyperlink" Target="http://example.com/carrelage1.jpg" TargetMode="External"/><Relationship Id="rId1276" Type="http://schemas.openxmlformats.org/officeDocument/2006/relationships/hyperlink" Target="http://example.com/carrelage2.jpg" TargetMode="External"/><Relationship Id="rId1483" Type="http://schemas.openxmlformats.org/officeDocument/2006/relationships/hyperlink" Target="http://example.com/carrelage2.jpg" TargetMode="External"/><Relationship Id="rId201" Type="http://schemas.openxmlformats.org/officeDocument/2006/relationships/hyperlink" Target="http://example.com/carrelage3.jpg" TargetMode="External"/><Relationship Id="rId506" Type="http://schemas.openxmlformats.org/officeDocument/2006/relationships/hyperlink" Target="http://example.com/carrelage2.jpg" TargetMode="External"/><Relationship Id="rId853" Type="http://schemas.openxmlformats.org/officeDocument/2006/relationships/hyperlink" Target="http://example.com/carrelage1.jpg" TargetMode="External"/><Relationship Id="rId1136" Type="http://schemas.openxmlformats.org/officeDocument/2006/relationships/hyperlink" Target="http://example.com/carrelage3.jpg" TargetMode="External"/><Relationship Id="rId1690" Type="http://schemas.openxmlformats.org/officeDocument/2006/relationships/hyperlink" Target="http://example.com/carrelage2.jpg" TargetMode="External"/><Relationship Id="rId1788" Type="http://schemas.openxmlformats.org/officeDocument/2006/relationships/hyperlink" Target="http://example.com/carrelage1.jpg" TargetMode="External"/><Relationship Id="rId713" Type="http://schemas.openxmlformats.org/officeDocument/2006/relationships/hyperlink" Target="http://example.com/carrelage2.jpg" TargetMode="External"/><Relationship Id="rId920" Type="http://schemas.openxmlformats.org/officeDocument/2006/relationships/hyperlink" Target="http://example.com/carrelage2.jpg" TargetMode="External"/><Relationship Id="rId1343" Type="http://schemas.openxmlformats.org/officeDocument/2006/relationships/hyperlink" Target="http://example.com/carrelage3.jpg" TargetMode="External"/><Relationship Id="rId1550" Type="http://schemas.openxmlformats.org/officeDocument/2006/relationships/hyperlink" Target="http://example.com/carrelage3.jpg" TargetMode="External"/><Relationship Id="rId1648" Type="http://schemas.openxmlformats.org/officeDocument/2006/relationships/hyperlink" Target="http://example.com/carrelage2.jpg" TargetMode="External"/><Relationship Id="rId1203" Type="http://schemas.openxmlformats.org/officeDocument/2006/relationships/hyperlink" Target="http://example.com/carrelage1.jpg" TargetMode="External"/><Relationship Id="rId1410" Type="http://schemas.openxmlformats.org/officeDocument/2006/relationships/hyperlink" Target="http://example.com/carrelage1.jpg" TargetMode="External"/><Relationship Id="rId1508" Type="http://schemas.openxmlformats.org/officeDocument/2006/relationships/hyperlink" Target="http://example.com/carrelage3.jpg" TargetMode="External"/><Relationship Id="rId1855" Type="http://schemas.openxmlformats.org/officeDocument/2006/relationships/hyperlink" Target="http://example.com/carrelage2.jpg" TargetMode="External"/><Relationship Id="rId1715" Type="http://schemas.openxmlformats.org/officeDocument/2006/relationships/hyperlink" Target="http://example.com/carrelage3.jpg" TargetMode="External"/><Relationship Id="rId1922" Type="http://schemas.openxmlformats.org/officeDocument/2006/relationships/hyperlink" Target="http://example.com/carrelage3.jpg" TargetMode="External"/><Relationship Id="rId296" Type="http://schemas.openxmlformats.org/officeDocument/2006/relationships/hyperlink" Target="http://example.com/carrelage2.jpg" TargetMode="External"/><Relationship Id="rId156" Type="http://schemas.openxmlformats.org/officeDocument/2006/relationships/hyperlink" Target="http://example.com/carrelage3.jpg" TargetMode="External"/><Relationship Id="rId363" Type="http://schemas.openxmlformats.org/officeDocument/2006/relationships/hyperlink" Target="http://example.com/carrelage3.jpg" TargetMode="External"/><Relationship Id="rId570" Type="http://schemas.openxmlformats.org/officeDocument/2006/relationships/hyperlink" Target="http://example.com/carrelage3.jpg" TargetMode="External"/><Relationship Id="rId223" Type="http://schemas.openxmlformats.org/officeDocument/2006/relationships/hyperlink" Target="http://example.com/carrelage1.jpg" TargetMode="External"/><Relationship Id="rId430" Type="http://schemas.openxmlformats.org/officeDocument/2006/relationships/hyperlink" Target="http://example.com/carrelage1.jpg" TargetMode="External"/><Relationship Id="rId668" Type="http://schemas.openxmlformats.org/officeDocument/2006/relationships/hyperlink" Target="http://example.com/carrelage2.jpg" TargetMode="External"/><Relationship Id="rId875" Type="http://schemas.openxmlformats.org/officeDocument/2006/relationships/hyperlink" Target="http://example.com/carrelage2.jpg" TargetMode="External"/><Relationship Id="rId1060" Type="http://schemas.openxmlformats.org/officeDocument/2006/relationships/hyperlink" Target="http://example.com/carrelage1.jpg" TargetMode="External"/><Relationship Id="rId1298" Type="http://schemas.openxmlformats.org/officeDocument/2006/relationships/hyperlink" Target="http://example.com/carrelage3.jpg" TargetMode="External"/><Relationship Id="rId528" Type="http://schemas.openxmlformats.org/officeDocument/2006/relationships/hyperlink" Target="http://example.com/carrelage3.jpg" TargetMode="External"/><Relationship Id="rId735" Type="http://schemas.openxmlformats.org/officeDocument/2006/relationships/hyperlink" Target="http://example.com/carrelage3.jpg" TargetMode="External"/><Relationship Id="rId942" Type="http://schemas.openxmlformats.org/officeDocument/2006/relationships/hyperlink" Target="http://example.com/carrelage3.jpg" TargetMode="External"/><Relationship Id="rId1158" Type="http://schemas.openxmlformats.org/officeDocument/2006/relationships/hyperlink" Target="http://example.com/carrelage1.jpg" TargetMode="External"/><Relationship Id="rId1365" Type="http://schemas.openxmlformats.org/officeDocument/2006/relationships/hyperlink" Target="http://example.com/carrelage1.jpg" TargetMode="External"/><Relationship Id="rId1572" Type="http://schemas.openxmlformats.org/officeDocument/2006/relationships/hyperlink" Target="http://example.com/carrelage1.jpg" TargetMode="External"/><Relationship Id="rId1018" Type="http://schemas.openxmlformats.org/officeDocument/2006/relationships/hyperlink" Target="http://example.com/carrelage1.jpg" TargetMode="External"/><Relationship Id="rId1225" Type="http://schemas.openxmlformats.org/officeDocument/2006/relationships/hyperlink" Target="http://example.com/carrelage2.jpg" TargetMode="External"/><Relationship Id="rId1432" Type="http://schemas.openxmlformats.org/officeDocument/2006/relationships/hyperlink" Target="http://example.com/carrelage2.jpg" TargetMode="External"/><Relationship Id="rId1877" Type="http://schemas.openxmlformats.org/officeDocument/2006/relationships/hyperlink" Target="http://example.com/carrelage3.jpg" TargetMode="External"/><Relationship Id="rId71" Type="http://schemas.openxmlformats.org/officeDocument/2006/relationships/hyperlink" Target="http://example.com/carrelage2.jpg" TargetMode="External"/><Relationship Id="rId802" Type="http://schemas.openxmlformats.org/officeDocument/2006/relationships/hyperlink" Target="http://example.com/carrelage1.jpg" TargetMode="External"/><Relationship Id="rId1737" Type="http://schemas.openxmlformats.org/officeDocument/2006/relationships/hyperlink" Target="http://example.com/carrelage1.jpg" TargetMode="External"/><Relationship Id="rId1944" Type="http://schemas.openxmlformats.org/officeDocument/2006/relationships/hyperlink" Target="http://example.com/carrelage1.jpg" TargetMode="External"/><Relationship Id="rId29" Type="http://schemas.openxmlformats.org/officeDocument/2006/relationships/hyperlink" Target="http://example.com/carrelage2.jpg" TargetMode="External"/><Relationship Id="rId178" Type="http://schemas.openxmlformats.org/officeDocument/2006/relationships/hyperlink" Target="http://example.com/carrelage1.jpg" TargetMode="External"/><Relationship Id="rId1804" Type="http://schemas.openxmlformats.org/officeDocument/2006/relationships/hyperlink" Target="http://example.com/carrelage2.jpg" TargetMode="External"/><Relationship Id="rId385" Type="http://schemas.openxmlformats.org/officeDocument/2006/relationships/hyperlink" Target="http://example.com/carrelage1.jpg" TargetMode="External"/><Relationship Id="rId592" Type="http://schemas.openxmlformats.org/officeDocument/2006/relationships/hyperlink" Target="http://example.com/carrelage1.jpg" TargetMode="External"/><Relationship Id="rId245" Type="http://schemas.openxmlformats.org/officeDocument/2006/relationships/hyperlink" Target="http://example.com/carrelage2.jpg" TargetMode="External"/><Relationship Id="rId452" Type="http://schemas.openxmlformats.org/officeDocument/2006/relationships/hyperlink" Target="http://example.com/carrelage2.jpg" TargetMode="External"/><Relationship Id="rId897" Type="http://schemas.openxmlformats.org/officeDocument/2006/relationships/hyperlink" Target="http://example.com/carrelage3.jpg" TargetMode="External"/><Relationship Id="rId1082" Type="http://schemas.openxmlformats.org/officeDocument/2006/relationships/hyperlink" Target="http://example.com/carrelage2.jpg" TargetMode="External"/><Relationship Id="rId105" Type="http://schemas.openxmlformats.org/officeDocument/2006/relationships/hyperlink" Target="http://example.com/carrelage3.jpg" TargetMode="External"/><Relationship Id="rId312" Type="http://schemas.openxmlformats.org/officeDocument/2006/relationships/hyperlink" Target="http://example.com/carrelage3.jpg" TargetMode="External"/><Relationship Id="rId757" Type="http://schemas.openxmlformats.org/officeDocument/2006/relationships/hyperlink" Target="http://example.com/carrelage1.jpg" TargetMode="External"/><Relationship Id="rId964" Type="http://schemas.openxmlformats.org/officeDocument/2006/relationships/hyperlink" Target="http://example.com/carrelage1.jpg" TargetMode="External"/><Relationship Id="rId1387" Type="http://schemas.openxmlformats.org/officeDocument/2006/relationships/hyperlink" Target="http://example.com/carrelage2.jpg" TargetMode="External"/><Relationship Id="rId1594" Type="http://schemas.openxmlformats.org/officeDocument/2006/relationships/hyperlink" Target="http://example.com/carrelage2.jpg" TargetMode="External"/><Relationship Id="rId93" Type="http://schemas.openxmlformats.org/officeDocument/2006/relationships/hyperlink" Target="http://example.com/carrelage3.jpg" TargetMode="External"/><Relationship Id="rId617" Type="http://schemas.openxmlformats.org/officeDocument/2006/relationships/hyperlink" Target="http://example.com/carrelage2.jpg" TargetMode="External"/><Relationship Id="rId824" Type="http://schemas.openxmlformats.org/officeDocument/2006/relationships/hyperlink" Target="http://example.com/carrelage2.jpg" TargetMode="External"/><Relationship Id="rId1247" Type="http://schemas.openxmlformats.org/officeDocument/2006/relationships/hyperlink" Target="http://example.com/carrelage3.jpg" TargetMode="External"/><Relationship Id="rId1454" Type="http://schemas.openxmlformats.org/officeDocument/2006/relationships/hyperlink" Target="http://example.com/carrelage3.jpg" TargetMode="External"/><Relationship Id="rId1661" Type="http://schemas.openxmlformats.org/officeDocument/2006/relationships/hyperlink" Target="http://example.com/carrelage3.jpg" TargetMode="External"/><Relationship Id="rId1899" Type="http://schemas.openxmlformats.org/officeDocument/2006/relationships/hyperlink" Target="http://example.com/carrelage1.jpg" TargetMode="External"/><Relationship Id="rId1107" Type="http://schemas.openxmlformats.org/officeDocument/2006/relationships/hyperlink" Target="http://example.com/carrelage1.jpg" TargetMode="External"/><Relationship Id="rId1314" Type="http://schemas.openxmlformats.org/officeDocument/2006/relationships/hyperlink" Target="http://example.com/carrelage1.jpg" TargetMode="External"/><Relationship Id="rId1521" Type="http://schemas.openxmlformats.org/officeDocument/2006/relationships/hyperlink" Target="http://example.com/carrelage1.jpg" TargetMode="External"/><Relationship Id="rId1759" Type="http://schemas.openxmlformats.org/officeDocument/2006/relationships/hyperlink" Target="http://example.com/carrelage2.jpg" TargetMode="External"/><Relationship Id="rId1966" Type="http://schemas.openxmlformats.org/officeDocument/2006/relationships/hyperlink" Target="http://example.com/carrelage3.jpg" TargetMode="External"/><Relationship Id="rId1619" Type="http://schemas.openxmlformats.org/officeDocument/2006/relationships/hyperlink" Target="http://example.com/carrelage3.jpg" TargetMode="External"/><Relationship Id="rId1826" Type="http://schemas.openxmlformats.org/officeDocument/2006/relationships/hyperlink" Target="http://example.com/carrelage3.jpg" TargetMode="External"/><Relationship Id="rId20" Type="http://schemas.openxmlformats.org/officeDocument/2006/relationships/hyperlink" Target="http://example.com/carrelage2.jpg" TargetMode="External"/><Relationship Id="rId267" Type="http://schemas.openxmlformats.org/officeDocument/2006/relationships/hyperlink" Target="http://example.com/carrelage3.jpg" TargetMode="External"/><Relationship Id="rId474" Type="http://schemas.openxmlformats.org/officeDocument/2006/relationships/hyperlink" Target="http://example.com/carrelage3.jpg" TargetMode="External"/><Relationship Id="rId127" Type="http://schemas.openxmlformats.org/officeDocument/2006/relationships/hyperlink" Target="http://example.com/carrelage1.jpg" TargetMode="External"/><Relationship Id="rId681" Type="http://schemas.openxmlformats.org/officeDocument/2006/relationships/hyperlink" Target="http://example.com/carrelage3.jpg" TargetMode="External"/><Relationship Id="rId779" Type="http://schemas.openxmlformats.org/officeDocument/2006/relationships/hyperlink" Target="http://example.com/carrelage2.jpg" TargetMode="External"/><Relationship Id="rId986" Type="http://schemas.openxmlformats.org/officeDocument/2006/relationships/hyperlink" Target="http://example.com/carrelage2.jpg" TargetMode="External"/><Relationship Id="rId334" Type="http://schemas.openxmlformats.org/officeDocument/2006/relationships/hyperlink" Target="http://example.com/carrelage1.jpg" TargetMode="External"/><Relationship Id="rId541" Type="http://schemas.openxmlformats.org/officeDocument/2006/relationships/hyperlink" Target="http://example.com/carrelage1.jpg" TargetMode="External"/><Relationship Id="rId639" Type="http://schemas.openxmlformats.org/officeDocument/2006/relationships/hyperlink" Target="http://example.com/carrelage3.jpg" TargetMode="External"/><Relationship Id="rId1171" Type="http://schemas.openxmlformats.org/officeDocument/2006/relationships/hyperlink" Target="http://example.com/carrelage2.jpg" TargetMode="External"/><Relationship Id="rId1269" Type="http://schemas.openxmlformats.org/officeDocument/2006/relationships/hyperlink" Target="http://example.com/carrelage1.jpg" TargetMode="External"/><Relationship Id="rId1476" Type="http://schemas.openxmlformats.org/officeDocument/2006/relationships/hyperlink" Target="http://example.com/carrelage1.jpg" TargetMode="External"/><Relationship Id="rId401" Type="http://schemas.openxmlformats.org/officeDocument/2006/relationships/hyperlink" Target="http://example.com/carrelage2.jpg" TargetMode="External"/><Relationship Id="rId846" Type="http://schemas.openxmlformats.org/officeDocument/2006/relationships/hyperlink" Target="http://example.com/carrelage3.jpg" TargetMode="External"/><Relationship Id="rId1031" Type="http://schemas.openxmlformats.org/officeDocument/2006/relationships/hyperlink" Target="http://example.com/carrelage2.jpg" TargetMode="External"/><Relationship Id="rId1129" Type="http://schemas.openxmlformats.org/officeDocument/2006/relationships/hyperlink" Target="http://example.com/carrelage2.jpg" TargetMode="External"/><Relationship Id="rId1683" Type="http://schemas.openxmlformats.org/officeDocument/2006/relationships/hyperlink" Target="http://example.com/carrelage1.jpg" TargetMode="External"/><Relationship Id="rId1890" Type="http://schemas.openxmlformats.org/officeDocument/2006/relationships/hyperlink" Target="http://example.com/carrelage1.jpg" TargetMode="External"/><Relationship Id="rId706" Type="http://schemas.openxmlformats.org/officeDocument/2006/relationships/hyperlink" Target="http://example.com/carrelage1.jpg" TargetMode="External"/><Relationship Id="rId913" Type="http://schemas.openxmlformats.org/officeDocument/2006/relationships/hyperlink" Target="http://example.com/carrelage1.jpg" TargetMode="External"/><Relationship Id="rId1336" Type="http://schemas.openxmlformats.org/officeDocument/2006/relationships/hyperlink" Target="http://example.com/carrelage2.jpg" TargetMode="External"/><Relationship Id="rId1543" Type="http://schemas.openxmlformats.org/officeDocument/2006/relationships/hyperlink" Target="http://example.com/carrelage2.jpg" TargetMode="External"/><Relationship Id="rId1750" Type="http://schemas.openxmlformats.org/officeDocument/2006/relationships/hyperlink" Target="http://example.com/carrelage2.jpg" TargetMode="External"/><Relationship Id="rId42" Type="http://schemas.openxmlformats.org/officeDocument/2006/relationships/hyperlink" Target="http://example.com/carrelage3.jpg" TargetMode="External"/><Relationship Id="rId1403" Type="http://schemas.openxmlformats.org/officeDocument/2006/relationships/hyperlink" Target="http://example.com/carrelage3.jpg" TargetMode="External"/><Relationship Id="rId1610" Type="http://schemas.openxmlformats.org/officeDocument/2006/relationships/hyperlink" Target="http://example.com/carrelage3.jpg" TargetMode="External"/><Relationship Id="rId1848" Type="http://schemas.openxmlformats.org/officeDocument/2006/relationships/hyperlink" Target="http://example.com/carrelage1.jpg" TargetMode="External"/><Relationship Id="rId191" Type="http://schemas.openxmlformats.org/officeDocument/2006/relationships/hyperlink" Target="http://example.com/carrelage2.jpg" TargetMode="External"/><Relationship Id="rId1708" Type="http://schemas.openxmlformats.org/officeDocument/2006/relationships/hyperlink" Target="http://example.com/carrelage2.jpg" TargetMode="External"/><Relationship Id="rId1915" Type="http://schemas.openxmlformats.org/officeDocument/2006/relationships/hyperlink" Target="http://example.com/carrelage2.jpg" TargetMode="External"/><Relationship Id="rId289" Type="http://schemas.openxmlformats.org/officeDocument/2006/relationships/hyperlink" Target="http://example.com/carrelage1.jpg" TargetMode="External"/><Relationship Id="rId496" Type="http://schemas.openxmlformats.org/officeDocument/2006/relationships/hyperlink" Target="http://example.com/carrelage1.jpg" TargetMode="External"/><Relationship Id="rId149" Type="http://schemas.openxmlformats.org/officeDocument/2006/relationships/hyperlink" Target="http://example.com/carrelage2.jpg" TargetMode="External"/><Relationship Id="rId356" Type="http://schemas.openxmlformats.org/officeDocument/2006/relationships/hyperlink" Target="http://example.com/carrelage2.jpg" TargetMode="External"/><Relationship Id="rId563" Type="http://schemas.openxmlformats.org/officeDocument/2006/relationships/hyperlink" Target="http://example.com/carrelage2.jpg" TargetMode="External"/><Relationship Id="rId770" Type="http://schemas.openxmlformats.org/officeDocument/2006/relationships/hyperlink" Target="http://example.com/carrelage2.jpg" TargetMode="External"/><Relationship Id="rId1193" Type="http://schemas.openxmlformats.org/officeDocument/2006/relationships/hyperlink" Target="http://example.com/carrelage3.jpg" TargetMode="External"/><Relationship Id="rId216" Type="http://schemas.openxmlformats.org/officeDocument/2006/relationships/hyperlink" Target="http://example.com/carrelage3.jpg" TargetMode="External"/><Relationship Id="rId423" Type="http://schemas.openxmlformats.org/officeDocument/2006/relationships/hyperlink" Target="http://example.com/carrelage3.jpg" TargetMode="External"/><Relationship Id="rId868" Type="http://schemas.openxmlformats.org/officeDocument/2006/relationships/hyperlink" Target="http://example.com/carrelage1.jpg" TargetMode="External"/><Relationship Id="rId1053" Type="http://schemas.openxmlformats.org/officeDocument/2006/relationships/hyperlink" Target="http://example.com/carrelage3.jpg" TargetMode="External"/><Relationship Id="rId1260" Type="http://schemas.openxmlformats.org/officeDocument/2006/relationships/hyperlink" Target="http://example.com/carrelage1.jpg" TargetMode="External"/><Relationship Id="rId1498" Type="http://schemas.openxmlformats.org/officeDocument/2006/relationships/hyperlink" Target="http://example.com/carrelage2.jpg" TargetMode="External"/><Relationship Id="rId630" Type="http://schemas.openxmlformats.org/officeDocument/2006/relationships/hyperlink" Target="http://example.com/carrelage3.jpg" TargetMode="External"/><Relationship Id="rId728" Type="http://schemas.openxmlformats.org/officeDocument/2006/relationships/hyperlink" Target="http://example.com/carrelage2.jpg" TargetMode="External"/><Relationship Id="rId935" Type="http://schemas.openxmlformats.org/officeDocument/2006/relationships/hyperlink" Target="http://example.com/carrelage2.jpg" TargetMode="External"/><Relationship Id="rId1358" Type="http://schemas.openxmlformats.org/officeDocument/2006/relationships/hyperlink" Target="http://example.com/carrelage3.jpg" TargetMode="External"/><Relationship Id="rId1565" Type="http://schemas.openxmlformats.org/officeDocument/2006/relationships/hyperlink" Target="http://example.com/carrelage3.jpg" TargetMode="External"/><Relationship Id="rId1772" Type="http://schemas.openxmlformats.org/officeDocument/2006/relationships/hyperlink" Target="http://example.com/carrelage3.jpg" TargetMode="External"/><Relationship Id="rId64" Type="http://schemas.openxmlformats.org/officeDocument/2006/relationships/hyperlink" Target="http://example.com/carrelage1.jpg" TargetMode="External"/><Relationship Id="rId1120" Type="http://schemas.openxmlformats.org/officeDocument/2006/relationships/hyperlink" Target="http://example.com/carrelage2.jpg" TargetMode="External"/><Relationship Id="rId1218" Type="http://schemas.openxmlformats.org/officeDocument/2006/relationships/hyperlink" Target="http://example.com/carrelage1.jpg" TargetMode="External"/><Relationship Id="rId1425" Type="http://schemas.openxmlformats.org/officeDocument/2006/relationships/hyperlink" Target="http://example.com/carrelage1.jpg" TargetMode="External"/><Relationship Id="rId1632" Type="http://schemas.openxmlformats.org/officeDocument/2006/relationships/hyperlink" Target="http://example.com/carrelage1.jpg" TargetMode="External"/><Relationship Id="rId1937" Type="http://schemas.openxmlformats.org/officeDocument/2006/relationships/hyperlink" Target="http://example.com/carrelage3.jpg" TargetMode="External"/><Relationship Id="rId280" Type="http://schemas.openxmlformats.org/officeDocument/2006/relationships/hyperlink" Target="http://example.com/carrelage1.jpg" TargetMode="External"/><Relationship Id="rId140" Type="http://schemas.openxmlformats.org/officeDocument/2006/relationships/hyperlink" Target="http://example.com/carrelage2.jpg" TargetMode="External"/><Relationship Id="rId378" Type="http://schemas.openxmlformats.org/officeDocument/2006/relationships/hyperlink" Target="http://example.com/carrelage3.jpg" TargetMode="External"/><Relationship Id="rId585" Type="http://schemas.openxmlformats.org/officeDocument/2006/relationships/hyperlink" Target="http://example.com/carrelage3.jpg" TargetMode="External"/><Relationship Id="rId792" Type="http://schemas.openxmlformats.org/officeDocument/2006/relationships/hyperlink" Target="http://example.com/carrelage3.jpg" TargetMode="External"/><Relationship Id="rId6" Type="http://schemas.openxmlformats.org/officeDocument/2006/relationships/hyperlink" Target="http://example.com/carrelage3.jpg" TargetMode="External"/><Relationship Id="rId238" Type="http://schemas.openxmlformats.org/officeDocument/2006/relationships/hyperlink" Target="http://example.com/carrelage1.jpg" TargetMode="External"/><Relationship Id="rId445" Type="http://schemas.openxmlformats.org/officeDocument/2006/relationships/hyperlink" Target="http://example.com/carrelage1.jpg" TargetMode="External"/><Relationship Id="rId652" Type="http://schemas.openxmlformats.org/officeDocument/2006/relationships/hyperlink" Target="http://example.com/carrelage1.jpg" TargetMode="External"/><Relationship Id="rId1075" Type="http://schemas.openxmlformats.org/officeDocument/2006/relationships/hyperlink" Target="http://example.com/carrelage1.jpg" TargetMode="External"/><Relationship Id="rId1282" Type="http://schemas.openxmlformats.org/officeDocument/2006/relationships/hyperlink" Target="http://example.com/carrelage2.jpg" TargetMode="External"/><Relationship Id="rId305" Type="http://schemas.openxmlformats.org/officeDocument/2006/relationships/hyperlink" Target="http://example.com/carrelage2.jpg" TargetMode="External"/><Relationship Id="rId512" Type="http://schemas.openxmlformats.org/officeDocument/2006/relationships/hyperlink" Target="http://example.com/carrelage2.jpg" TargetMode="External"/><Relationship Id="rId957" Type="http://schemas.openxmlformats.org/officeDocument/2006/relationships/hyperlink" Target="http://example.com/carrelage3.jpg" TargetMode="External"/><Relationship Id="rId1142" Type="http://schemas.openxmlformats.org/officeDocument/2006/relationships/hyperlink" Target="http://example.com/carrelage3.jpg" TargetMode="External"/><Relationship Id="rId1587" Type="http://schemas.openxmlformats.org/officeDocument/2006/relationships/hyperlink" Target="http://example.com/carrelage1.jpg" TargetMode="External"/><Relationship Id="rId1794" Type="http://schemas.openxmlformats.org/officeDocument/2006/relationships/hyperlink" Target="http://example.com/carrelage1.jpg" TargetMode="External"/><Relationship Id="rId86" Type="http://schemas.openxmlformats.org/officeDocument/2006/relationships/hyperlink" Target="http://example.com/carrelage2.jpg" TargetMode="External"/><Relationship Id="rId817" Type="http://schemas.openxmlformats.org/officeDocument/2006/relationships/hyperlink" Target="http://example.com/carrelage1.jpg" TargetMode="External"/><Relationship Id="rId1002" Type="http://schemas.openxmlformats.org/officeDocument/2006/relationships/hyperlink" Target="http://example.com/carrelage3.jpg" TargetMode="External"/><Relationship Id="rId1447" Type="http://schemas.openxmlformats.org/officeDocument/2006/relationships/hyperlink" Target="http://example.com/carrelage2.jpg" TargetMode="External"/><Relationship Id="rId1654" Type="http://schemas.openxmlformats.org/officeDocument/2006/relationships/hyperlink" Target="http://example.com/carrelage2.jpg" TargetMode="External"/><Relationship Id="rId1861" Type="http://schemas.openxmlformats.org/officeDocument/2006/relationships/hyperlink" Target="http://example.com/carrelage2.jpg" TargetMode="External"/><Relationship Id="rId1307" Type="http://schemas.openxmlformats.org/officeDocument/2006/relationships/hyperlink" Target="http://example.com/carrelage3.jpg" TargetMode="External"/><Relationship Id="rId1514" Type="http://schemas.openxmlformats.org/officeDocument/2006/relationships/hyperlink" Target="http://example.com/carrelage3.jpg" TargetMode="External"/><Relationship Id="rId1721" Type="http://schemas.openxmlformats.org/officeDocument/2006/relationships/hyperlink" Target="http://example.com/carrelage3.jpg" TargetMode="External"/><Relationship Id="rId1959" Type="http://schemas.openxmlformats.org/officeDocument/2006/relationships/hyperlink" Target="http://example.com/carrelage2.jpg" TargetMode="External"/><Relationship Id="rId13" Type="http://schemas.openxmlformats.org/officeDocument/2006/relationships/hyperlink" Target="http://example.com/carrelage1.jpg" TargetMode="External"/><Relationship Id="rId1819" Type="http://schemas.openxmlformats.org/officeDocument/2006/relationships/hyperlink" Target="http://example.com/carrelage2.jpg" TargetMode="External"/><Relationship Id="rId162" Type="http://schemas.openxmlformats.org/officeDocument/2006/relationships/hyperlink" Target="http://example.com/carrelage3.jpg" TargetMode="External"/><Relationship Id="rId467" Type="http://schemas.openxmlformats.org/officeDocument/2006/relationships/hyperlink" Target="http://example.com/carrelage2.jpg" TargetMode="External"/><Relationship Id="rId1097" Type="http://schemas.openxmlformats.org/officeDocument/2006/relationships/hyperlink" Target="http://example.com/carrelage3.jpg" TargetMode="External"/><Relationship Id="rId674" Type="http://schemas.openxmlformats.org/officeDocument/2006/relationships/hyperlink" Target="http://example.com/carrelage2.jpg" TargetMode="External"/><Relationship Id="rId881" Type="http://schemas.openxmlformats.org/officeDocument/2006/relationships/hyperlink" Target="http://example.com/carrelage2.jpg" TargetMode="External"/><Relationship Id="rId979" Type="http://schemas.openxmlformats.org/officeDocument/2006/relationships/hyperlink" Target="http://example.com/carrelage1.jpg" TargetMode="External"/><Relationship Id="rId327" Type="http://schemas.openxmlformats.org/officeDocument/2006/relationships/hyperlink" Target="http://example.com/carrelage3.jpg" TargetMode="External"/><Relationship Id="rId534" Type="http://schemas.openxmlformats.org/officeDocument/2006/relationships/hyperlink" Target="http://example.com/carrelage3.jpg" TargetMode="External"/><Relationship Id="rId741" Type="http://schemas.openxmlformats.org/officeDocument/2006/relationships/hyperlink" Target="http://example.com/carrelage3.jpg" TargetMode="External"/><Relationship Id="rId839" Type="http://schemas.openxmlformats.org/officeDocument/2006/relationships/hyperlink" Target="http://example.com/carrelage2.jpg" TargetMode="External"/><Relationship Id="rId1164" Type="http://schemas.openxmlformats.org/officeDocument/2006/relationships/hyperlink" Target="http://example.com/carrelage1.jpg" TargetMode="External"/><Relationship Id="rId1371" Type="http://schemas.openxmlformats.org/officeDocument/2006/relationships/hyperlink" Target="http://example.com/carrelage1.jpg" TargetMode="External"/><Relationship Id="rId1469" Type="http://schemas.openxmlformats.org/officeDocument/2006/relationships/hyperlink" Target="http://example.com/carrelage3.jpg" TargetMode="External"/><Relationship Id="rId601" Type="http://schemas.openxmlformats.org/officeDocument/2006/relationships/hyperlink" Target="http://example.com/carrelage1.jpg" TargetMode="External"/><Relationship Id="rId1024" Type="http://schemas.openxmlformats.org/officeDocument/2006/relationships/hyperlink" Target="http://example.com/carrelage1.jpg" TargetMode="External"/><Relationship Id="rId1231" Type="http://schemas.openxmlformats.org/officeDocument/2006/relationships/hyperlink" Target="http://example.com/carrelage2.jpg" TargetMode="External"/><Relationship Id="rId1676" Type="http://schemas.openxmlformats.org/officeDocument/2006/relationships/hyperlink" Target="http://example.com/carrelage3.jpg" TargetMode="External"/><Relationship Id="rId1883" Type="http://schemas.openxmlformats.org/officeDocument/2006/relationships/hyperlink" Target="http://example.com/carrelage3.jpg" TargetMode="External"/><Relationship Id="rId906" Type="http://schemas.openxmlformats.org/officeDocument/2006/relationships/hyperlink" Target="http://example.com/carrelage3.jpg" TargetMode="External"/><Relationship Id="rId1329" Type="http://schemas.openxmlformats.org/officeDocument/2006/relationships/hyperlink" Target="http://example.com/carrelage1.jpg" TargetMode="External"/><Relationship Id="rId1536" Type="http://schemas.openxmlformats.org/officeDocument/2006/relationships/hyperlink" Target="http://example.com/carrelage1.jpg" TargetMode="External"/><Relationship Id="rId1743" Type="http://schemas.openxmlformats.org/officeDocument/2006/relationships/hyperlink" Target="http://example.com/carrelage1.jpg" TargetMode="External"/><Relationship Id="rId1950" Type="http://schemas.openxmlformats.org/officeDocument/2006/relationships/hyperlink" Target="http://example.com/carrelage1.jpg" TargetMode="External"/><Relationship Id="rId35" Type="http://schemas.openxmlformats.org/officeDocument/2006/relationships/hyperlink" Target="http://example.com/carrelage2.jpg" TargetMode="External"/><Relationship Id="rId1603" Type="http://schemas.openxmlformats.org/officeDocument/2006/relationships/hyperlink" Target="http://example.com/carrelage2.jpg" TargetMode="External"/><Relationship Id="rId1810" Type="http://schemas.openxmlformats.org/officeDocument/2006/relationships/hyperlink" Target="http://example.com/carrelage2.jpg" TargetMode="External"/><Relationship Id="rId184" Type="http://schemas.openxmlformats.org/officeDocument/2006/relationships/hyperlink" Target="http://example.com/carrelage1.jpg" TargetMode="External"/><Relationship Id="rId391" Type="http://schemas.openxmlformats.org/officeDocument/2006/relationships/hyperlink" Target="http://example.com/carrelage1.jpg" TargetMode="External"/><Relationship Id="rId1908" Type="http://schemas.openxmlformats.org/officeDocument/2006/relationships/hyperlink" Target="http://example.com/carrelage1.jpg" TargetMode="External"/><Relationship Id="rId251" Type="http://schemas.openxmlformats.org/officeDocument/2006/relationships/hyperlink" Target="http://example.com/carrelage2.jpg" TargetMode="External"/><Relationship Id="rId489" Type="http://schemas.openxmlformats.org/officeDocument/2006/relationships/hyperlink" Target="http://example.com/carrelage3.jpg" TargetMode="External"/><Relationship Id="rId696" Type="http://schemas.openxmlformats.org/officeDocument/2006/relationships/hyperlink" Target="http://example.com/carrelage3.jpg" TargetMode="External"/><Relationship Id="rId349" Type="http://schemas.openxmlformats.org/officeDocument/2006/relationships/hyperlink" Target="http://example.com/carrelage1.jpg" TargetMode="External"/><Relationship Id="rId556" Type="http://schemas.openxmlformats.org/officeDocument/2006/relationships/hyperlink" Target="http://example.com/carrelage1.jpg" TargetMode="External"/><Relationship Id="rId763" Type="http://schemas.openxmlformats.org/officeDocument/2006/relationships/hyperlink" Target="http://example.com/carrelage1.jpg" TargetMode="External"/><Relationship Id="rId1186" Type="http://schemas.openxmlformats.org/officeDocument/2006/relationships/hyperlink" Target="http://example.com/carrelage2.jpg" TargetMode="External"/><Relationship Id="rId1393" Type="http://schemas.openxmlformats.org/officeDocument/2006/relationships/hyperlink" Target="http://example.com/carrelage2.jpg" TargetMode="External"/><Relationship Id="rId111" Type="http://schemas.openxmlformats.org/officeDocument/2006/relationships/hyperlink" Target="http://example.com/carrelage3.jpg" TargetMode="External"/><Relationship Id="rId209" Type="http://schemas.openxmlformats.org/officeDocument/2006/relationships/hyperlink" Target="http://example.com/carrelage2.jpg" TargetMode="External"/><Relationship Id="rId416" Type="http://schemas.openxmlformats.org/officeDocument/2006/relationships/hyperlink" Target="http://example.com/carrelage2.jpg" TargetMode="External"/><Relationship Id="rId970" Type="http://schemas.openxmlformats.org/officeDocument/2006/relationships/hyperlink" Target="http://example.com/carrelage1.jpg" TargetMode="External"/><Relationship Id="rId1046" Type="http://schemas.openxmlformats.org/officeDocument/2006/relationships/hyperlink" Target="http://example.com/carrelage2.jpg" TargetMode="External"/><Relationship Id="rId1253" Type="http://schemas.openxmlformats.org/officeDocument/2006/relationships/hyperlink" Target="http://example.com/carrelage3.jpg" TargetMode="External"/><Relationship Id="rId1698" Type="http://schemas.openxmlformats.org/officeDocument/2006/relationships/hyperlink" Target="http://example.com/carrelage1.jpg" TargetMode="External"/><Relationship Id="rId623" Type="http://schemas.openxmlformats.org/officeDocument/2006/relationships/hyperlink" Target="http://example.com/carrelage2.jpg" TargetMode="External"/><Relationship Id="rId830" Type="http://schemas.openxmlformats.org/officeDocument/2006/relationships/hyperlink" Target="http://example.com/carrelage2.jpg" TargetMode="External"/><Relationship Id="rId928" Type="http://schemas.openxmlformats.org/officeDocument/2006/relationships/hyperlink" Target="http://example.com/carrelage1.jpg" TargetMode="External"/><Relationship Id="rId1460" Type="http://schemas.openxmlformats.org/officeDocument/2006/relationships/hyperlink" Target="http://example.com/carrelage3.jpg" TargetMode="External"/><Relationship Id="rId1558" Type="http://schemas.openxmlformats.org/officeDocument/2006/relationships/hyperlink" Target="http://example.com/carrelage2.jpg" TargetMode="External"/><Relationship Id="rId1765" Type="http://schemas.openxmlformats.org/officeDocument/2006/relationships/hyperlink" Target="http://example.com/carrelage2.jpg" TargetMode="External"/><Relationship Id="rId57" Type="http://schemas.openxmlformats.org/officeDocument/2006/relationships/hyperlink" Target="http://example.com/carrelage3.jpg" TargetMode="External"/><Relationship Id="rId1113" Type="http://schemas.openxmlformats.org/officeDocument/2006/relationships/hyperlink" Target="http://example.com/carrelage1.jpg" TargetMode="External"/><Relationship Id="rId1320" Type="http://schemas.openxmlformats.org/officeDocument/2006/relationships/hyperlink" Target="http://example.com/carrelage1.jpg" TargetMode="External"/><Relationship Id="rId1418" Type="http://schemas.openxmlformats.org/officeDocument/2006/relationships/hyperlink" Target="http://example.com/carrelage3.jpg" TargetMode="External"/><Relationship Id="rId1972" Type="http://schemas.openxmlformats.org/officeDocument/2006/relationships/hyperlink" Target="http://example.com/carrelage3.jpg" TargetMode="External"/><Relationship Id="rId1625" Type="http://schemas.openxmlformats.org/officeDocument/2006/relationships/hyperlink" Target="http://example.com/carrelage3.jpg" TargetMode="External"/><Relationship Id="rId1832" Type="http://schemas.openxmlformats.org/officeDocument/2006/relationships/hyperlink" Target="http://example.com/carrelage3.jpg" TargetMode="External"/><Relationship Id="rId273" Type="http://schemas.openxmlformats.org/officeDocument/2006/relationships/hyperlink" Target="http://example.com/carrelage3.jpg" TargetMode="External"/><Relationship Id="rId480" Type="http://schemas.openxmlformats.org/officeDocument/2006/relationships/hyperlink" Target="http://example.com/carrelage3.jpg" TargetMode="External"/><Relationship Id="rId133" Type="http://schemas.openxmlformats.org/officeDocument/2006/relationships/hyperlink" Target="http://example.com/carrelage1.jpg" TargetMode="External"/><Relationship Id="rId340" Type="http://schemas.openxmlformats.org/officeDocument/2006/relationships/hyperlink" Target="http://example.com/carrelage1.jpg" TargetMode="External"/><Relationship Id="rId578" Type="http://schemas.openxmlformats.org/officeDocument/2006/relationships/hyperlink" Target="http://example.com/carrelage2.jpg" TargetMode="External"/><Relationship Id="rId785" Type="http://schemas.openxmlformats.org/officeDocument/2006/relationships/hyperlink" Target="http://example.com/carrelage2.jpg" TargetMode="External"/><Relationship Id="rId992" Type="http://schemas.openxmlformats.org/officeDocument/2006/relationships/hyperlink" Target="http://example.com/carrelage2.jpg" TargetMode="External"/><Relationship Id="rId200" Type="http://schemas.openxmlformats.org/officeDocument/2006/relationships/hyperlink" Target="http://example.com/carrelage2.jpg" TargetMode="External"/><Relationship Id="rId438" Type="http://schemas.openxmlformats.org/officeDocument/2006/relationships/hyperlink" Target="http://example.com/carrelage3.jpg" TargetMode="External"/><Relationship Id="rId645" Type="http://schemas.openxmlformats.org/officeDocument/2006/relationships/hyperlink" Target="http://example.com/carrelage3.jpg" TargetMode="External"/><Relationship Id="rId852" Type="http://schemas.openxmlformats.org/officeDocument/2006/relationships/hyperlink" Target="http://example.com/carrelage3.jpg" TargetMode="External"/><Relationship Id="rId1068" Type="http://schemas.openxmlformats.org/officeDocument/2006/relationships/hyperlink" Target="http://example.com/carrelage3.jpg" TargetMode="External"/><Relationship Id="rId1275" Type="http://schemas.openxmlformats.org/officeDocument/2006/relationships/hyperlink" Target="http://example.com/carrelage1.jpg" TargetMode="External"/><Relationship Id="rId1482" Type="http://schemas.openxmlformats.org/officeDocument/2006/relationships/hyperlink" Target="http://example.com/carrelage1.jpg" TargetMode="External"/><Relationship Id="rId505" Type="http://schemas.openxmlformats.org/officeDocument/2006/relationships/hyperlink" Target="http://example.com/carrelage1.jpg" TargetMode="External"/><Relationship Id="rId712" Type="http://schemas.openxmlformats.org/officeDocument/2006/relationships/hyperlink" Target="http://example.com/carrelage1.jpg" TargetMode="External"/><Relationship Id="rId1135" Type="http://schemas.openxmlformats.org/officeDocument/2006/relationships/hyperlink" Target="http://example.com/carrelage2.jpg" TargetMode="External"/><Relationship Id="rId1342" Type="http://schemas.openxmlformats.org/officeDocument/2006/relationships/hyperlink" Target="http://example.com/carrelage2.jpg" TargetMode="External"/><Relationship Id="rId1787" Type="http://schemas.openxmlformats.org/officeDocument/2006/relationships/hyperlink" Target="http://example.com/carrelage3.jpg" TargetMode="External"/><Relationship Id="rId79" Type="http://schemas.openxmlformats.org/officeDocument/2006/relationships/hyperlink" Target="http://example.com/carrelage1.jpg" TargetMode="External"/><Relationship Id="rId1202" Type="http://schemas.openxmlformats.org/officeDocument/2006/relationships/hyperlink" Target="http://example.com/carrelage3.jpg" TargetMode="External"/><Relationship Id="rId1647" Type="http://schemas.openxmlformats.org/officeDocument/2006/relationships/hyperlink" Target="http://example.com/carrelage1.jpg" TargetMode="External"/><Relationship Id="rId1854" Type="http://schemas.openxmlformats.org/officeDocument/2006/relationships/hyperlink" Target="http://example.com/carrelage1.jpg" TargetMode="External"/><Relationship Id="rId1507" Type="http://schemas.openxmlformats.org/officeDocument/2006/relationships/hyperlink" Target="http://example.com/carrelage2.jpg" TargetMode="External"/><Relationship Id="rId1714" Type="http://schemas.openxmlformats.org/officeDocument/2006/relationships/hyperlink" Target="http://example.com/carrelage2.jpg" TargetMode="External"/><Relationship Id="rId295" Type="http://schemas.openxmlformats.org/officeDocument/2006/relationships/hyperlink" Target="http://example.com/carrelage1.jpg" TargetMode="External"/><Relationship Id="rId1921" Type="http://schemas.openxmlformats.org/officeDocument/2006/relationships/hyperlink" Target="http://example.com/carrelage2.jpg" TargetMode="External"/><Relationship Id="rId155" Type="http://schemas.openxmlformats.org/officeDocument/2006/relationships/hyperlink" Target="http://example.com/carrelage2.jpg" TargetMode="External"/><Relationship Id="rId362" Type="http://schemas.openxmlformats.org/officeDocument/2006/relationships/hyperlink" Target="http://example.com/carrelage2.jpg" TargetMode="External"/><Relationship Id="rId1297" Type="http://schemas.openxmlformats.org/officeDocument/2006/relationships/hyperlink" Target="http://example.com/carrelage2.jpg" TargetMode="External"/><Relationship Id="rId222" Type="http://schemas.openxmlformats.org/officeDocument/2006/relationships/hyperlink" Target="http://example.com/carrelage3.jpg" TargetMode="External"/><Relationship Id="rId667" Type="http://schemas.openxmlformats.org/officeDocument/2006/relationships/hyperlink" Target="http://example.com/carrelage1.jpg" TargetMode="External"/><Relationship Id="rId874" Type="http://schemas.openxmlformats.org/officeDocument/2006/relationships/hyperlink" Target="http://example.com/carrelage1.jpg" TargetMode="External"/><Relationship Id="rId527" Type="http://schemas.openxmlformats.org/officeDocument/2006/relationships/hyperlink" Target="http://example.com/carrelage2.jpg" TargetMode="External"/><Relationship Id="rId734" Type="http://schemas.openxmlformats.org/officeDocument/2006/relationships/hyperlink" Target="http://example.com/carrelage2.jpg" TargetMode="External"/><Relationship Id="rId941" Type="http://schemas.openxmlformats.org/officeDocument/2006/relationships/hyperlink" Target="http://example.com/carrelage2.jpg" TargetMode="External"/><Relationship Id="rId1157" Type="http://schemas.openxmlformats.org/officeDocument/2006/relationships/hyperlink" Target="http://example.com/carrelage3.jpg" TargetMode="External"/><Relationship Id="rId1364" Type="http://schemas.openxmlformats.org/officeDocument/2006/relationships/hyperlink" Target="http://example.com/carrelage3.jpg" TargetMode="External"/><Relationship Id="rId1571" Type="http://schemas.openxmlformats.org/officeDocument/2006/relationships/hyperlink" Target="http://example.com/carrelage3.jpg" TargetMode="External"/><Relationship Id="rId70" Type="http://schemas.openxmlformats.org/officeDocument/2006/relationships/hyperlink" Target="http://example.com/carrelage1.jpg" TargetMode="External"/><Relationship Id="rId801" Type="http://schemas.openxmlformats.org/officeDocument/2006/relationships/hyperlink" Target="http://example.com/carrelage3.jpg" TargetMode="External"/><Relationship Id="rId1017" Type="http://schemas.openxmlformats.org/officeDocument/2006/relationships/hyperlink" Target="http://example.com/carrelage3.jpg" TargetMode="External"/><Relationship Id="rId1224" Type="http://schemas.openxmlformats.org/officeDocument/2006/relationships/hyperlink" Target="http://example.com/carrelage1.jpg" TargetMode="External"/><Relationship Id="rId1431" Type="http://schemas.openxmlformats.org/officeDocument/2006/relationships/hyperlink" Target="http://example.com/carrelage1.jpg" TargetMode="External"/><Relationship Id="rId1669" Type="http://schemas.openxmlformats.org/officeDocument/2006/relationships/hyperlink" Target="http://example.com/carrelage2.jpg" TargetMode="External"/><Relationship Id="rId1876" Type="http://schemas.openxmlformats.org/officeDocument/2006/relationships/hyperlink" Target="http://example.com/carrelage2.jpg" TargetMode="External"/><Relationship Id="rId1529" Type="http://schemas.openxmlformats.org/officeDocument/2006/relationships/hyperlink" Target="http://example.com/carrelage3.jpg" TargetMode="External"/><Relationship Id="rId1736" Type="http://schemas.openxmlformats.org/officeDocument/2006/relationships/hyperlink" Target="http://example.com/carrelage3.jpg" TargetMode="External"/><Relationship Id="rId1943" Type="http://schemas.openxmlformats.org/officeDocument/2006/relationships/hyperlink" Target="http://example.com/carrelage1.jpg" TargetMode="External"/><Relationship Id="rId28" Type="http://schemas.openxmlformats.org/officeDocument/2006/relationships/hyperlink" Target="http://example.com/carrelage1.jpg" TargetMode="External"/><Relationship Id="rId1803" Type="http://schemas.openxmlformats.org/officeDocument/2006/relationships/hyperlink" Target="http://example.com/carrelage1.jpg" TargetMode="External"/><Relationship Id="rId177" Type="http://schemas.openxmlformats.org/officeDocument/2006/relationships/hyperlink" Target="http://example.com/carrelage3.jpg" TargetMode="External"/><Relationship Id="rId384" Type="http://schemas.openxmlformats.org/officeDocument/2006/relationships/hyperlink" Target="http://example.com/carrelage3.jpg" TargetMode="External"/><Relationship Id="rId591" Type="http://schemas.openxmlformats.org/officeDocument/2006/relationships/hyperlink" Target="http://example.com/carrelage3.jpg" TargetMode="External"/><Relationship Id="rId244" Type="http://schemas.openxmlformats.org/officeDocument/2006/relationships/hyperlink" Target="http://example.com/carrelage1.jpg" TargetMode="External"/><Relationship Id="rId689" Type="http://schemas.openxmlformats.org/officeDocument/2006/relationships/hyperlink" Target="http://example.com/carrelage2.jpg" TargetMode="External"/><Relationship Id="rId896" Type="http://schemas.openxmlformats.org/officeDocument/2006/relationships/hyperlink" Target="http://example.com/carrelage2.jpg" TargetMode="External"/><Relationship Id="rId1081" Type="http://schemas.openxmlformats.org/officeDocument/2006/relationships/hyperlink" Target="http://example.com/carrelage1.jpg" TargetMode="External"/><Relationship Id="rId451" Type="http://schemas.openxmlformats.org/officeDocument/2006/relationships/hyperlink" Target="http://example.com/carrelage1.jpg" TargetMode="External"/><Relationship Id="rId549" Type="http://schemas.openxmlformats.org/officeDocument/2006/relationships/hyperlink" Target="http://example.com/carrelage3.jpg" TargetMode="External"/><Relationship Id="rId756" Type="http://schemas.openxmlformats.org/officeDocument/2006/relationships/hyperlink" Target="http://example.com/carrelage3.jpg" TargetMode="External"/><Relationship Id="rId1179" Type="http://schemas.openxmlformats.org/officeDocument/2006/relationships/hyperlink" Target="http://example.com/carrelage1.jpg" TargetMode="External"/><Relationship Id="rId1386" Type="http://schemas.openxmlformats.org/officeDocument/2006/relationships/hyperlink" Target="http://example.com/carrelage1.jpg" TargetMode="External"/><Relationship Id="rId1593" Type="http://schemas.openxmlformats.org/officeDocument/2006/relationships/hyperlink" Target="http://example.com/carrelage1.jpg" TargetMode="External"/><Relationship Id="rId104" Type="http://schemas.openxmlformats.org/officeDocument/2006/relationships/hyperlink" Target="http://example.com/carrelage2.jpg" TargetMode="External"/><Relationship Id="rId311" Type="http://schemas.openxmlformats.org/officeDocument/2006/relationships/hyperlink" Target="http://example.com/carrelage2.jpg" TargetMode="External"/><Relationship Id="rId409" Type="http://schemas.openxmlformats.org/officeDocument/2006/relationships/hyperlink" Target="http://example.com/carrelage1.jpg" TargetMode="External"/><Relationship Id="rId963" Type="http://schemas.openxmlformats.org/officeDocument/2006/relationships/hyperlink" Target="http://example.com/carrelage3.jpg" TargetMode="External"/><Relationship Id="rId1039" Type="http://schemas.openxmlformats.org/officeDocument/2006/relationships/hyperlink" Target="http://example.com/carrelage1.jpg" TargetMode="External"/><Relationship Id="rId1246" Type="http://schemas.openxmlformats.org/officeDocument/2006/relationships/hyperlink" Target="http://example.com/carrelage2.jpg" TargetMode="External"/><Relationship Id="rId1898" Type="http://schemas.openxmlformats.org/officeDocument/2006/relationships/hyperlink" Target="http://example.com/carrelage3.jpg" TargetMode="External"/><Relationship Id="rId92" Type="http://schemas.openxmlformats.org/officeDocument/2006/relationships/hyperlink" Target="http://example.com/carrelage2.jpg" TargetMode="External"/><Relationship Id="rId616" Type="http://schemas.openxmlformats.org/officeDocument/2006/relationships/hyperlink" Target="http://example.com/carrelage1.jpg" TargetMode="External"/><Relationship Id="rId823" Type="http://schemas.openxmlformats.org/officeDocument/2006/relationships/hyperlink" Target="http://example.com/carrelage1.jpg" TargetMode="External"/><Relationship Id="rId1453" Type="http://schemas.openxmlformats.org/officeDocument/2006/relationships/hyperlink" Target="http://example.com/carrelage2.jpg" TargetMode="External"/><Relationship Id="rId1660" Type="http://schemas.openxmlformats.org/officeDocument/2006/relationships/hyperlink" Target="http://example.com/carrelage2.jpg" TargetMode="External"/><Relationship Id="rId1758" Type="http://schemas.openxmlformats.org/officeDocument/2006/relationships/hyperlink" Target="http://example.com/carrelage1.jpg" TargetMode="External"/><Relationship Id="rId1106" Type="http://schemas.openxmlformats.org/officeDocument/2006/relationships/hyperlink" Target="http://example.com/carrelage3.jpg" TargetMode="External"/><Relationship Id="rId1313" Type="http://schemas.openxmlformats.org/officeDocument/2006/relationships/hyperlink" Target="http://example.com/carrelage3.jpg" TargetMode="External"/><Relationship Id="rId1520" Type="http://schemas.openxmlformats.org/officeDocument/2006/relationships/hyperlink" Target="http://example.com/carrelage3.jpg" TargetMode="External"/><Relationship Id="rId1965" Type="http://schemas.openxmlformats.org/officeDocument/2006/relationships/hyperlink" Target="http://example.com/carrelage3.jpg" TargetMode="External"/><Relationship Id="rId1618" Type="http://schemas.openxmlformats.org/officeDocument/2006/relationships/hyperlink" Target="http://example.com/carrelage2.jpg" TargetMode="External"/><Relationship Id="rId1825" Type="http://schemas.openxmlformats.org/officeDocument/2006/relationships/hyperlink" Target="http://example.com/carrelage2.jpg" TargetMode="External"/><Relationship Id="rId199" Type="http://schemas.openxmlformats.org/officeDocument/2006/relationships/hyperlink" Target="http://example.com/carrelage1.jpg" TargetMode="External"/><Relationship Id="rId266" Type="http://schemas.openxmlformats.org/officeDocument/2006/relationships/hyperlink" Target="http://example.com/carrelage2.jpg" TargetMode="External"/><Relationship Id="rId473" Type="http://schemas.openxmlformats.org/officeDocument/2006/relationships/hyperlink" Target="http://example.com/carrelage2.jpg" TargetMode="External"/><Relationship Id="rId680" Type="http://schemas.openxmlformats.org/officeDocument/2006/relationships/hyperlink" Target="http://example.com/carrelage2.jpg" TargetMode="External"/><Relationship Id="rId126" Type="http://schemas.openxmlformats.org/officeDocument/2006/relationships/hyperlink" Target="http://example.com/carrelage3.jpg" TargetMode="External"/><Relationship Id="rId333" Type="http://schemas.openxmlformats.org/officeDocument/2006/relationships/hyperlink" Target="http://example.com/carrelage3.jpg" TargetMode="External"/><Relationship Id="rId540" Type="http://schemas.openxmlformats.org/officeDocument/2006/relationships/hyperlink" Target="http://example.com/carrelage3.jpg" TargetMode="External"/><Relationship Id="rId778" Type="http://schemas.openxmlformats.org/officeDocument/2006/relationships/hyperlink" Target="http://example.com/carrelage1.jpg" TargetMode="External"/><Relationship Id="rId985" Type="http://schemas.openxmlformats.org/officeDocument/2006/relationships/hyperlink" Target="http://example.com/carrelage1.jpg" TargetMode="External"/><Relationship Id="rId1170" Type="http://schemas.openxmlformats.org/officeDocument/2006/relationships/hyperlink" Target="http://example.com/carrelage1.jpg" TargetMode="External"/><Relationship Id="rId638" Type="http://schemas.openxmlformats.org/officeDocument/2006/relationships/hyperlink" Target="http://example.com/carrelage2.jpg" TargetMode="External"/><Relationship Id="rId845" Type="http://schemas.openxmlformats.org/officeDocument/2006/relationships/hyperlink" Target="http://example.com/carrelage2.jpg" TargetMode="External"/><Relationship Id="rId1030" Type="http://schemas.openxmlformats.org/officeDocument/2006/relationships/hyperlink" Target="http://example.com/carrelage1.jpg" TargetMode="External"/><Relationship Id="rId1268" Type="http://schemas.openxmlformats.org/officeDocument/2006/relationships/hyperlink" Target="http://example.com/carrelage3.jpg" TargetMode="External"/><Relationship Id="rId1475" Type="http://schemas.openxmlformats.org/officeDocument/2006/relationships/hyperlink" Target="http://example.com/carrelage3.jpg" TargetMode="External"/><Relationship Id="rId1682" Type="http://schemas.openxmlformats.org/officeDocument/2006/relationships/hyperlink" Target="http://example.com/carrelage3.jpg" TargetMode="External"/><Relationship Id="rId400" Type="http://schemas.openxmlformats.org/officeDocument/2006/relationships/hyperlink" Target="http://example.com/carrelage1.jpg" TargetMode="External"/><Relationship Id="rId705" Type="http://schemas.openxmlformats.org/officeDocument/2006/relationships/hyperlink" Target="http://example.com/carrelage3.jpg" TargetMode="External"/><Relationship Id="rId1128" Type="http://schemas.openxmlformats.org/officeDocument/2006/relationships/hyperlink" Target="http://example.com/carrelage1.jpg" TargetMode="External"/><Relationship Id="rId1335" Type="http://schemas.openxmlformats.org/officeDocument/2006/relationships/hyperlink" Target="http://example.com/carrelage1.jpg" TargetMode="External"/><Relationship Id="rId1542" Type="http://schemas.openxmlformats.org/officeDocument/2006/relationships/hyperlink" Target="http://example.com/carrelage1.jpg" TargetMode="External"/><Relationship Id="rId912" Type="http://schemas.openxmlformats.org/officeDocument/2006/relationships/hyperlink" Target="http://example.com/carrelage3.jpg" TargetMode="External"/><Relationship Id="rId1847" Type="http://schemas.openxmlformats.org/officeDocument/2006/relationships/hyperlink" Target="http://example.com/carrelage3.jpg" TargetMode="External"/><Relationship Id="rId41" Type="http://schemas.openxmlformats.org/officeDocument/2006/relationships/hyperlink" Target="http://example.com/carrelage2.jpg" TargetMode="External"/><Relationship Id="rId1402" Type="http://schemas.openxmlformats.org/officeDocument/2006/relationships/hyperlink" Target="http://example.com/carrelage2.jpg" TargetMode="External"/><Relationship Id="rId1707" Type="http://schemas.openxmlformats.org/officeDocument/2006/relationships/hyperlink" Target="http://example.com/carrelage1.jpg" TargetMode="External"/><Relationship Id="rId190" Type="http://schemas.openxmlformats.org/officeDocument/2006/relationships/hyperlink" Target="http://example.com/carrelage1.jpg" TargetMode="External"/><Relationship Id="rId288" Type="http://schemas.openxmlformats.org/officeDocument/2006/relationships/hyperlink" Target="http://example.com/carrelage3.jpg" TargetMode="External"/><Relationship Id="rId1914" Type="http://schemas.openxmlformats.org/officeDocument/2006/relationships/hyperlink" Target="http://example.com/carrelage1.jpg" TargetMode="External"/><Relationship Id="rId495" Type="http://schemas.openxmlformats.org/officeDocument/2006/relationships/hyperlink" Target="http://example.com/carrelage3.jpg" TargetMode="External"/><Relationship Id="rId148" Type="http://schemas.openxmlformats.org/officeDocument/2006/relationships/hyperlink" Target="http://example.com/carrelage1.jpg" TargetMode="External"/><Relationship Id="rId355" Type="http://schemas.openxmlformats.org/officeDocument/2006/relationships/hyperlink" Target="http://example.com/carrelage1.jpg" TargetMode="External"/><Relationship Id="rId562" Type="http://schemas.openxmlformats.org/officeDocument/2006/relationships/hyperlink" Target="http://example.com/carrelage1.jpg" TargetMode="External"/><Relationship Id="rId1192" Type="http://schemas.openxmlformats.org/officeDocument/2006/relationships/hyperlink" Target="http://example.com/carrelage2.jpg" TargetMode="External"/><Relationship Id="rId215" Type="http://schemas.openxmlformats.org/officeDocument/2006/relationships/hyperlink" Target="http://example.com/carrelage2.jpg" TargetMode="External"/><Relationship Id="rId422" Type="http://schemas.openxmlformats.org/officeDocument/2006/relationships/hyperlink" Target="http://example.com/carrelage2.jpg" TargetMode="External"/><Relationship Id="rId867" Type="http://schemas.openxmlformats.org/officeDocument/2006/relationships/hyperlink" Target="http://example.com/carrelage3.jpg" TargetMode="External"/><Relationship Id="rId1052" Type="http://schemas.openxmlformats.org/officeDocument/2006/relationships/hyperlink" Target="http://example.com/carrelage2.jpg" TargetMode="External"/><Relationship Id="rId1497" Type="http://schemas.openxmlformats.org/officeDocument/2006/relationships/hyperlink" Target="http://example.com/carrelage1.jpg" TargetMode="External"/><Relationship Id="rId727" Type="http://schemas.openxmlformats.org/officeDocument/2006/relationships/hyperlink" Target="http://example.com/carrelage1.jpg" TargetMode="External"/><Relationship Id="rId934" Type="http://schemas.openxmlformats.org/officeDocument/2006/relationships/hyperlink" Target="http://example.com/carrelage1.jpg" TargetMode="External"/><Relationship Id="rId1357" Type="http://schemas.openxmlformats.org/officeDocument/2006/relationships/hyperlink" Target="http://example.com/carrelage2.jpg" TargetMode="External"/><Relationship Id="rId1564" Type="http://schemas.openxmlformats.org/officeDocument/2006/relationships/hyperlink" Target="http://example.com/carrelage2.jpg" TargetMode="External"/><Relationship Id="rId1771" Type="http://schemas.openxmlformats.org/officeDocument/2006/relationships/hyperlink" Target="http://example.com/carrelage2.jpg" TargetMode="External"/><Relationship Id="rId63" Type="http://schemas.openxmlformats.org/officeDocument/2006/relationships/hyperlink" Target="http://example.com/carrelage3.jpg" TargetMode="External"/><Relationship Id="rId1217" Type="http://schemas.openxmlformats.org/officeDocument/2006/relationships/hyperlink" Target="http://example.com/carrelage3.jpg" TargetMode="External"/><Relationship Id="rId1424" Type="http://schemas.openxmlformats.org/officeDocument/2006/relationships/hyperlink" Target="http://example.com/carrelage3.jpg" TargetMode="External"/><Relationship Id="rId1631" Type="http://schemas.openxmlformats.org/officeDocument/2006/relationships/hyperlink" Target="http://example.com/carrelage3.jpg" TargetMode="External"/><Relationship Id="rId1869" Type="http://schemas.openxmlformats.org/officeDocument/2006/relationships/hyperlink" Target="http://example.com/carrelage1.jpg" TargetMode="External"/><Relationship Id="rId1729" Type="http://schemas.openxmlformats.org/officeDocument/2006/relationships/hyperlink" Target="http://example.com/carrelage2.jpg" TargetMode="External"/><Relationship Id="rId1936" Type="http://schemas.openxmlformats.org/officeDocument/2006/relationships/hyperlink" Target="http://example.com/carrelage2.jpg" TargetMode="External"/><Relationship Id="rId377" Type="http://schemas.openxmlformats.org/officeDocument/2006/relationships/hyperlink" Target="http://example.com/carrelage2.jpg" TargetMode="External"/><Relationship Id="rId584" Type="http://schemas.openxmlformats.org/officeDocument/2006/relationships/hyperlink" Target="http://example.com/carrelage2.jpg" TargetMode="External"/><Relationship Id="rId5" Type="http://schemas.openxmlformats.org/officeDocument/2006/relationships/hyperlink" Target="http://example.com/carrelage2.jpg" TargetMode="External"/><Relationship Id="rId237" Type="http://schemas.openxmlformats.org/officeDocument/2006/relationships/hyperlink" Target="http://example.com/carrelage3.jpg" TargetMode="External"/><Relationship Id="rId791" Type="http://schemas.openxmlformats.org/officeDocument/2006/relationships/hyperlink" Target="http://example.com/carrelage2.jpg" TargetMode="External"/><Relationship Id="rId889" Type="http://schemas.openxmlformats.org/officeDocument/2006/relationships/hyperlink" Target="http://example.com/carrelage1.jpg" TargetMode="External"/><Relationship Id="rId1074" Type="http://schemas.openxmlformats.org/officeDocument/2006/relationships/hyperlink" Target="http://example.com/carrelage3.jpg" TargetMode="External"/><Relationship Id="rId444" Type="http://schemas.openxmlformats.org/officeDocument/2006/relationships/hyperlink" Target="http://example.com/carrelage3.jpg" TargetMode="External"/><Relationship Id="rId651" Type="http://schemas.openxmlformats.org/officeDocument/2006/relationships/hyperlink" Target="http://example.com/carrelage3.jpg" TargetMode="External"/><Relationship Id="rId749" Type="http://schemas.openxmlformats.org/officeDocument/2006/relationships/hyperlink" Target="http://example.com/carrelage2.jpg" TargetMode="External"/><Relationship Id="rId1281" Type="http://schemas.openxmlformats.org/officeDocument/2006/relationships/hyperlink" Target="http://example.com/carrelage1.jpg" TargetMode="External"/><Relationship Id="rId1379" Type="http://schemas.openxmlformats.org/officeDocument/2006/relationships/hyperlink" Target="http://example.com/carrelage3.jpg" TargetMode="External"/><Relationship Id="rId1586" Type="http://schemas.openxmlformats.org/officeDocument/2006/relationships/hyperlink" Target="http://example.com/carrelage3.jpg" TargetMode="External"/><Relationship Id="rId304" Type="http://schemas.openxmlformats.org/officeDocument/2006/relationships/hyperlink" Target="http://example.com/carrelage1.jpg" TargetMode="External"/><Relationship Id="rId511" Type="http://schemas.openxmlformats.org/officeDocument/2006/relationships/hyperlink" Target="http://example.com/carrelage1.jpg" TargetMode="External"/><Relationship Id="rId609" Type="http://schemas.openxmlformats.org/officeDocument/2006/relationships/hyperlink" Target="http://example.com/carrelage3.jpg" TargetMode="External"/><Relationship Id="rId956" Type="http://schemas.openxmlformats.org/officeDocument/2006/relationships/hyperlink" Target="http://example.com/carrelage2.jpg" TargetMode="External"/><Relationship Id="rId1141" Type="http://schemas.openxmlformats.org/officeDocument/2006/relationships/hyperlink" Target="http://example.com/carrelage2.jpg" TargetMode="External"/><Relationship Id="rId1239" Type="http://schemas.openxmlformats.org/officeDocument/2006/relationships/hyperlink" Target="http://example.com/carrelage1.jpg" TargetMode="External"/><Relationship Id="rId1793" Type="http://schemas.openxmlformats.org/officeDocument/2006/relationships/hyperlink" Target="http://example.com/carrelage3.jpg" TargetMode="External"/><Relationship Id="rId85" Type="http://schemas.openxmlformats.org/officeDocument/2006/relationships/hyperlink" Target="http://example.com/carrelage1.jpg" TargetMode="External"/><Relationship Id="rId816" Type="http://schemas.openxmlformats.org/officeDocument/2006/relationships/hyperlink" Target="http://example.com/carrelage3.jpg" TargetMode="External"/><Relationship Id="rId1001" Type="http://schemas.openxmlformats.org/officeDocument/2006/relationships/hyperlink" Target="http://example.com/carrelage2.jpg" TargetMode="External"/><Relationship Id="rId1446" Type="http://schemas.openxmlformats.org/officeDocument/2006/relationships/hyperlink" Target="http://example.com/carrelage1.jpg" TargetMode="External"/><Relationship Id="rId1653" Type="http://schemas.openxmlformats.org/officeDocument/2006/relationships/hyperlink" Target="http://example.com/carrelage1.jpg" TargetMode="External"/><Relationship Id="rId1860" Type="http://schemas.openxmlformats.org/officeDocument/2006/relationships/hyperlink" Target="http://example.com/carrelage1.jpg" TargetMode="External"/><Relationship Id="rId1306" Type="http://schemas.openxmlformats.org/officeDocument/2006/relationships/hyperlink" Target="http://example.com/carrelage2.jpg" TargetMode="External"/><Relationship Id="rId1513" Type="http://schemas.openxmlformats.org/officeDocument/2006/relationships/hyperlink" Target="http://example.com/carrelage2.jpg" TargetMode="External"/><Relationship Id="rId1720" Type="http://schemas.openxmlformats.org/officeDocument/2006/relationships/hyperlink" Target="http://example.com/carrelage2.jpg" TargetMode="External"/><Relationship Id="rId1958" Type="http://schemas.openxmlformats.org/officeDocument/2006/relationships/hyperlink" Target="http://example.com/carrelage2.jpg" TargetMode="External"/><Relationship Id="rId12" Type="http://schemas.openxmlformats.org/officeDocument/2006/relationships/hyperlink" Target="http://example.com/carrelage3.jpg" TargetMode="External"/><Relationship Id="rId1818" Type="http://schemas.openxmlformats.org/officeDocument/2006/relationships/hyperlink" Target="http://example.com/carrelage1.jpg" TargetMode="External"/><Relationship Id="rId161" Type="http://schemas.openxmlformats.org/officeDocument/2006/relationships/hyperlink" Target="http://example.com/carrelage2.jpg" TargetMode="External"/><Relationship Id="rId399" Type="http://schemas.openxmlformats.org/officeDocument/2006/relationships/hyperlink" Target="http://example.com/carrelage3.jpg" TargetMode="External"/><Relationship Id="rId259" Type="http://schemas.openxmlformats.org/officeDocument/2006/relationships/hyperlink" Target="http://example.com/carrelage1.jpg" TargetMode="External"/><Relationship Id="rId466" Type="http://schemas.openxmlformats.org/officeDocument/2006/relationships/hyperlink" Target="http://example.com/carrelage1.jpg" TargetMode="External"/><Relationship Id="rId673" Type="http://schemas.openxmlformats.org/officeDocument/2006/relationships/hyperlink" Target="http://example.com/carrelage1.jpg" TargetMode="External"/><Relationship Id="rId880" Type="http://schemas.openxmlformats.org/officeDocument/2006/relationships/hyperlink" Target="http://example.com/carrelage1.jpg" TargetMode="External"/><Relationship Id="rId1096" Type="http://schemas.openxmlformats.org/officeDocument/2006/relationships/hyperlink" Target="http://example.com/carrelage2.jpg" TargetMode="External"/><Relationship Id="rId119" Type="http://schemas.openxmlformats.org/officeDocument/2006/relationships/hyperlink" Target="http://example.com/carrelage2.jpg" TargetMode="External"/><Relationship Id="rId326" Type="http://schemas.openxmlformats.org/officeDocument/2006/relationships/hyperlink" Target="http://example.com/carrelage2.jpg" TargetMode="External"/><Relationship Id="rId533" Type="http://schemas.openxmlformats.org/officeDocument/2006/relationships/hyperlink" Target="http://example.com/carrelage2.jpg" TargetMode="External"/><Relationship Id="rId978" Type="http://schemas.openxmlformats.org/officeDocument/2006/relationships/hyperlink" Target="http://example.com/carrelage3.jpg" TargetMode="External"/><Relationship Id="rId1163" Type="http://schemas.openxmlformats.org/officeDocument/2006/relationships/hyperlink" Target="http://example.com/carrelage3.jpg" TargetMode="External"/><Relationship Id="rId1370" Type="http://schemas.openxmlformats.org/officeDocument/2006/relationships/hyperlink" Target="http://example.com/carrelage3.jpg" TargetMode="External"/><Relationship Id="rId740" Type="http://schemas.openxmlformats.org/officeDocument/2006/relationships/hyperlink" Target="http://example.com/carrelage2.jpg" TargetMode="External"/><Relationship Id="rId838" Type="http://schemas.openxmlformats.org/officeDocument/2006/relationships/hyperlink" Target="http://example.com/carrelage1.jpg" TargetMode="External"/><Relationship Id="rId1023" Type="http://schemas.openxmlformats.org/officeDocument/2006/relationships/hyperlink" Target="http://example.com/carrelage3.jpg" TargetMode="External"/><Relationship Id="rId1468" Type="http://schemas.openxmlformats.org/officeDocument/2006/relationships/hyperlink" Target="http://example.com/carrelage2.jpg" TargetMode="External"/><Relationship Id="rId1675" Type="http://schemas.openxmlformats.org/officeDocument/2006/relationships/hyperlink" Target="http://example.com/carrelage2.jpg" TargetMode="External"/><Relationship Id="rId1882" Type="http://schemas.openxmlformats.org/officeDocument/2006/relationships/hyperlink" Target="http://example.com/carrelage2.jpg" TargetMode="External"/><Relationship Id="rId600" Type="http://schemas.openxmlformats.org/officeDocument/2006/relationships/hyperlink" Target="http://example.com/carrelage3.jpg" TargetMode="External"/><Relationship Id="rId1230" Type="http://schemas.openxmlformats.org/officeDocument/2006/relationships/hyperlink" Target="http://example.com/carrelage1.jpg" TargetMode="External"/><Relationship Id="rId1328" Type="http://schemas.openxmlformats.org/officeDocument/2006/relationships/hyperlink" Target="http://example.com/carrelage3.jpg" TargetMode="External"/><Relationship Id="rId1535" Type="http://schemas.openxmlformats.org/officeDocument/2006/relationships/hyperlink" Target="http://example.com/carrelage3.jpg" TargetMode="External"/><Relationship Id="rId905" Type="http://schemas.openxmlformats.org/officeDocument/2006/relationships/hyperlink" Target="http://example.com/carrelage2.jpg" TargetMode="External"/><Relationship Id="rId1742" Type="http://schemas.openxmlformats.org/officeDocument/2006/relationships/hyperlink" Target="http://example.com/carrelage3.jpg" TargetMode="External"/><Relationship Id="rId34" Type="http://schemas.openxmlformats.org/officeDocument/2006/relationships/hyperlink" Target="http://example.com/carrelage1.jpg" TargetMode="External"/><Relationship Id="rId1602" Type="http://schemas.openxmlformats.org/officeDocument/2006/relationships/hyperlink" Target="http://example.com/carrelage1.jpg" TargetMode="External"/><Relationship Id="rId183" Type="http://schemas.openxmlformats.org/officeDocument/2006/relationships/hyperlink" Target="http://example.com/carrelage3.jpg" TargetMode="External"/><Relationship Id="rId390" Type="http://schemas.openxmlformats.org/officeDocument/2006/relationships/hyperlink" Target="http://example.com/carrelage3.jpg" TargetMode="External"/><Relationship Id="rId1907" Type="http://schemas.openxmlformats.org/officeDocument/2006/relationships/hyperlink" Target="http://example.com/carrelage3.jpg" TargetMode="External"/><Relationship Id="rId250" Type="http://schemas.openxmlformats.org/officeDocument/2006/relationships/hyperlink" Target="http://example.com/carrelage1.jpg" TargetMode="External"/><Relationship Id="rId488" Type="http://schemas.openxmlformats.org/officeDocument/2006/relationships/hyperlink" Target="http://example.com/carrelage2.jpg" TargetMode="External"/><Relationship Id="rId695" Type="http://schemas.openxmlformats.org/officeDocument/2006/relationships/hyperlink" Target="http://example.com/carrelage2.jpg" TargetMode="External"/><Relationship Id="rId110" Type="http://schemas.openxmlformats.org/officeDocument/2006/relationships/hyperlink" Target="http://example.com/carrelage2.jpg" TargetMode="External"/><Relationship Id="rId348" Type="http://schemas.openxmlformats.org/officeDocument/2006/relationships/hyperlink" Target="http://example.com/carrelage3.jpg" TargetMode="External"/><Relationship Id="rId555" Type="http://schemas.openxmlformats.org/officeDocument/2006/relationships/hyperlink" Target="http://example.com/carrelage3.jpg" TargetMode="External"/><Relationship Id="rId762" Type="http://schemas.openxmlformats.org/officeDocument/2006/relationships/hyperlink" Target="http://example.com/carrelage3.jpg" TargetMode="External"/><Relationship Id="rId1185" Type="http://schemas.openxmlformats.org/officeDocument/2006/relationships/hyperlink" Target="http://example.com/carrelage1.jpg" TargetMode="External"/><Relationship Id="rId1392" Type="http://schemas.openxmlformats.org/officeDocument/2006/relationships/hyperlink" Target="http://example.com/carrelage1.jpg" TargetMode="External"/><Relationship Id="rId208" Type="http://schemas.openxmlformats.org/officeDocument/2006/relationships/hyperlink" Target="http://example.com/carrelage1.jpg" TargetMode="External"/><Relationship Id="rId415" Type="http://schemas.openxmlformats.org/officeDocument/2006/relationships/hyperlink" Target="http://example.com/carrelage1.jpg" TargetMode="External"/><Relationship Id="rId622" Type="http://schemas.openxmlformats.org/officeDocument/2006/relationships/hyperlink" Target="http://example.com/carrelage1.jpg" TargetMode="External"/><Relationship Id="rId1045" Type="http://schemas.openxmlformats.org/officeDocument/2006/relationships/hyperlink" Target="http://example.com/carrelage1.jpg" TargetMode="External"/><Relationship Id="rId1252" Type="http://schemas.openxmlformats.org/officeDocument/2006/relationships/hyperlink" Target="http://example.com/carrelage2.jpg" TargetMode="External"/><Relationship Id="rId1697" Type="http://schemas.openxmlformats.org/officeDocument/2006/relationships/hyperlink" Target="http://example.com/carrelage3.jpg" TargetMode="External"/><Relationship Id="rId927" Type="http://schemas.openxmlformats.org/officeDocument/2006/relationships/hyperlink" Target="http://example.com/carrelage3.jpg" TargetMode="External"/><Relationship Id="rId1112" Type="http://schemas.openxmlformats.org/officeDocument/2006/relationships/hyperlink" Target="http://example.com/carrelage3.jpg" TargetMode="External"/><Relationship Id="rId1557" Type="http://schemas.openxmlformats.org/officeDocument/2006/relationships/hyperlink" Target="http://example.com/carrelage1.jpg" TargetMode="External"/><Relationship Id="rId1764" Type="http://schemas.openxmlformats.org/officeDocument/2006/relationships/hyperlink" Target="http://example.com/carrelage1.jpg" TargetMode="External"/><Relationship Id="rId1971" Type="http://schemas.openxmlformats.org/officeDocument/2006/relationships/hyperlink" Target="http://example.com/carrelage3.jpg" TargetMode="External"/><Relationship Id="rId56" Type="http://schemas.openxmlformats.org/officeDocument/2006/relationships/hyperlink" Target="http://example.com/carrelage2.jpg" TargetMode="External"/><Relationship Id="rId1417" Type="http://schemas.openxmlformats.org/officeDocument/2006/relationships/hyperlink" Target="http://example.com/carrelage2.jpg" TargetMode="External"/><Relationship Id="rId1624" Type="http://schemas.openxmlformats.org/officeDocument/2006/relationships/hyperlink" Target="http://example.com/carrelage2.jpg" TargetMode="External"/><Relationship Id="rId1831" Type="http://schemas.openxmlformats.org/officeDocument/2006/relationships/hyperlink" Target="http://example.com/carrelage2.jpg" TargetMode="External"/><Relationship Id="rId1929" Type="http://schemas.openxmlformats.org/officeDocument/2006/relationships/hyperlink" Target="http://example.com/carrelage1.jpg" TargetMode="External"/><Relationship Id="rId272" Type="http://schemas.openxmlformats.org/officeDocument/2006/relationships/hyperlink" Target="http://example.com/carrelage2.jpg" TargetMode="External"/><Relationship Id="rId577" Type="http://schemas.openxmlformats.org/officeDocument/2006/relationships/hyperlink" Target="http://example.com/carrelage1.jpg" TargetMode="External"/><Relationship Id="rId132" Type="http://schemas.openxmlformats.org/officeDocument/2006/relationships/hyperlink" Target="http://example.com/carrelage3.jpg" TargetMode="External"/><Relationship Id="rId784" Type="http://schemas.openxmlformats.org/officeDocument/2006/relationships/hyperlink" Target="http://example.com/carrelage1.jpg" TargetMode="External"/><Relationship Id="rId991" Type="http://schemas.openxmlformats.org/officeDocument/2006/relationships/hyperlink" Target="http://example.com/carrelage1.jpg" TargetMode="External"/><Relationship Id="rId1067" Type="http://schemas.openxmlformats.org/officeDocument/2006/relationships/hyperlink" Target="http://example.com/carrelage2.jpg" TargetMode="External"/><Relationship Id="rId437" Type="http://schemas.openxmlformats.org/officeDocument/2006/relationships/hyperlink" Target="http://example.com/carrelage2.jpg" TargetMode="External"/><Relationship Id="rId644" Type="http://schemas.openxmlformats.org/officeDocument/2006/relationships/hyperlink" Target="http://example.com/carrelage2.jpg" TargetMode="External"/><Relationship Id="rId851" Type="http://schemas.openxmlformats.org/officeDocument/2006/relationships/hyperlink" Target="http://example.com/carrelage2.jpg" TargetMode="External"/><Relationship Id="rId1274" Type="http://schemas.openxmlformats.org/officeDocument/2006/relationships/hyperlink" Target="http://example.com/carrelage3.jpg" TargetMode="External"/><Relationship Id="rId1481" Type="http://schemas.openxmlformats.org/officeDocument/2006/relationships/hyperlink" Target="http://example.com/carrelage3.jpg" TargetMode="External"/><Relationship Id="rId1579" Type="http://schemas.openxmlformats.org/officeDocument/2006/relationships/hyperlink" Target="http://example.com/carrelage2.jpg" TargetMode="External"/><Relationship Id="rId504" Type="http://schemas.openxmlformats.org/officeDocument/2006/relationships/hyperlink" Target="http://example.com/carrelage3.jpg" TargetMode="External"/><Relationship Id="rId711" Type="http://schemas.openxmlformats.org/officeDocument/2006/relationships/hyperlink" Target="http://example.com/carrelage3.jpg" TargetMode="External"/><Relationship Id="rId949" Type="http://schemas.openxmlformats.org/officeDocument/2006/relationships/hyperlink" Target="http://example.com/carrelage1.jpg" TargetMode="External"/><Relationship Id="rId1134" Type="http://schemas.openxmlformats.org/officeDocument/2006/relationships/hyperlink" Target="http://example.com/carrelage1.jpg" TargetMode="External"/><Relationship Id="rId1341" Type="http://schemas.openxmlformats.org/officeDocument/2006/relationships/hyperlink" Target="http://example.com/carrelage1.jpg" TargetMode="External"/><Relationship Id="rId1786" Type="http://schemas.openxmlformats.org/officeDocument/2006/relationships/hyperlink" Target="http://example.com/carrelage2.jpg" TargetMode="External"/><Relationship Id="rId78" Type="http://schemas.openxmlformats.org/officeDocument/2006/relationships/hyperlink" Target="http://example.com/carrelage3.jpg" TargetMode="External"/><Relationship Id="rId809" Type="http://schemas.openxmlformats.org/officeDocument/2006/relationships/hyperlink" Target="http://example.com/carrelage2.jpg" TargetMode="External"/><Relationship Id="rId1201" Type="http://schemas.openxmlformats.org/officeDocument/2006/relationships/hyperlink" Target="http://example.com/carrelage2.jpg" TargetMode="External"/><Relationship Id="rId1439" Type="http://schemas.openxmlformats.org/officeDocument/2006/relationships/hyperlink" Target="http://example.com/carrelage3.jpg" TargetMode="External"/><Relationship Id="rId1646" Type="http://schemas.openxmlformats.org/officeDocument/2006/relationships/hyperlink" Target="http://example.com/carrelage3.jpg" TargetMode="External"/><Relationship Id="rId1853" Type="http://schemas.openxmlformats.org/officeDocument/2006/relationships/hyperlink" Target="http://example.com/carrelage3.jpg" TargetMode="External"/><Relationship Id="rId1506" Type="http://schemas.openxmlformats.org/officeDocument/2006/relationships/hyperlink" Target="http://example.com/carrelage1.jpg" TargetMode="External"/><Relationship Id="rId1713" Type="http://schemas.openxmlformats.org/officeDocument/2006/relationships/hyperlink" Target="http://example.com/carrelage1.jpg" TargetMode="External"/><Relationship Id="rId1920" Type="http://schemas.openxmlformats.org/officeDocument/2006/relationships/hyperlink" Target="http://example.com/carrelage1.jpg" TargetMode="External"/><Relationship Id="rId294" Type="http://schemas.openxmlformats.org/officeDocument/2006/relationships/hyperlink" Target="http://example.com/carrelage3.jpg" TargetMode="External"/><Relationship Id="rId154" Type="http://schemas.openxmlformats.org/officeDocument/2006/relationships/hyperlink" Target="http://example.com/carrelage1.jpg" TargetMode="External"/><Relationship Id="rId361" Type="http://schemas.openxmlformats.org/officeDocument/2006/relationships/hyperlink" Target="http://example.com/carrelage1.jpg" TargetMode="External"/><Relationship Id="rId599" Type="http://schemas.openxmlformats.org/officeDocument/2006/relationships/hyperlink" Target="http://example.com/carrelage2.jpg" TargetMode="External"/><Relationship Id="rId459" Type="http://schemas.openxmlformats.org/officeDocument/2006/relationships/hyperlink" Target="http://example.com/carrelage3.jpg" TargetMode="External"/><Relationship Id="rId666" Type="http://schemas.openxmlformats.org/officeDocument/2006/relationships/hyperlink" Target="http://example.com/carrelage3.jpg" TargetMode="External"/><Relationship Id="rId873" Type="http://schemas.openxmlformats.org/officeDocument/2006/relationships/hyperlink" Target="http://example.com/carrelage3.jpg" TargetMode="External"/><Relationship Id="rId1089" Type="http://schemas.openxmlformats.org/officeDocument/2006/relationships/hyperlink" Target="http://example.com/meuble1.jpg" TargetMode="External"/><Relationship Id="rId1296" Type="http://schemas.openxmlformats.org/officeDocument/2006/relationships/hyperlink" Target="http://example.com/carrelage1.jpg" TargetMode="External"/><Relationship Id="rId221" Type="http://schemas.openxmlformats.org/officeDocument/2006/relationships/hyperlink" Target="http://example.com/carrelage2.jpg" TargetMode="External"/><Relationship Id="rId319" Type="http://schemas.openxmlformats.org/officeDocument/2006/relationships/hyperlink" Target="http://example.com/carrelage1.jpg" TargetMode="External"/><Relationship Id="rId526" Type="http://schemas.openxmlformats.org/officeDocument/2006/relationships/hyperlink" Target="http://example.com/carrelage1.jpg" TargetMode="External"/><Relationship Id="rId1156" Type="http://schemas.openxmlformats.org/officeDocument/2006/relationships/hyperlink" Target="http://example.com/carrelage2.jpg" TargetMode="External"/><Relationship Id="rId1363" Type="http://schemas.openxmlformats.org/officeDocument/2006/relationships/hyperlink" Target="http://example.com/carrelage2.jpg" TargetMode="External"/><Relationship Id="rId733" Type="http://schemas.openxmlformats.org/officeDocument/2006/relationships/hyperlink" Target="http://example.com/carrelage1.jpg" TargetMode="External"/><Relationship Id="rId940" Type="http://schemas.openxmlformats.org/officeDocument/2006/relationships/hyperlink" Target="http://example.com/carrelage1.jpg" TargetMode="External"/><Relationship Id="rId1016" Type="http://schemas.openxmlformats.org/officeDocument/2006/relationships/hyperlink" Target="http://example.com/carrelage2.jpg" TargetMode="External"/><Relationship Id="rId1570" Type="http://schemas.openxmlformats.org/officeDocument/2006/relationships/hyperlink" Target="http://example.com/carrelage2.jpg" TargetMode="External"/><Relationship Id="rId1668" Type="http://schemas.openxmlformats.org/officeDocument/2006/relationships/hyperlink" Target="http://example.com/carrelage1.jpg" TargetMode="External"/><Relationship Id="rId1875" Type="http://schemas.openxmlformats.org/officeDocument/2006/relationships/hyperlink" Target="http://example.com/carrelage1.jpg" TargetMode="External"/><Relationship Id="rId800" Type="http://schemas.openxmlformats.org/officeDocument/2006/relationships/hyperlink" Target="http://example.com/carrelage2.jpg" TargetMode="External"/><Relationship Id="rId1223" Type="http://schemas.openxmlformats.org/officeDocument/2006/relationships/hyperlink" Target="http://example.com/carrelage3.jpg" TargetMode="External"/><Relationship Id="rId1430" Type="http://schemas.openxmlformats.org/officeDocument/2006/relationships/hyperlink" Target="http://example.com/carrelage3.jpg" TargetMode="External"/><Relationship Id="rId1528" Type="http://schemas.openxmlformats.org/officeDocument/2006/relationships/hyperlink" Target="http://example.com/carrelage2.jpg" TargetMode="External"/><Relationship Id="rId1735" Type="http://schemas.openxmlformats.org/officeDocument/2006/relationships/hyperlink" Target="http://example.com/carrelage2.jpg" TargetMode="External"/><Relationship Id="rId1942" Type="http://schemas.openxmlformats.org/officeDocument/2006/relationships/hyperlink" Target="http://example.com/carrelage1.jpg" TargetMode="External"/><Relationship Id="rId27" Type="http://schemas.openxmlformats.org/officeDocument/2006/relationships/hyperlink" Target="http://example.com/carrelage3.jpg" TargetMode="External"/><Relationship Id="rId1802" Type="http://schemas.openxmlformats.org/officeDocument/2006/relationships/hyperlink" Target="http://example.com/carrelage3.jpg" TargetMode="External"/><Relationship Id="rId176" Type="http://schemas.openxmlformats.org/officeDocument/2006/relationships/hyperlink" Target="http://example.com/carrelage2.jpg" TargetMode="External"/><Relationship Id="rId383" Type="http://schemas.openxmlformats.org/officeDocument/2006/relationships/hyperlink" Target="http://example.com/carrelage2.jpg" TargetMode="External"/><Relationship Id="rId590" Type="http://schemas.openxmlformats.org/officeDocument/2006/relationships/hyperlink" Target="http://example.com/carrelage2.jpg" TargetMode="External"/><Relationship Id="rId243" Type="http://schemas.openxmlformats.org/officeDocument/2006/relationships/hyperlink" Target="http://example.com/carrelage3.jpg" TargetMode="External"/><Relationship Id="rId450" Type="http://schemas.openxmlformats.org/officeDocument/2006/relationships/hyperlink" Target="http://example.com/carrelage3.jpg" TargetMode="External"/><Relationship Id="rId688" Type="http://schemas.openxmlformats.org/officeDocument/2006/relationships/hyperlink" Target="http://example.com/carrelage1.jpg" TargetMode="External"/><Relationship Id="rId895" Type="http://schemas.openxmlformats.org/officeDocument/2006/relationships/hyperlink" Target="http://example.com/carrelage1.jpg" TargetMode="External"/><Relationship Id="rId1080" Type="http://schemas.openxmlformats.org/officeDocument/2006/relationships/hyperlink" Target="http://example.com/carrelage3.jpg" TargetMode="External"/><Relationship Id="rId103" Type="http://schemas.openxmlformats.org/officeDocument/2006/relationships/hyperlink" Target="http://example.com/carrelage1.jpg" TargetMode="External"/><Relationship Id="rId310" Type="http://schemas.openxmlformats.org/officeDocument/2006/relationships/hyperlink" Target="http://example.com/carrelage1.jpg" TargetMode="External"/><Relationship Id="rId548" Type="http://schemas.openxmlformats.org/officeDocument/2006/relationships/hyperlink" Target="http://example.com/carrelage2.jpg" TargetMode="External"/><Relationship Id="rId755" Type="http://schemas.openxmlformats.org/officeDocument/2006/relationships/hyperlink" Target="http://example.com/carrelage2.jpg" TargetMode="External"/><Relationship Id="rId962" Type="http://schemas.openxmlformats.org/officeDocument/2006/relationships/hyperlink" Target="http://example.com/carrelage2.jpg" TargetMode="External"/><Relationship Id="rId1178" Type="http://schemas.openxmlformats.org/officeDocument/2006/relationships/hyperlink" Target="http://example.com/carrelage3.jpg" TargetMode="External"/><Relationship Id="rId1385" Type="http://schemas.openxmlformats.org/officeDocument/2006/relationships/hyperlink" Target="http://example.com/carrelage3.jpg" TargetMode="External"/><Relationship Id="rId1592" Type="http://schemas.openxmlformats.org/officeDocument/2006/relationships/hyperlink" Target="http://example.com/carrelage3.jpg" TargetMode="External"/><Relationship Id="rId91" Type="http://schemas.openxmlformats.org/officeDocument/2006/relationships/hyperlink" Target="http://example.com/carrelage1.jpg" TargetMode="External"/><Relationship Id="rId408" Type="http://schemas.openxmlformats.org/officeDocument/2006/relationships/hyperlink" Target="http://example.com/carrelage3.jpg" TargetMode="External"/><Relationship Id="rId615" Type="http://schemas.openxmlformats.org/officeDocument/2006/relationships/hyperlink" Target="http://example.com/carrelage3.jpg" TargetMode="External"/><Relationship Id="rId822" Type="http://schemas.openxmlformats.org/officeDocument/2006/relationships/hyperlink" Target="http://example.com/carrelage3.jpg" TargetMode="External"/><Relationship Id="rId1038" Type="http://schemas.openxmlformats.org/officeDocument/2006/relationships/hyperlink" Target="http://example.com/carrelage3.jpg" TargetMode="External"/><Relationship Id="rId1245" Type="http://schemas.openxmlformats.org/officeDocument/2006/relationships/hyperlink" Target="http://example.com/carrelage1.jpg" TargetMode="External"/><Relationship Id="rId1452" Type="http://schemas.openxmlformats.org/officeDocument/2006/relationships/hyperlink" Target="http://example.com/carrelage1.jpg" TargetMode="External"/><Relationship Id="rId1897" Type="http://schemas.openxmlformats.org/officeDocument/2006/relationships/hyperlink" Target="http://example.com/carrelage2.jpg" TargetMode="External"/><Relationship Id="rId1105" Type="http://schemas.openxmlformats.org/officeDocument/2006/relationships/hyperlink" Target="http://example.com/carrelage2.jpg" TargetMode="External"/><Relationship Id="rId1312" Type="http://schemas.openxmlformats.org/officeDocument/2006/relationships/hyperlink" Target="http://example.com/carrelage2.jpg" TargetMode="External"/><Relationship Id="rId1757" Type="http://schemas.openxmlformats.org/officeDocument/2006/relationships/hyperlink" Target="http://example.com/carrelage3.jpg" TargetMode="External"/><Relationship Id="rId1964" Type="http://schemas.openxmlformats.org/officeDocument/2006/relationships/hyperlink" Target="http://example.com/carrelage2.jpg" TargetMode="External"/><Relationship Id="rId49" Type="http://schemas.openxmlformats.org/officeDocument/2006/relationships/hyperlink" Target="http://example.com/carrelage1.jpg" TargetMode="External"/><Relationship Id="rId1617" Type="http://schemas.openxmlformats.org/officeDocument/2006/relationships/hyperlink" Target="http://example.com/carrelage1.jpg" TargetMode="External"/><Relationship Id="rId1824" Type="http://schemas.openxmlformats.org/officeDocument/2006/relationships/hyperlink" Target="http://example.com/carrelage1.jpg" TargetMode="External"/><Relationship Id="rId198" Type="http://schemas.openxmlformats.org/officeDocument/2006/relationships/hyperlink" Target="http://example.com/carrelage3.jpg" TargetMode="External"/><Relationship Id="rId265" Type="http://schemas.openxmlformats.org/officeDocument/2006/relationships/hyperlink" Target="http://example.com/carrelage1.jpg" TargetMode="External"/><Relationship Id="rId472" Type="http://schemas.openxmlformats.org/officeDocument/2006/relationships/hyperlink" Target="http://example.com/carrelage1.jpg" TargetMode="External"/><Relationship Id="rId125" Type="http://schemas.openxmlformats.org/officeDocument/2006/relationships/hyperlink" Target="http://example.com/carrelage2.jpg" TargetMode="External"/><Relationship Id="rId332" Type="http://schemas.openxmlformats.org/officeDocument/2006/relationships/hyperlink" Target="http://example.com/carrelage2.jpg" TargetMode="External"/><Relationship Id="rId777" Type="http://schemas.openxmlformats.org/officeDocument/2006/relationships/hyperlink" Target="http://example.com/carrelage3.jpg" TargetMode="External"/><Relationship Id="rId984" Type="http://schemas.openxmlformats.org/officeDocument/2006/relationships/hyperlink" Target="http://example.com/carrelage3.jpg" TargetMode="External"/><Relationship Id="rId637" Type="http://schemas.openxmlformats.org/officeDocument/2006/relationships/hyperlink" Target="http://example.com/carrelage1.jpg" TargetMode="External"/><Relationship Id="rId844" Type="http://schemas.openxmlformats.org/officeDocument/2006/relationships/hyperlink" Target="http://example.com/carrelage1.jpg" TargetMode="External"/><Relationship Id="rId1267" Type="http://schemas.openxmlformats.org/officeDocument/2006/relationships/hyperlink" Target="http://example.com/carrelage2.jpg" TargetMode="External"/><Relationship Id="rId1474" Type="http://schemas.openxmlformats.org/officeDocument/2006/relationships/hyperlink" Target="http://example.com/carrelage2.jpg" TargetMode="External"/><Relationship Id="rId1681" Type="http://schemas.openxmlformats.org/officeDocument/2006/relationships/hyperlink" Target="http://example.com/carrelage2.jpg" TargetMode="External"/><Relationship Id="rId704" Type="http://schemas.openxmlformats.org/officeDocument/2006/relationships/hyperlink" Target="http://example.com/carrelage2.jpg" TargetMode="External"/><Relationship Id="rId911" Type="http://schemas.openxmlformats.org/officeDocument/2006/relationships/hyperlink" Target="http://example.com/carrelage2.jpg" TargetMode="External"/><Relationship Id="rId1127" Type="http://schemas.openxmlformats.org/officeDocument/2006/relationships/hyperlink" Target="http://example.com/carrelage3.jpg" TargetMode="External"/><Relationship Id="rId1334" Type="http://schemas.openxmlformats.org/officeDocument/2006/relationships/hyperlink" Target="http://example.com/carrelage3.jpg" TargetMode="External"/><Relationship Id="rId1541" Type="http://schemas.openxmlformats.org/officeDocument/2006/relationships/hyperlink" Target="http://example.com/carrelage3.jpg" TargetMode="External"/><Relationship Id="rId1779" Type="http://schemas.openxmlformats.org/officeDocument/2006/relationships/hyperlink" Target="http://example.com/carrelage1.jpg" TargetMode="External"/><Relationship Id="rId40" Type="http://schemas.openxmlformats.org/officeDocument/2006/relationships/hyperlink" Target="http://example.com/carrelage1.jpg" TargetMode="External"/><Relationship Id="rId1401" Type="http://schemas.openxmlformats.org/officeDocument/2006/relationships/hyperlink" Target="http://example.com/carrelage1.jpg" TargetMode="External"/><Relationship Id="rId1639" Type="http://schemas.openxmlformats.org/officeDocument/2006/relationships/hyperlink" Target="http://example.com/carrelage2.jpg" TargetMode="External"/><Relationship Id="rId1846" Type="http://schemas.openxmlformats.org/officeDocument/2006/relationships/hyperlink" Target="http://example.com/carrelage2.jpg" TargetMode="External"/><Relationship Id="rId1706" Type="http://schemas.openxmlformats.org/officeDocument/2006/relationships/hyperlink" Target="http://example.com/carrelage3.jpg" TargetMode="External"/><Relationship Id="rId1913" Type="http://schemas.openxmlformats.org/officeDocument/2006/relationships/hyperlink" Target="http://example.com/carrelage3.jpg" TargetMode="External"/><Relationship Id="rId287" Type="http://schemas.openxmlformats.org/officeDocument/2006/relationships/hyperlink" Target="http://example.com/carrelage2.jpg" TargetMode="External"/><Relationship Id="rId494" Type="http://schemas.openxmlformats.org/officeDocument/2006/relationships/hyperlink" Target="http://example.com/carrelage2.jpg" TargetMode="External"/><Relationship Id="rId147" Type="http://schemas.openxmlformats.org/officeDocument/2006/relationships/hyperlink" Target="http://example.com/carrelage3.jpg" TargetMode="External"/><Relationship Id="rId354" Type="http://schemas.openxmlformats.org/officeDocument/2006/relationships/hyperlink" Target="http://example.com/carrelage3.jpg" TargetMode="External"/><Relationship Id="rId799" Type="http://schemas.openxmlformats.org/officeDocument/2006/relationships/hyperlink" Target="http://example.com/carrelage1.jpg" TargetMode="External"/><Relationship Id="rId1191" Type="http://schemas.openxmlformats.org/officeDocument/2006/relationships/hyperlink" Target="http://example.com/carrelage1.jpg" TargetMode="External"/><Relationship Id="rId561" Type="http://schemas.openxmlformats.org/officeDocument/2006/relationships/hyperlink" Target="http://example.com/carrelage3.jpg" TargetMode="External"/><Relationship Id="rId659" Type="http://schemas.openxmlformats.org/officeDocument/2006/relationships/hyperlink" Target="http://example.com/carrelage2.jpg" TargetMode="External"/><Relationship Id="rId866" Type="http://schemas.openxmlformats.org/officeDocument/2006/relationships/hyperlink" Target="http://example.com/carrelage2.jpg" TargetMode="External"/><Relationship Id="rId1289" Type="http://schemas.openxmlformats.org/officeDocument/2006/relationships/hyperlink" Target="http://example.com/carrelage3.jpg" TargetMode="External"/><Relationship Id="rId1496" Type="http://schemas.openxmlformats.org/officeDocument/2006/relationships/hyperlink" Target="http://example.com/carrelage3.jpg" TargetMode="External"/><Relationship Id="rId214" Type="http://schemas.openxmlformats.org/officeDocument/2006/relationships/hyperlink" Target="http://example.com/carrelage1.jpg" TargetMode="External"/><Relationship Id="rId421" Type="http://schemas.openxmlformats.org/officeDocument/2006/relationships/hyperlink" Target="http://example.com/carrelage1.jpg" TargetMode="External"/><Relationship Id="rId519" Type="http://schemas.openxmlformats.org/officeDocument/2006/relationships/hyperlink" Target="http://example.com/carrelage3.jpg" TargetMode="External"/><Relationship Id="rId1051" Type="http://schemas.openxmlformats.org/officeDocument/2006/relationships/hyperlink" Target="http://example.com/carrelage1.jpg" TargetMode="External"/><Relationship Id="rId1149" Type="http://schemas.openxmlformats.org/officeDocument/2006/relationships/hyperlink" Target="http://example.com/carrelage1.jpg" TargetMode="External"/><Relationship Id="rId1356" Type="http://schemas.openxmlformats.org/officeDocument/2006/relationships/hyperlink" Target="http://example.com/carrelage1.jpg" TargetMode="External"/><Relationship Id="rId726" Type="http://schemas.openxmlformats.org/officeDocument/2006/relationships/hyperlink" Target="http://example.com/carrelage3.jpg" TargetMode="External"/><Relationship Id="rId933" Type="http://schemas.openxmlformats.org/officeDocument/2006/relationships/hyperlink" Target="http://example.com/carrelage3.jpg" TargetMode="External"/><Relationship Id="rId1009" Type="http://schemas.openxmlformats.org/officeDocument/2006/relationships/hyperlink" Target="http://example.com/carrelage1.jpg" TargetMode="External"/><Relationship Id="rId1563" Type="http://schemas.openxmlformats.org/officeDocument/2006/relationships/hyperlink" Target="http://example.com/carrelage1.jpg" TargetMode="External"/><Relationship Id="rId1770" Type="http://schemas.openxmlformats.org/officeDocument/2006/relationships/hyperlink" Target="http://example.com/carrelage1.jpg" TargetMode="External"/><Relationship Id="rId1868" Type="http://schemas.openxmlformats.org/officeDocument/2006/relationships/hyperlink" Target="http://example.com/carrelage3.jpg" TargetMode="External"/><Relationship Id="rId62" Type="http://schemas.openxmlformats.org/officeDocument/2006/relationships/hyperlink" Target="http://example.com/carrelage2.jpg" TargetMode="External"/><Relationship Id="rId1216" Type="http://schemas.openxmlformats.org/officeDocument/2006/relationships/hyperlink" Target="http://example.com/carrelage2.jpg" TargetMode="External"/><Relationship Id="rId1423" Type="http://schemas.openxmlformats.org/officeDocument/2006/relationships/hyperlink" Target="http://example.com/carrelage2.jpg" TargetMode="External"/><Relationship Id="rId1630" Type="http://schemas.openxmlformats.org/officeDocument/2006/relationships/hyperlink" Target="http://example.com/carrelage2.jpg" TargetMode="External"/><Relationship Id="rId1728" Type="http://schemas.openxmlformats.org/officeDocument/2006/relationships/hyperlink" Target="http://example.com/carrelage1.jpg" TargetMode="External"/><Relationship Id="rId1935" Type="http://schemas.openxmlformats.org/officeDocument/2006/relationships/hyperlink" Target="http://example.com/carrelage1.jpg" TargetMode="External"/><Relationship Id="rId169" Type="http://schemas.openxmlformats.org/officeDocument/2006/relationships/hyperlink" Target="http://example.com/carrelage1.jpg" TargetMode="External"/><Relationship Id="rId376" Type="http://schemas.openxmlformats.org/officeDocument/2006/relationships/hyperlink" Target="http://example.com/carrelage1.jpg" TargetMode="External"/><Relationship Id="rId583" Type="http://schemas.openxmlformats.org/officeDocument/2006/relationships/hyperlink" Target="http://example.com/carrelage1.jpg" TargetMode="External"/><Relationship Id="rId790" Type="http://schemas.openxmlformats.org/officeDocument/2006/relationships/hyperlink" Target="http://example.com/carrelage1.jpg" TargetMode="External"/><Relationship Id="rId4" Type="http://schemas.openxmlformats.org/officeDocument/2006/relationships/hyperlink" Target="http://example.com/carrelage1.jpg" TargetMode="External"/><Relationship Id="rId236" Type="http://schemas.openxmlformats.org/officeDocument/2006/relationships/hyperlink" Target="http://example.com/carrelage2.jpg" TargetMode="External"/><Relationship Id="rId443" Type="http://schemas.openxmlformats.org/officeDocument/2006/relationships/hyperlink" Target="http://example.com/carrelage2.jpg" TargetMode="External"/><Relationship Id="rId650" Type="http://schemas.openxmlformats.org/officeDocument/2006/relationships/hyperlink" Target="http://example.com/carrelage2.jpg" TargetMode="External"/><Relationship Id="rId888" Type="http://schemas.openxmlformats.org/officeDocument/2006/relationships/hyperlink" Target="http://example.com/carrelage3.jpg" TargetMode="External"/><Relationship Id="rId1073" Type="http://schemas.openxmlformats.org/officeDocument/2006/relationships/hyperlink" Target="http://example.com/carrelage2.jpg" TargetMode="External"/><Relationship Id="rId1280" Type="http://schemas.openxmlformats.org/officeDocument/2006/relationships/hyperlink" Target="http://example.com/carrelage3.jpg" TargetMode="External"/><Relationship Id="rId303" Type="http://schemas.openxmlformats.org/officeDocument/2006/relationships/hyperlink" Target="http://example.com/carrelage3.jpg" TargetMode="External"/><Relationship Id="rId748" Type="http://schemas.openxmlformats.org/officeDocument/2006/relationships/hyperlink" Target="http://example.com/carrelage1.jpg" TargetMode="External"/><Relationship Id="rId955" Type="http://schemas.openxmlformats.org/officeDocument/2006/relationships/hyperlink" Target="http://example.com/carrelage1.jpg" TargetMode="External"/><Relationship Id="rId1140" Type="http://schemas.openxmlformats.org/officeDocument/2006/relationships/hyperlink" Target="http://example.com/carrelage1.jpg" TargetMode="External"/><Relationship Id="rId1378" Type="http://schemas.openxmlformats.org/officeDocument/2006/relationships/hyperlink" Target="http://example.com/carrelage2.jpg" TargetMode="External"/><Relationship Id="rId1585" Type="http://schemas.openxmlformats.org/officeDocument/2006/relationships/hyperlink" Target="http://example.com/carrelage2.jpg" TargetMode="External"/><Relationship Id="rId1792" Type="http://schemas.openxmlformats.org/officeDocument/2006/relationships/hyperlink" Target="http://example.com/carrelage2.jpg" TargetMode="External"/><Relationship Id="rId84" Type="http://schemas.openxmlformats.org/officeDocument/2006/relationships/hyperlink" Target="http://example.com/carrelage3.jpg" TargetMode="External"/><Relationship Id="rId510" Type="http://schemas.openxmlformats.org/officeDocument/2006/relationships/hyperlink" Target="http://example.com/carrelage3.jpg" TargetMode="External"/><Relationship Id="rId608" Type="http://schemas.openxmlformats.org/officeDocument/2006/relationships/hyperlink" Target="http://example.com/carrelage2.jpg" TargetMode="External"/><Relationship Id="rId815" Type="http://schemas.openxmlformats.org/officeDocument/2006/relationships/hyperlink" Target="http://example.com/carrelage2.jpg" TargetMode="External"/><Relationship Id="rId1238" Type="http://schemas.openxmlformats.org/officeDocument/2006/relationships/hyperlink" Target="http://example.com/carrelage3.jpg" TargetMode="External"/><Relationship Id="rId1445" Type="http://schemas.openxmlformats.org/officeDocument/2006/relationships/hyperlink" Target="http://example.com/carrelage3.jpg" TargetMode="External"/><Relationship Id="rId1652" Type="http://schemas.openxmlformats.org/officeDocument/2006/relationships/hyperlink" Target="http://example.com/carrelage3.jpg" TargetMode="External"/><Relationship Id="rId1000" Type="http://schemas.openxmlformats.org/officeDocument/2006/relationships/hyperlink" Target="http://example.com/carrelage1.jpg" TargetMode="External"/><Relationship Id="rId1305" Type="http://schemas.openxmlformats.org/officeDocument/2006/relationships/hyperlink" Target="http://example.com/carrelage1.jpg" TargetMode="External"/><Relationship Id="rId1957" Type="http://schemas.openxmlformats.org/officeDocument/2006/relationships/hyperlink" Target="http://example.com/carrelage2.jpg" TargetMode="External"/><Relationship Id="rId1512" Type="http://schemas.openxmlformats.org/officeDocument/2006/relationships/hyperlink" Target="http://example.com/carrelage1.jpg" TargetMode="External"/><Relationship Id="rId1817" Type="http://schemas.openxmlformats.org/officeDocument/2006/relationships/hyperlink" Target="http://example.com/carrelage3.jpg" TargetMode="External"/><Relationship Id="rId11" Type="http://schemas.openxmlformats.org/officeDocument/2006/relationships/hyperlink" Target="http://example.com/carrelage2.jpg" TargetMode="External"/><Relationship Id="rId398" Type="http://schemas.openxmlformats.org/officeDocument/2006/relationships/hyperlink" Target="http://example.com/carrelage2.jpg" TargetMode="External"/><Relationship Id="rId160" Type="http://schemas.openxmlformats.org/officeDocument/2006/relationships/hyperlink" Target="http://example.com/carrelage1.jpg" TargetMode="External"/><Relationship Id="rId258" Type="http://schemas.openxmlformats.org/officeDocument/2006/relationships/hyperlink" Target="http://example.com/carrelage3.jpg" TargetMode="External"/><Relationship Id="rId465" Type="http://schemas.openxmlformats.org/officeDocument/2006/relationships/hyperlink" Target="http://example.com/carrelage3.jpg" TargetMode="External"/><Relationship Id="rId672" Type="http://schemas.openxmlformats.org/officeDocument/2006/relationships/hyperlink" Target="http://example.com/carrelage3.jpg" TargetMode="External"/><Relationship Id="rId1095" Type="http://schemas.openxmlformats.org/officeDocument/2006/relationships/hyperlink" Target="http://example.com/carrelage1.jpg" TargetMode="External"/><Relationship Id="rId118" Type="http://schemas.openxmlformats.org/officeDocument/2006/relationships/hyperlink" Target="http://example.com/carrelage1.jpg" TargetMode="External"/><Relationship Id="rId325" Type="http://schemas.openxmlformats.org/officeDocument/2006/relationships/hyperlink" Target="http://example.com/carrelage1.jpg" TargetMode="External"/><Relationship Id="rId532" Type="http://schemas.openxmlformats.org/officeDocument/2006/relationships/hyperlink" Target="http://example.com/carrelage1.jpg" TargetMode="External"/><Relationship Id="rId977" Type="http://schemas.openxmlformats.org/officeDocument/2006/relationships/hyperlink" Target="http://example.com/carrelage2.jpg" TargetMode="External"/><Relationship Id="rId1162" Type="http://schemas.openxmlformats.org/officeDocument/2006/relationships/hyperlink" Target="http://example.com/carrelage2.jpg" TargetMode="External"/><Relationship Id="rId837" Type="http://schemas.openxmlformats.org/officeDocument/2006/relationships/hyperlink" Target="http://example.com/carrelage3.jpg" TargetMode="External"/><Relationship Id="rId1022" Type="http://schemas.openxmlformats.org/officeDocument/2006/relationships/hyperlink" Target="http://example.com/carrelage2.jpg" TargetMode="External"/><Relationship Id="rId1467" Type="http://schemas.openxmlformats.org/officeDocument/2006/relationships/hyperlink" Target="http://example.com/carrelage1.jpg" TargetMode="External"/><Relationship Id="rId1674" Type="http://schemas.openxmlformats.org/officeDocument/2006/relationships/hyperlink" Target="http://example.com/carrelage1.jpg" TargetMode="External"/><Relationship Id="rId1881" Type="http://schemas.openxmlformats.org/officeDocument/2006/relationships/hyperlink" Target="http://example.com/carrelage1.jpg" TargetMode="External"/><Relationship Id="rId904" Type="http://schemas.openxmlformats.org/officeDocument/2006/relationships/hyperlink" Target="http://example.com/carrelage1.jpg" TargetMode="External"/><Relationship Id="rId1327" Type="http://schemas.openxmlformats.org/officeDocument/2006/relationships/hyperlink" Target="http://example.com/carrelage2.jpg" TargetMode="External"/><Relationship Id="rId1534" Type="http://schemas.openxmlformats.org/officeDocument/2006/relationships/hyperlink" Target="http://example.com/carrelage2.jpg" TargetMode="External"/><Relationship Id="rId1741" Type="http://schemas.openxmlformats.org/officeDocument/2006/relationships/hyperlink" Target="http://example.com/carrelage2.jpg" TargetMode="External"/><Relationship Id="rId1979" Type="http://schemas.openxmlformats.org/officeDocument/2006/relationships/comments" Target="../comments1.xml"/><Relationship Id="rId33" Type="http://schemas.openxmlformats.org/officeDocument/2006/relationships/hyperlink" Target="http://example.com/carrelage3.jpg" TargetMode="External"/><Relationship Id="rId1601" Type="http://schemas.openxmlformats.org/officeDocument/2006/relationships/hyperlink" Target="http://example.com/carrelage3.jpg" TargetMode="External"/><Relationship Id="rId1839" Type="http://schemas.openxmlformats.org/officeDocument/2006/relationships/hyperlink" Target="http://example.com/carrelage1.jpg" TargetMode="External"/><Relationship Id="rId182" Type="http://schemas.openxmlformats.org/officeDocument/2006/relationships/hyperlink" Target="http://example.com/carrelage2.jpg" TargetMode="External"/><Relationship Id="rId1906" Type="http://schemas.openxmlformats.org/officeDocument/2006/relationships/hyperlink" Target="http://example.com/carrelage2.jpg" TargetMode="External"/><Relationship Id="rId487" Type="http://schemas.openxmlformats.org/officeDocument/2006/relationships/hyperlink" Target="http://example.com/carrelage1.jpg" TargetMode="External"/><Relationship Id="rId694" Type="http://schemas.openxmlformats.org/officeDocument/2006/relationships/hyperlink" Target="http://example.com/carrelage1.jpg" TargetMode="External"/><Relationship Id="rId347" Type="http://schemas.openxmlformats.org/officeDocument/2006/relationships/hyperlink" Target="http://example.com/carrelage2.jpg" TargetMode="External"/><Relationship Id="rId999" Type="http://schemas.openxmlformats.org/officeDocument/2006/relationships/hyperlink" Target="http://example.com/carrelage3.jpg" TargetMode="External"/><Relationship Id="rId1184" Type="http://schemas.openxmlformats.org/officeDocument/2006/relationships/hyperlink" Target="http://example.com/carrelage3.jpg" TargetMode="External"/><Relationship Id="rId554" Type="http://schemas.openxmlformats.org/officeDocument/2006/relationships/hyperlink" Target="http://example.com/carrelage2.jpg" TargetMode="External"/><Relationship Id="rId761" Type="http://schemas.openxmlformats.org/officeDocument/2006/relationships/hyperlink" Target="http://example.com/carrelage2.jpg" TargetMode="External"/><Relationship Id="rId859" Type="http://schemas.openxmlformats.org/officeDocument/2006/relationships/hyperlink" Target="http://example.com/carrelage1.jpg" TargetMode="External"/><Relationship Id="rId1391" Type="http://schemas.openxmlformats.org/officeDocument/2006/relationships/hyperlink" Target="http://example.com/carrelage3.jpg" TargetMode="External"/><Relationship Id="rId1489" Type="http://schemas.openxmlformats.org/officeDocument/2006/relationships/hyperlink" Target="http://example.com/carrelage2.jpg" TargetMode="External"/><Relationship Id="rId1696" Type="http://schemas.openxmlformats.org/officeDocument/2006/relationships/hyperlink" Target="http://example.com/carrelage2.jpg" TargetMode="External"/><Relationship Id="rId207" Type="http://schemas.openxmlformats.org/officeDocument/2006/relationships/hyperlink" Target="http://example.com/carrelage3.jpg" TargetMode="External"/><Relationship Id="rId414" Type="http://schemas.openxmlformats.org/officeDocument/2006/relationships/hyperlink" Target="http://example.com/carrelage3.jpg" TargetMode="External"/><Relationship Id="rId621" Type="http://schemas.openxmlformats.org/officeDocument/2006/relationships/hyperlink" Target="http://example.com/carrelage3.jpg" TargetMode="External"/><Relationship Id="rId1044" Type="http://schemas.openxmlformats.org/officeDocument/2006/relationships/hyperlink" Target="http://example.com/carrelage3.jpg" TargetMode="External"/><Relationship Id="rId1251" Type="http://schemas.openxmlformats.org/officeDocument/2006/relationships/hyperlink" Target="http://example.com/carrelage1.jpg" TargetMode="External"/><Relationship Id="rId1349" Type="http://schemas.openxmlformats.org/officeDocument/2006/relationships/hyperlink" Target="http://example.com/carrelage3.jpg" TargetMode="External"/><Relationship Id="rId719" Type="http://schemas.openxmlformats.org/officeDocument/2006/relationships/hyperlink" Target="http://example.com/carrelage2.jpg" TargetMode="External"/><Relationship Id="rId926" Type="http://schemas.openxmlformats.org/officeDocument/2006/relationships/hyperlink" Target="http://example.com/carrelage2.jpg" TargetMode="External"/><Relationship Id="rId1111" Type="http://schemas.openxmlformats.org/officeDocument/2006/relationships/hyperlink" Target="http://example.com/carrelage2.jpg" TargetMode="External"/><Relationship Id="rId1556" Type="http://schemas.openxmlformats.org/officeDocument/2006/relationships/hyperlink" Target="http://example.com/carrelage3.jpg" TargetMode="External"/><Relationship Id="rId1763" Type="http://schemas.openxmlformats.org/officeDocument/2006/relationships/hyperlink" Target="http://example.com/carrelage3.jpg" TargetMode="External"/><Relationship Id="rId1970" Type="http://schemas.openxmlformats.org/officeDocument/2006/relationships/hyperlink" Target="http://example.com/carrelage3.jpg" TargetMode="External"/><Relationship Id="rId55" Type="http://schemas.openxmlformats.org/officeDocument/2006/relationships/hyperlink" Target="http://example.com/carrelage1.jpg" TargetMode="External"/><Relationship Id="rId1209" Type="http://schemas.openxmlformats.org/officeDocument/2006/relationships/hyperlink" Target="http://example.com/carrelage1.jpg" TargetMode="External"/><Relationship Id="rId1416" Type="http://schemas.openxmlformats.org/officeDocument/2006/relationships/hyperlink" Target="http://example.com/carrelage1.jpg" TargetMode="External"/><Relationship Id="rId1623" Type="http://schemas.openxmlformats.org/officeDocument/2006/relationships/hyperlink" Target="http://example.com/carrelage1.jpg" TargetMode="External"/><Relationship Id="rId1830" Type="http://schemas.openxmlformats.org/officeDocument/2006/relationships/hyperlink" Target="http://example.com/carrelage1.jpg" TargetMode="External"/><Relationship Id="rId1928" Type="http://schemas.openxmlformats.org/officeDocument/2006/relationships/hyperlink" Target="http://example.com/carrelage3.jpg" TargetMode="External"/><Relationship Id="rId271" Type="http://schemas.openxmlformats.org/officeDocument/2006/relationships/hyperlink" Target="http://example.com/carrelage1.jpg" TargetMode="External"/><Relationship Id="rId131" Type="http://schemas.openxmlformats.org/officeDocument/2006/relationships/hyperlink" Target="http://example.com/carrelage2.jpg" TargetMode="External"/><Relationship Id="rId369" Type="http://schemas.openxmlformats.org/officeDocument/2006/relationships/hyperlink" Target="http://example.com/carrelage3.jpg" TargetMode="External"/><Relationship Id="rId576" Type="http://schemas.openxmlformats.org/officeDocument/2006/relationships/hyperlink" Target="http://example.com/carrelage3.jpg" TargetMode="External"/><Relationship Id="rId783" Type="http://schemas.openxmlformats.org/officeDocument/2006/relationships/hyperlink" Target="http://example.com/carrelage3.jpg" TargetMode="External"/><Relationship Id="rId990" Type="http://schemas.openxmlformats.org/officeDocument/2006/relationships/hyperlink" Target="http://example.com/carrelage3.jpg" TargetMode="External"/><Relationship Id="rId229" Type="http://schemas.openxmlformats.org/officeDocument/2006/relationships/hyperlink" Target="http://example.com/carrelage1.jpg" TargetMode="External"/><Relationship Id="rId436" Type="http://schemas.openxmlformats.org/officeDocument/2006/relationships/hyperlink" Target="http://example.com/carrelage1.jpg" TargetMode="External"/><Relationship Id="rId643" Type="http://schemas.openxmlformats.org/officeDocument/2006/relationships/hyperlink" Target="http://example.com/carrelage1.jpg" TargetMode="External"/><Relationship Id="rId1066" Type="http://schemas.openxmlformats.org/officeDocument/2006/relationships/hyperlink" Target="http://example.com/carrelage1.jpg" TargetMode="External"/><Relationship Id="rId1273" Type="http://schemas.openxmlformats.org/officeDocument/2006/relationships/hyperlink" Target="http://example.com/carrelage2.jpg" TargetMode="External"/><Relationship Id="rId1480" Type="http://schemas.openxmlformats.org/officeDocument/2006/relationships/hyperlink" Target="http://example.com/carrelage2.jpg" TargetMode="External"/><Relationship Id="rId850" Type="http://schemas.openxmlformats.org/officeDocument/2006/relationships/hyperlink" Target="http://example.com/carrelage1.jpg" TargetMode="External"/><Relationship Id="rId948" Type="http://schemas.openxmlformats.org/officeDocument/2006/relationships/hyperlink" Target="http://example.com/carrelage3.jpg" TargetMode="External"/><Relationship Id="rId1133" Type="http://schemas.openxmlformats.org/officeDocument/2006/relationships/hyperlink" Target="http://example.com/carrelage3.jpg" TargetMode="External"/><Relationship Id="rId1578" Type="http://schemas.openxmlformats.org/officeDocument/2006/relationships/hyperlink" Target="http://example.com/carrelage1.jpg" TargetMode="External"/><Relationship Id="rId1785" Type="http://schemas.openxmlformats.org/officeDocument/2006/relationships/hyperlink" Target="http://example.com/carrelage1.jpg" TargetMode="External"/><Relationship Id="rId77" Type="http://schemas.openxmlformats.org/officeDocument/2006/relationships/hyperlink" Target="http://example.com/carrelage2.jpg" TargetMode="External"/><Relationship Id="rId503" Type="http://schemas.openxmlformats.org/officeDocument/2006/relationships/hyperlink" Target="http://example.com/carrelage2.jpg" TargetMode="External"/><Relationship Id="rId710" Type="http://schemas.openxmlformats.org/officeDocument/2006/relationships/hyperlink" Target="http://example.com/carrelage2.jpg" TargetMode="External"/><Relationship Id="rId808" Type="http://schemas.openxmlformats.org/officeDocument/2006/relationships/hyperlink" Target="http://example.com/carrelage1.jpg" TargetMode="External"/><Relationship Id="rId1340" Type="http://schemas.openxmlformats.org/officeDocument/2006/relationships/hyperlink" Target="http://example.com/carrelage3.jpg" TargetMode="External"/><Relationship Id="rId1438" Type="http://schemas.openxmlformats.org/officeDocument/2006/relationships/hyperlink" Target="http://example.com/carrelage2.jpg" TargetMode="External"/><Relationship Id="rId1645" Type="http://schemas.openxmlformats.org/officeDocument/2006/relationships/hyperlink" Target="http://example.com/carrelage2.jpg" TargetMode="External"/><Relationship Id="rId1200" Type="http://schemas.openxmlformats.org/officeDocument/2006/relationships/hyperlink" Target="http://example.com/carrelage1.jpg" TargetMode="External"/><Relationship Id="rId1852" Type="http://schemas.openxmlformats.org/officeDocument/2006/relationships/hyperlink" Target="http://example.com/carrelage2.jpg" TargetMode="External"/><Relationship Id="rId1505" Type="http://schemas.openxmlformats.org/officeDocument/2006/relationships/hyperlink" Target="http://example.com/carrelage3.jpg" TargetMode="External"/><Relationship Id="rId1712" Type="http://schemas.openxmlformats.org/officeDocument/2006/relationships/hyperlink" Target="http://example.com/carrelage3.jpg" TargetMode="External"/><Relationship Id="rId293" Type="http://schemas.openxmlformats.org/officeDocument/2006/relationships/hyperlink" Target="http://example.com/carrelage2.jpg" TargetMode="External"/><Relationship Id="rId153" Type="http://schemas.openxmlformats.org/officeDocument/2006/relationships/hyperlink" Target="http://example.com/carrelage3.jpg" TargetMode="External"/><Relationship Id="rId360" Type="http://schemas.openxmlformats.org/officeDocument/2006/relationships/hyperlink" Target="http://example.com/carrelage3.jpg" TargetMode="External"/><Relationship Id="rId598" Type="http://schemas.openxmlformats.org/officeDocument/2006/relationships/hyperlink" Target="http://example.com/carrelage1.jpg" TargetMode="External"/><Relationship Id="rId220" Type="http://schemas.openxmlformats.org/officeDocument/2006/relationships/hyperlink" Target="http://example.com/carrelage1.jpg" TargetMode="External"/><Relationship Id="rId458" Type="http://schemas.openxmlformats.org/officeDocument/2006/relationships/hyperlink" Target="http://example.com/carrelage2.jpg" TargetMode="External"/><Relationship Id="rId665" Type="http://schemas.openxmlformats.org/officeDocument/2006/relationships/hyperlink" Target="http://example.com/carrelage2.jpg" TargetMode="External"/><Relationship Id="rId872" Type="http://schemas.openxmlformats.org/officeDocument/2006/relationships/hyperlink" Target="http://example.com/carrelage2.jpg" TargetMode="External"/><Relationship Id="rId1088" Type="http://schemas.openxmlformats.org/officeDocument/2006/relationships/hyperlink" Target="http://example.com/parquet2.jpg" TargetMode="External"/><Relationship Id="rId1295" Type="http://schemas.openxmlformats.org/officeDocument/2006/relationships/hyperlink" Target="http://example.com/carrelage3.jpg" TargetMode="External"/><Relationship Id="rId318" Type="http://schemas.openxmlformats.org/officeDocument/2006/relationships/hyperlink" Target="http://example.com/carrelage3.jpg" TargetMode="External"/><Relationship Id="rId525" Type="http://schemas.openxmlformats.org/officeDocument/2006/relationships/hyperlink" Target="http://example.com/carrelage3.jpg" TargetMode="External"/><Relationship Id="rId732" Type="http://schemas.openxmlformats.org/officeDocument/2006/relationships/hyperlink" Target="http://example.com/carrelage3.jpg" TargetMode="External"/><Relationship Id="rId1155" Type="http://schemas.openxmlformats.org/officeDocument/2006/relationships/hyperlink" Target="http://example.com/carrelage1.jpg" TargetMode="External"/><Relationship Id="rId1362" Type="http://schemas.openxmlformats.org/officeDocument/2006/relationships/hyperlink" Target="http://example.com/carrelage1.jpg" TargetMode="External"/><Relationship Id="rId99" Type="http://schemas.openxmlformats.org/officeDocument/2006/relationships/hyperlink" Target="http://example.com/carrelage3.jpg" TargetMode="External"/><Relationship Id="rId1015" Type="http://schemas.openxmlformats.org/officeDocument/2006/relationships/hyperlink" Target="http://example.com/carrelage1.jpg" TargetMode="External"/><Relationship Id="rId1222" Type="http://schemas.openxmlformats.org/officeDocument/2006/relationships/hyperlink" Target="http://example.com/carrelage2.jpg" TargetMode="External"/><Relationship Id="rId1667" Type="http://schemas.openxmlformats.org/officeDocument/2006/relationships/hyperlink" Target="http://example.com/carrelage3.jpg" TargetMode="External"/><Relationship Id="rId1874" Type="http://schemas.openxmlformats.org/officeDocument/2006/relationships/hyperlink" Target="http://example.com/carrelage3.jpg" TargetMode="External"/><Relationship Id="rId1527" Type="http://schemas.openxmlformats.org/officeDocument/2006/relationships/hyperlink" Target="http://example.com/carrelage1.jpg" TargetMode="External"/><Relationship Id="rId1734" Type="http://schemas.openxmlformats.org/officeDocument/2006/relationships/hyperlink" Target="http://example.com/carrelage1.jpg" TargetMode="External"/><Relationship Id="rId1941" Type="http://schemas.openxmlformats.org/officeDocument/2006/relationships/hyperlink" Target="http://example.com/carrelage1.jpg" TargetMode="External"/><Relationship Id="rId26" Type="http://schemas.openxmlformats.org/officeDocument/2006/relationships/hyperlink" Target="http://example.com/carrelage2.jpg" TargetMode="External"/><Relationship Id="rId175" Type="http://schemas.openxmlformats.org/officeDocument/2006/relationships/hyperlink" Target="http://example.com/carrelage1.jpg" TargetMode="External"/><Relationship Id="rId1801" Type="http://schemas.openxmlformats.org/officeDocument/2006/relationships/hyperlink" Target="http://example.com/carrelage2.jpg" TargetMode="External"/><Relationship Id="rId382" Type="http://schemas.openxmlformats.org/officeDocument/2006/relationships/hyperlink" Target="http://example.com/carrelage1.jpg" TargetMode="External"/><Relationship Id="rId687" Type="http://schemas.openxmlformats.org/officeDocument/2006/relationships/hyperlink" Target="http://example.com/carrelage3.jpg" TargetMode="External"/><Relationship Id="rId242" Type="http://schemas.openxmlformats.org/officeDocument/2006/relationships/hyperlink" Target="http://example.com/carrelage2.jpg" TargetMode="External"/><Relationship Id="rId894" Type="http://schemas.openxmlformats.org/officeDocument/2006/relationships/hyperlink" Target="http://example.com/carrelage3.jpg" TargetMode="External"/><Relationship Id="rId1177" Type="http://schemas.openxmlformats.org/officeDocument/2006/relationships/hyperlink" Target="http://example.com/carrelage2.jpg" TargetMode="External"/><Relationship Id="rId102" Type="http://schemas.openxmlformats.org/officeDocument/2006/relationships/hyperlink" Target="http://example.com/carrelage3.jpg" TargetMode="External"/><Relationship Id="rId547" Type="http://schemas.openxmlformats.org/officeDocument/2006/relationships/hyperlink" Target="http://example.com/carrelage1.jpg" TargetMode="External"/><Relationship Id="rId754" Type="http://schemas.openxmlformats.org/officeDocument/2006/relationships/hyperlink" Target="http://example.com/carrelage1.jpg" TargetMode="External"/><Relationship Id="rId961" Type="http://schemas.openxmlformats.org/officeDocument/2006/relationships/hyperlink" Target="http://example.com/carrelage1.jpg" TargetMode="External"/><Relationship Id="rId1384" Type="http://schemas.openxmlformats.org/officeDocument/2006/relationships/hyperlink" Target="http://example.com/carrelage2.jpg" TargetMode="External"/><Relationship Id="rId1591" Type="http://schemas.openxmlformats.org/officeDocument/2006/relationships/hyperlink" Target="http://example.com/carrelage2.jpg" TargetMode="External"/><Relationship Id="rId1689" Type="http://schemas.openxmlformats.org/officeDocument/2006/relationships/hyperlink" Target="http://example.com/carrelage1.jpg" TargetMode="External"/><Relationship Id="rId90" Type="http://schemas.openxmlformats.org/officeDocument/2006/relationships/hyperlink" Target="http://example.com/carrelage3.jpg" TargetMode="External"/><Relationship Id="rId407" Type="http://schemas.openxmlformats.org/officeDocument/2006/relationships/hyperlink" Target="http://example.com/carrelage2.jpg" TargetMode="External"/><Relationship Id="rId614" Type="http://schemas.openxmlformats.org/officeDocument/2006/relationships/hyperlink" Target="http://example.com/carrelage2.jpg" TargetMode="External"/><Relationship Id="rId821" Type="http://schemas.openxmlformats.org/officeDocument/2006/relationships/hyperlink" Target="http://example.com/carrelage2.jpg" TargetMode="External"/><Relationship Id="rId1037" Type="http://schemas.openxmlformats.org/officeDocument/2006/relationships/hyperlink" Target="http://example.com/carrelage2.jpg" TargetMode="External"/><Relationship Id="rId1244" Type="http://schemas.openxmlformats.org/officeDocument/2006/relationships/hyperlink" Target="http://example.com/carrelage3.jpg" TargetMode="External"/><Relationship Id="rId1451" Type="http://schemas.openxmlformats.org/officeDocument/2006/relationships/hyperlink" Target="http://example.com/carrelage3.jpg" TargetMode="External"/><Relationship Id="rId1896" Type="http://schemas.openxmlformats.org/officeDocument/2006/relationships/hyperlink" Target="http://example.com/carrelage1.jpg" TargetMode="External"/><Relationship Id="rId919" Type="http://schemas.openxmlformats.org/officeDocument/2006/relationships/hyperlink" Target="http://example.com/carrelage1.jpg" TargetMode="External"/><Relationship Id="rId1104" Type="http://schemas.openxmlformats.org/officeDocument/2006/relationships/hyperlink" Target="http://example.com/carrelage1.jpg" TargetMode="External"/><Relationship Id="rId1311" Type="http://schemas.openxmlformats.org/officeDocument/2006/relationships/hyperlink" Target="http://example.com/carrelage1.jpg" TargetMode="External"/><Relationship Id="rId1549" Type="http://schemas.openxmlformats.org/officeDocument/2006/relationships/hyperlink" Target="http://example.com/carrelage2.jpg" TargetMode="External"/><Relationship Id="rId1756" Type="http://schemas.openxmlformats.org/officeDocument/2006/relationships/hyperlink" Target="http://example.com/carrelage2.jpg" TargetMode="External"/><Relationship Id="rId1963" Type="http://schemas.openxmlformats.org/officeDocument/2006/relationships/hyperlink" Target="http://example.com/carrelage2.jpg" TargetMode="External"/><Relationship Id="rId48" Type="http://schemas.openxmlformats.org/officeDocument/2006/relationships/hyperlink" Target="http://example.com/carrelage3.jpg" TargetMode="External"/><Relationship Id="rId1409" Type="http://schemas.openxmlformats.org/officeDocument/2006/relationships/hyperlink" Target="http://example.com/carrelage3.jpg" TargetMode="External"/><Relationship Id="rId1616" Type="http://schemas.openxmlformats.org/officeDocument/2006/relationships/hyperlink" Target="http://example.com/carrelage3.jpg" TargetMode="External"/><Relationship Id="rId1823" Type="http://schemas.openxmlformats.org/officeDocument/2006/relationships/hyperlink" Target="http://example.com/carrelage3.jpg" TargetMode="External"/><Relationship Id="rId197" Type="http://schemas.openxmlformats.org/officeDocument/2006/relationships/hyperlink" Target="http://example.com/carrelage2.jpg" TargetMode="External"/><Relationship Id="rId264" Type="http://schemas.openxmlformats.org/officeDocument/2006/relationships/hyperlink" Target="http://example.com/carrelage3.jpg" TargetMode="External"/><Relationship Id="rId471" Type="http://schemas.openxmlformats.org/officeDocument/2006/relationships/hyperlink" Target="http://example.com/carrelage3.jpg" TargetMode="External"/><Relationship Id="rId124" Type="http://schemas.openxmlformats.org/officeDocument/2006/relationships/hyperlink" Target="http://example.com/carrelage1.jpg" TargetMode="External"/><Relationship Id="rId569" Type="http://schemas.openxmlformats.org/officeDocument/2006/relationships/hyperlink" Target="http://example.com/carrelage2.jpg" TargetMode="External"/><Relationship Id="rId776" Type="http://schemas.openxmlformats.org/officeDocument/2006/relationships/hyperlink" Target="http://example.com/carrelage2.jpg" TargetMode="External"/><Relationship Id="rId983" Type="http://schemas.openxmlformats.org/officeDocument/2006/relationships/hyperlink" Target="http://example.com/carrelage2.jpg" TargetMode="External"/><Relationship Id="rId1199" Type="http://schemas.openxmlformats.org/officeDocument/2006/relationships/hyperlink" Target="http://example.com/carrelage3.jpg" TargetMode="External"/><Relationship Id="rId331" Type="http://schemas.openxmlformats.org/officeDocument/2006/relationships/hyperlink" Target="http://example.com/carrelage1.jpg" TargetMode="External"/><Relationship Id="rId429" Type="http://schemas.openxmlformats.org/officeDocument/2006/relationships/hyperlink" Target="http://example.com/carrelage3.jpg" TargetMode="External"/><Relationship Id="rId636" Type="http://schemas.openxmlformats.org/officeDocument/2006/relationships/hyperlink" Target="http://example.com/carrelage3.jpg" TargetMode="External"/><Relationship Id="rId1059" Type="http://schemas.openxmlformats.org/officeDocument/2006/relationships/hyperlink" Target="http://example.com/carrelage3.jpg" TargetMode="External"/><Relationship Id="rId1266" Type="http://schemas.openxmlformats.org/officeDocument/2006/relationships/hyperlink" Target="http://example.com/carrelage1.jpg" TargetMode="External"/><Relationship Id="rId1473" Type="http://schemas.openxmlformats.org/officeDocument/2006/relationships/hyperlink" Target="http://example.com/carrelage1.jpg" TargetMode="External"/><Relationship Id="rId843" Type="http://schemas.openxmlformats.org/officeDocument/2006/relationships/hyperlink" Target="http://example.com/carrelage3.jpg" TargetMode="External"/><Relationship Id="rId1126" Type="http://schemas.openxmlformats.org/officeDocument/2006/relationships/hyperlink" Target="http://example.com/carrelage2.jpg" TargetMode="External"/><Relationship Id="rId1680" Type="http://schemas.openxmlformats.org/officeDocument/2006/relationships/hyperlink" Target="http://example.com/carrelage1.jpg" TargetMode="External"/><Relationship Id="rId1778" Type="http://schemas.openxmlformats.org/officeDocument/2006/relationships/hyperlink" Target="http://example.com/carrelage3.jpg" TargetMode="External"/><Relationship Id="rId703" Type="http://schemas.openxmlformats.org/officeDocument/2006/relationships/hyperlink" Target="http://example.com/carrelage1.jpg" TargetMode="External"/><Relationship Id="rId910" Type="http://schemas.openxmlformats.org/officeDocument/2006/relationships/hyperlink" Target="http://example.com/carrelage1.jpg" TargetMode="External"/><Relationship Id="rId1333" Type="http://schemas.openxmlformats.org/officeDocument/2006/relationships/hyperlink" Target="http://example.com/carrelage2.jpg" TargetMode="External"/><Relationship Id="rId1540" Type="http://schemas.openxmlformats.org/officeDocument/2006/relationships/hyperlink" Target="http://example.com/carrelage2.jpg" TargetMode="External"/><Relationship Id="rId1638" Type="http://schemas.openxmlformats.org/officeDocument/2006/relationships/hyperlink" Target="http://example.com/carrelage1.jpg" TargetMode="External"/><Relationship Id="rId1400" Type="http://schemas.openxmlformats.org/officeDocument/2006/relationships/hyperlink" Target="http://example.com/carrelage3.jpg" TargetMode="External"/><Relationship Id="rId1845" Type="http://schemas.openxmlformats.org/officeDocument/2006/relationships/hyperlink" Target="http://example.com/carrelage1.jpg" TargetMode="External"/><Relationship Id="rId202" Type="http://schemas.openxmlformats.org/officeDocument/2006/relationships/hyperlink" Target="http://example.com/carrelage1.jpg" TargetMode="External"/><Relationship Id="rId647" Type="http://schemas.openxmlformats.org/officeDocument/2006/relationships/hyperlink" Target="http://example.com/carrelage2.jpg" TargetMode="External"/><Relationship Id="rId854" Type="http://schemas.openxmlformats.org/officeDocument/2006/relationships/hyperlink" Target="http://example.com/carrelage2.jpg" TargetMode="External"/><Relationship Id="rId1277" Type="http://schemas.openxmlformats.org/officeDocument/2006/relationships/hyperlink" Target="http://example.com/carrelage3.jpg" TargetMode="External"/><Relationship Id="rId1484" Type="http://schemas.openxmlformats.org/officeDocument/2006/relationships/hyperlink" Target="http://example.com/carrelage3.jpg" TargetMode="External"/><Relationship Id="rId1691" Type="http://schemas.openxmlformats.org/officeDocument/2006/relationships/hyperlink" Target="http://example.com/carrelage3.jpg" TargetMode="External"/><Relationship Id="rId1705" Type="http://schemas.openxmlformats.org/officeDocument/2006/relationships/hyperlink" Target="http://example.com/carrelage2.jpg" TargetMode="External"/><Relationship Id="rId1912" Type="http://schemas.openxmlformats.org/officeDocument/2006/relationships/hyperlink" Target="http://example.com/carrelage2.jpg" TargetMode="External"/><Relationship Id="rId286" Type="http://schemas.openxmlformats.org/officeDocument/2006/relationships/hyperlink" Target="http://example.com/carrelage1.jpg" TargetMode="External"/><Relationship Id="rId493" Type="http://schemas.openxmlformats.org/officeDocument/2006/relationships/hyperlink" Target="http://example.com/carrelage1.jpg" TargetMode="External"/><Relationship Id="rId507" Type="http://schemas.openxmlformats.org/officeDocument/2006/relationships/hyperlink" Target="http://example.com/carrelage3.jpg" TargetMode="External"/><Relationship Id="rId714" Type="http://schemas.openxmlformats.org/officeDocument/2006/relationships/hyperlink" Target="http://example.com/carrelage3.jpg" TargetMode="External"/><Relationship Id="rId921" Type="http://schemas.openxmlformats.org/officeDocument/2006/relationships/hyperlink" Target="http://example.com/carrelage3.jpg" TargetMode="External"/><Relationship Id="rId1137" Type="http://schemas.openxmlformats.org/officeDocument/2006/relationships/hyperlink" Target="http://example.com/carrelage1.jpg" TargetMode="External"/><Relationship Id="rId1344" Type="http://schemas.openxmlformats.org/officeDocument/2006/relationships/hyperlink" Target="http://example.com/carrelage1.jpg" TargetMode="External"/><Relationship Id="rId1551" Type="http://schemas.openxmlformats.org/officeDocument/2006/relationships/hyperlink" Target="http://example.com/carrelage1.jpg" TargetMode="External"/><Relationship Id="rId1789" Type="http://schemas.openxmlformats.org/officeDocument/2006/relationships/hyperlink" Target="http://example.com/carrelage2.jpg" TargetMode="External"/><Relationship Id="rId50" Type="http://schemas.openxmlformats.org/officeDocument/2006/relationships/hyperlink" Target="http://example.com/carrelage2.jpg" TargetMode="External"/><Relationship Id="rId146" Type="http://schemas.openxmlformats.org/officeDocument/2006/relationships/hyperlink" Target="http://example.com/carrelage2.jpg" TargetMode="External"/><Relationship Id="rId353" Type="http://schemas.openxmlformats.org/officeDocument/2006/relationships/hyperlink" Target="http://example.com/carrelage2.jpg" TargetMode="External"/><Relationship Id="rId560" Type="http://schemas.openxmlformats.org/officeDocument/2006/relationships/hyperlink" Target="http://example.com/carrelage2.jpg" TargetMode="External"/><Relationship Id="rId798" Type="http://schemas.openxmlformats.org/officeDocument/2006/relationships/hyperlink" Target="http://example.com/carrelage3.jpg" TargetMode="External"/><Relationship Id="rId1190" Type="http://schemas.openxmlformats.org/officeDocument/2006/relationships/hyperlink" Target="http://example.com/carrelage3.jpg" TargetMode="External"/><Relationship Id="rId1204" Type="http://schemas.openxmlformats.org/officeDocument/2006/relationships/hyperlink" Target="http://example.com/carrelage2.jpg" TargetMode="External"/><Relationship Id="rId1411" Type="http://schemas.openxmlformats.org/officeDocument/2006/relationships/hyperlink" Target="http://example.com/carrelage2.jpg" TargetMode="External"/><Relationship Id="rId1649" Type="http://schemas.openxmlformats.org/officeDocument/2006/relationships/hyperlink" Target="http://example.com/carrelage3.jpg" TargetMode="External"/><Relationship Id="rId1856" Type="http://schemas.openxmlformats.org/officeDocument/2006/relationships/hyperlink" Target="http://example.com/carrelage3.jpg" TargetMode="External"/><Relationship Id="rId213" Type="http://schemas.openxmlformats.org/officeDocument/2006/relationships/hyperlink" Target="http://example.com/carrelage3.jpg" TargetMode="External"/><Relationship Id="rId420" Type="http://schemas.openxmlformats.org/officeDocument/2006/relationships/hyperlink" Target="http://example.com/carrelage3.jpg" TargetMode="External"/><Relationship Id="rId658" Type="http://schemas.openxmlformats.org/officeDocument/2006/relationships/hyperlink" Target="http://example.com/carrelage1.jpg" TargetMode="External"/><Relationship Id="rId865" Type="http://schemas.openxmlformats.org/officeDocument/2006/relationships/hyperlink" Target="http://example.com/carrelage1.jpg" TargetMode="External"/><Relationship Id="rId1050" Type="http://schemas.openxmlformats.org/officeDocument/2006/relationships/hyperlink" Target="http://example.com/carrelage3.jpg" TargetMode="External"/><Relationship Id="rId1288" Type="http://schemas.openxmlformats.org/officeDocument/2006/relationships/hyperlink" Target="http://example.com/carrelage2.jpg" TargetMode="External"/><Relationship Id="rId1495" Type="http://schemas.openxmlformats.org/officeDocument/2006/relationships/hyperlink" Target="http://example.com/carrelage2.jpg" TargetMode="External"/><Relationship Id="rId1509" Type="http://schemas.openxmlformats.org/officeDocument/2006/relationships/hyperlink" Target="http://example.com/carrelage1.jpg" TargetMode="External"/><Relationship Id="rId1716" Type="http://schemas.openxmlformats.org/officeDocument/2006/relationships/hyperlink" Target="http://example.com/carrelage1.jpg" TargetMode="External"/><Relationship Id="rId1923" Type="http://schemas.openxmlformats.org/officeDocument/2006/relationships/hyperlink" Target="http://example.com/carrelage1.jpg" TargetMode="External"/><Relationship Id="rId297" Type="http://schemas.openxmlformats.org/officeDocument/2006/relationships/hyperlink" Target="http://example.com/carrelage3.jpg" TargetMode="External"/><Relationship Id="rId518" Type="http://schemas.openxmlformats.org/officeDocument/2006/relationships/hyperlink" Target="http://example.com/carrelage2.jpg" TargetMode="External"/><Relationship Id="rId725" Type="http://schemas.openxmlformats.org/officeDocument/2006/relationships/hyperlink" Target="http://example.com/carrelage2.jpg" TargetMode="External"/><Relationship Id="rId932" Type="http://schemas.openxmlformats.org/officeDocument/2006/relationships/hyperlink" Target="http://example.com/carrelage2.jpg" TargetMode="External"/><Relationship Id="rId1148" Type="http://schemas.openxmlformats.org/officeDocument/2006/relationships/hyperlink" Target="http://example.com/carrelage3.jpg" TargetMode="External"/><Relationship Id="rId1355" Type="http://schemas.openxmlformats.org/officeDocument/2006/relationships/hyperlink" Target="http://example.com/carrelage3.jpg" TargetMode="External"/><Relationship Id="rId1562" Type="http://schemas.openxmlformats.org/officeDocument/2006/relationships/hyperlink" Target="http://example.com/carrelage3.jpg" TargetMode="External"/><Relationship Id="rId157" Type="http://schemas.openxmlformats.org/officeDocument/2006/relationships/hyperlink" Target="http://example.com/carrelage1.jpg" TargetMode="External"/><Relationship Id="rId364" Type="http://schemas.openxmlformats.org/officeDocument/2006/relationships/hyperlink" Target="http://example.com/carrelage1.jpg" TargetMode="External"/><Relationship Id="rId1008" Type="http://schemas.openxmlformats.org/officeDocument/2006/relationships/hyperlink" Target="http://example.com/carrelage3.jpg" TargetMode="External"/><Relationship Id="rId1215" Type="http://schemas.openxmlformats.org/officeDocument/2006/relationships/hyperlink" Target="http://example.com/carrelage1.jpg" TargetMode="External"/><Relationship Id="rId1422" Type="http://schemas.openxmlformats.org/officeDocument/2006/relationships/hyperlink" Target="http://example.com/carrelage1.jpg" TargetMode="External"/><Relationship Id="rId1867" Type="http://schemas.openxmlformats.org/officeDocument/2006/relationships/hyperlink" Target="http://example.com/carrelage2.jpg" TargetMode="External"/><Relationship Id="rId61" Type="http://schemas.openxmlformats.org/officeDocument/2006/relationships/hyperlink" Target="http://example.com/carrelage1.jpg" TargetMode="External"/><Relationship Id="rId571" Type="http://schemas.openxmlformats.org/officeDocument/2006/relationships/hyperlink" Target="http://example.com/carrelage1.jpg" TargetMode="External"/><Relationship Id="rId669" Type="http://schemas.openxmlformats.org/officeDocument/2006/relationships/hyperlink" Target="http://example.com/carrelage3.jpg" TargetMode="External"/><Relationship Id="rId876" Type="http://schemas.openxmlformats.org/officeDocument/2006/relationships/hyperlink" Target="http://example.com/carrelage3.jpg" TargetMode="External"/><Relationship Id="rId1299" Type="http://schemas.openxmlformats.org/officeDocument/2006/relationships/hyperlink" Target="http://example.com/carrelage1.jpg" TargetMode="External"/><Relationship Id="rId1727" Type="http://schemas.openxmlformats.org/officeDocument/2006/relationships/hyperlink" Target="http://example.com/carrelage3.jpg" TargetMode="External"/><Relationship Id="rId1934" Type="http://schemas.openxmlformats.org/officeDocument/2006/relationships/hyperlink" Target="http://example.com/carrelage3.jpg" TargetMode="External"/><Relationship Id="rId19" Type="http://schemas.openxmlformats.org/officeDocument/2006/relationships/hyperlink" Target="http://example.com/carrelage1.jpg" TargetMode="External"/><Relationship Id="rId224" Type="http://schemas.openxmlformats.org/officeDocument/2006/relationships/hyperlink" Target="http://example.com/carrelage2.jpg" TargetMode="External"/><Relationship Id="rId431" Type="http://schemas.openxmlformats.org/officeDocument/2006/relationships/hyperlink" Target="http://example.com/carrelage2.jpg" TargetMode="External"/><Relationship Id="rId529" Type="http://schemas.openxmlformats.org/officeDocument/2006/relationships/hyperlink" Target="http://example.com/carrelage1.jpg" TargetMode="External"/><Relationship Id="rId736" Type="http://schemas.openxmlformats.org/officeDocument/2006/relationships/hyperlink" Target="http://example.com/carrelage1.jpg" TargetMode="External"/><Relationship Id="rId1061" Type="http://schemas.openxmlformats.org/officeDocument/2006/relationships/hyperlink" Target="http://example.com/carrelage2.jpg" TargetMode="External"/><Relationship Id="rId1159" Type="http://schemas.openxmlformats.org/officeDocument/2006/relationships/hyperlink" Target="http://example.com/carrelage2.jpg" TargetMode="External"/><Relationship Id="rId1366" Type="http://schemas.openxmlformats.org/officeDocument/2006/relationships/hyperlink" Target="http://example.com/carrelage2.jpg" TargetMode="External"/><Relationship Id="rId168" Type="http://schemas.openxmlformats.org/officeDocument/2006/relationships/hyperlink" Target="http://example.com/carrelage3.jpg" TargetMode="External"/><Relationship Id="rId943" Type="http://schemas.openxmlformats.org/officeDocument/2006/relationships/hyperlink" Target="http://example.com/carrelage1.jpg" TargetMode="External"/><Relationship Id="rId1019" Type="http://schemas.openxmlformats.org/officeDocument/2006/relationships/hyperlink" Target="http://example.com/carrelage2.jpg" TargetMode="External"/><Relationship Id="rId1573" Type="http://schemas.openxmlformats.org/officeDocument/2006/relationships/hyperlink" Target="http://example.com/carrelage2.jpg" TargetMode="External"/><Relationship Id="rId1780" Type="http://schemas.openxmlformats.org/officeDocument/2006/relationships/hyperlink" Target="http://example.com/carrelage2.jpg" TargetMode="External"/><Relationship Id="rId1878" Type="http://schemas.openxmlformats.org/officeDocument/2006/relationships/hyperlink" Target="http://example.com/carrelage1.jpg" TargetMode="External"/><Relationship Id="rId72" Type="http://schemas.openxmlformats.org/officeDocument/2006/relationships/hyperlink" Target="http://example.com/carrelage3.jpg" TargetMode="External"/><Relationship Id="rId375" Type="http://schemas.openxmlformats.org/officeDocument/2006/relationships/hyperlink" Target="http://example.com/carrelage3.jpg" TargetMode="External"/><Relationship Id="rId582" Type="http://schemas.openxmlformats.org/officeDocument/2006/relationships/hyperlink" Target="http://example.com/carrelage3.jpg" TargetMode="External"/><Relationship Id="rId803" Type="http://schemas.openxmlformats.org/officeDocument/2006/relationships/hyperlink" Target="http://example.com/carrelage2.jpg" TargetMode="External"/><Relationship Id="rId1226" Type="http://schemas.openxmlformats.org/officeDocument/2006/relationships/hyperlink" Target="http://example.com/carrelage3.jpg" TargetMode="External"/><Relationship Id="rId1433" Type="http://schemas.openxmlformats.org/officeDocument/2006/relationships/hyperlink" Target="http://example.com/carrelage3.jpg" TargetMode="External"/><Relationship Id="rId1640" Type="http://schemas.openxmlformats.org/officeDocument/2006/relationships/hyperlink" Target="http://example.com/carrelage3.jpg" TargetMode="External"/><Relationship Id="rId1738" Type="http://schemas.openxmlformats.org/officeDocument/2006/relationships/hyperlink" Target="http://example.com/carrelage2.jpg" TargetMode="External"/><Relationship Id="rId3" Type="http://schemas.openxmlformats.org/officeDocument/2006/relationships/hyperlink" Target="http://example.com/carrelage3.jpg" TargetMode="External"/><Relationship Id="rId235" Type="http://schemas.openxmlformats.org/officeDocument/2006/relationships/hyperlink" Target="http://example.com/carrelage1.jpg" TargetMode="External"/><Relationship Id="rId442" Type="http://schemas.openxmlformats.org/officeDocument/2006/relationships/hyperlink" Target="http://example.com/carrelage1.jpg" TargetMode="External"/><Relationship Id="rId887" Type="http://schemas.openxmlformats.org/officeDocument/2006/relationships/hyperlink" Target="http://example.com/carrelage2.jpg" TargetMode="External"/><Relationship Id="rId1072" Type="http://schemas.openxmlformats.org/officeDocument/2006/relationships/hyperlink" Target="http://example.com/carrelage1.jpg" TargetMode="External"/><Relationship Id="rId1500" Type="http://schemas.openxmlformats.org/officeDocument/2006/relationships/hyperlink" Target="http://example.com/carrelage1.jpg" TargetMode="External"/><Relationship Id="rId1945" Type="http://schemas.openxmlformats.org/officeDocument/2006/relationships/hyperlink" Target="http://example.com/carrelage1.jpg" TargetMode="External"/><Relationship Id="rId302" Type="http://schemas.openxmlformats.org/officeDocument/2006/relationships/hyperlink" Target="http://example.com/carrelage2.jpg" TargetMode="External"/><Relationship Id="rId747" Type="http://schemas.openxmlformats.org/officeDocument/2006/relationships/hyperlink" Target="http://example.com/carrelage3.jpg" TargetMode="External"/><Relationship Id="rId954" Type="http://schemas.openxmlformats.org/officeDocument/2006/relationships/hyperlink" Target="http://example.com/carrelage3.jpg" TargetMode="External"/><Relationship Id="rId1377" Type="http://schemas.openxmlformats.org/officeDocument/2006/relationships/hyperlink" Target="http://example.com/carrelage1.jpg" TargetMode="External"/><Relationship Id="rId1584" Type="http://schemas.openxmlformats.org/officeDocument/2006/relationships/hyperlink" Target="http://example.com/carrelage1.jpg" TargetMode="External"/><Relationship Id="rId1791" Type="http://schemas.openxmlformats.org/officeDocument/2006/relationships/hyperlink" Target="http://example.com/carrelage1.jpg" TargetMode="External"/><Relationship Id="rId1805" Type="http://schemas.openxmlformats.org/officeDocument/2006/relationships/hyperlink" Target="http://example.com/carrelage3.jpg" TargetMode="External"/><Relationship Id="rId83" Type="http://schemas.openxmlformats.org/officeDocument/2006/relationships/hyperlink" Target="http://example.com/carrelage2.jpg" TargetMode="External"/><Relationship Id="rId179" Type="http://schemas.openxmlformats.org/officeDocument/2006/relationships/hyperlink" Target="http://example.com/carrelage2.jpg" TargetMode="External"/><Relationship Id="rId386" Type="http://schemas.openxmlformats.org/officeDocument/2006/relationships/hyperlink" Target="http://example.com/carrelage2.jpg" TargetMode="External"/><Relationship Id="rId593" Type="http://schemas.openxmlformats.org/officeDocument/2006/relationships/hyperlink" Target="http://example.com/carrelage2.jpg" TargetMode="External"/><Relationship Id="rId607" Type="http://schemas.openxmlformats.org/officeDocument/2006/relationships/hyperlink" Target="http://example.com/carrelage1.jpg" TargetMode="External"/><Relationship Id="rId814" Type="http://schemas.openxmlformats.org/officeDocument/2006/relationships/hyperlink" Target="http://example.com/carrelage1.jpg" TargetMode="External"/><Relationship Id="rId1237" Type="http://schemas.openxmlformats.org/officeDocument/2006/relationships/hyperlink" Target="http://example.com/carrelage2.jpg" TargetMode="External"/><Relationship Id="rId1444" Type="http://schemas.openxmlformats.org/officeDocument/2006/relationships/hyperlink" Target="http://example.com/carrelage2.jpg" TargetMode="External"/><Relationship Id="rId1651" Type="http://schemas.openxmlformats.org/officeDocument/2006/relationships/hyperlink" Target="http://example.com/carrelage2.jpg" TargetMode="External"/><Relationship Id="rId1889" Type="http://schemas.openxmlformats.org/officeDocument/2006/relationships/hyperlink" Target="http://example.com/carrelage3.jpg" TargetMode="External"/><Relationship Id="rId246" Type="http://schemas.openxmlformats.org/officeDocument/2006/relationships/hyperlink" Target="http://example.com/carrelage3.jpg" TargetMode="External"/><Relationship Id="rId453" Type="http://schemas.openxmlformats.org/officeDocument/2006/relationships/hyperlink" Target="http://example.com/carrelage3.jpg" TargetMode="External"/><Relationship Id="rId660" Type="http://schemas.openxmlformats.org/officeDocument/2006/relationships/hyperlink" Target="http://example.com/carrelage3.jpg" TargetMode="External"/><Relationship Id="rId898" Type="http://schemas.openxmlformats.org/officeDocument/2006/relationships/hyperlink" Target="http://example.com/carrelage1.jpg" TargetMode="External"/><Relationship Id="rId1083" Type="http://schemas.openxmlformats.org/officeDocument/2006/relationships/hyperlink" Target="http://example.com/carrelage3.jpg" TargetMode="External"/><Relationship Id="rId1290" Type="http://schemas.openxmlformats.org/officeDocument/2006/relationships/hyperlink" Target="http://example.com/carrelage1.jpg" TargetMode="External"/><Relationship Id="rId1304" Type="http://schemas.openxmlformats.org/officeDocument/2006/relationships/hyperlink" Target="http://example.com/carrelage3.jpg" TargetMode="External"/><Relationship Id="rId1511" Type="http://schemas.openxmlformats.org/officeDocument/2006/relationships/hyperlink" Target="http://example.com/carrelage3.jpg" TargetMode="External"/><Relationship Id="rId1749" Type="http://schemas.openxmlformats.org/officeDocument/2006/relationships/hyperlink" Target="http://example.com/carrelage1.jpg" TargetMode="External"/><Relationship Id="rId1956" Type="http://schemas.openxmlformats.org/officeDocument/2006/relationships/hyperlink" Target="http://example.com/carrelage2.jpg" TargetMode="External"/><Relationship Id="rId106" Type="http://schemas.openxmlformats.org/officeDocument/2006/relationships/hyperlink" Target="http://example.com/carrelage1.jpg" TargetMode="External"/><Relationship Id="rId313" Type="http://schemas.openxmlformats.org/officeDocument/2006/relationships/hyperlink" Target="http://example.com/carrelage1.jpg" TargetMode="External"/><Relationship Id="rId758" Type="http://schemas.openxmlformats.org/officeDocument/2006/relationships/hyperlink" Target="http://example.com/carrelage2.jpg" TargetMode="External"/><Relationship Id="rId965" Type="http://schemas.openxmlformats.org/officeDocument/2006/relationships/hyperlink" Target="http://example.com/carrelage2.jpg" TargetMode="External"/><Relationship Id="rId1150" Type="http://schemas.openxmlformats.org/officeDocument/2006/relationships/hyperlink" Target="http://example.com/carrelage2.jpg" TargetMode="External"/><Relationship Id="rId1388" Type="http://schemas.openxmlformats.org/officeDocument/2006/relationships/hyperlink" Target="http://example.com/carrelage3.jpg" TargetMode="External"/><Relationship Id="rId1595" Type="http://schemas.openxmlformats.org/officeDocument/2006/relationships/hyperlink" Target="http://example.com/carrelage3.jpg" TargetMode="External"/><Relationship Id="rId1609" Type="http://schemas.openxmlformats.org/officeDocument/2006/relationships/hyperlink" Target="http://example.com/carrelage2.jpg" TargetMode="External"/><Relationship Id="rId1816" Type="http://schemas.openxmlformats.org/officeDocument/2006/relationships/hyperlink" Target="http://example.com/carrelage2.jpg" TargetMode="External"/><Relationship Id="rId10" Type="http://schemas.openxmlformats.org/officeDocument/2006/relationships/hyperlink" Target="http://example.com/carrelage1.jpg" TargetMode="External"/><Relationship Id="rId94" Type="http://schemas.openxmlformats.org/officeDocument/2006/relationships/hyperlink" Target="http://example.com/carrelage1.jpg" TargetMode="External"/><Relationship Id="rId397" Type="http://schemas.openxmlformats.org/officeDocument/2006/relationships/hyperlink" Target="http://example.com/carrelage1.jpg" TargetMode="External"/><Relationship Id="rId520" Type="http://schemas.openxmlformats.org/officeDocument/2006/relationships/hyperlink" Target="http://example.com/carrelage1.jpg" TargetMode="External"/><Relationship Id="rId618" Type="http://schemas.openxmlformats.org/officeDocument/2006/relationships/hyperlink" Target="http://example.com/carrelage3.jpg" TargetMode="External"/><Relationship Id="rId825" Type="http://schemas.openxmlformats.org/officeDocument/2006/relationships/hyperlink" Target="http://example.com/carrelage3.jpg" TargetMode="External"/><Relationship Id="rId1248" Type="http://schemas.openxmlformats.org/officeDocument/2006/relationships/hyperlink" Target="http://example.com/carrelage1.jpg" TargetMode="External"/><Relationship Id="rId1455" Type="http://schemas.openxmlformats.org/officeDocument/2006/relationships/hyperlink" Target="http://example.com/carrelage1.jpg" TargetMode="External"/><Relationship Id="rId1662" Type="http://schemas.openxmlformats.org/officeDocument/2006/relationships/hyperlink" Target="http://example.com/carrelage1.jpg" TargetMode="External"/><Relationship Id="rId257" Type="http://schemas.openxmlformats.org/officeDocument/2006/relationships/hyperlink" Target="http://example.com/carrelage2.jpg" TargetMode="External"/><Relationship Id="rId464" Type="http://schemas.openxmlformats.org/officeDocument/2006/relationships/hyperlink" Target="http://example.com/carrelage2.jpg" TargetMode="External"/><Relationship Id="rId1010" Type="http://schemas.openxmlformats.org/officeDocument/2006/relationships/hyperlink" Target="http://example.com/carrelage2.jpg" TargetMode="External"/><Relationship Id="rId1094" Type="http://schemas.openxmlformats.org/officeDocument/2006/relationships/hyperlink" Target="http://example.com/carrelage3.jpg" TargetMode="External"/><Relationship Id="rId1108" Type="http://schemas.openxmlformats.org/officeDocument/2006/relationships/hyperlink" Target="http://example.com/carrelage2.jpg" TargetMode="External"/><Relationship Id="rId1315" Type="http://schemas.openxmlformats.org/officeDocument/2006/relationships/hyperlink" Target="http://example.com/carrelage2.jpg" TargetMode="External"/><Relationship Id="rId1967" Type="http://schemas.openxmlformats.org/officeDocument/2006/relationships/hyperlink" Target="http://example.com/carrelage3.jpg" TargetMode="External"/><Relationship Id="rId117" Type="http://schemas.openxmlformats.org/officeDocument/2006/relationships/hyperlink" Target="http://example.com/carrelage3.jpg" TargetMode="External"/><Relationship Id="rId671" Type="http://schemas.openxmlformats.org/officeDocument/2006/relationships/hyperlink" Target="http://example.com/carrelage2.jpg" TargetMode="External"/><Relationship Id="rId769" Type="http://schemas.openxmlformats.org/officeDocument/2006/relationships/hyperlink" Target="http://example.com/carrelage1.jpg" TargetMode="External"/><Relationship Id="rId976" Type="http://schemas.openxmlformats.org/officeDocument/2006/relationships/hyperlink" Target="http://example.com/carrelage1.jpg" TargetMode="External"/><Relationship Id="rId1399" Type="http://schemas.openxmlformats.org/officeDocument/2006/relationships/hyperlink" Target="http://example.com/carrelage2.jpg" TargetMode="External"/><Relationship Id="rId324" Type="http://schemas.openxmlformats.org/officeDocument/2006/relationships/hyperlink" Target="http://example.com/carrelage3.jpg" TargetMode="External"/><Relationship Id="rId531" Type="http://schemas.openxmlformats.org/officeDocument/2006/relationships/hyperlink" Target="http://example.com/carrelage3.jpg" TargetMode="External"/><Relationship Id="rId629" Type="http://schemas.openxmlformats.org/officeDocument/2006/relationships/hyperlink" Target="http://example.com/carrelage2.jpg" TargetMode="External"/><Relationship Id="rId1161" Type="http://schemas.openxmlformats.org/officeDocument/2006/relationships/hyperlink" Target="http://example.com/carrelage1.jpg" TargetMode="External"/><Relationship Id="rId1259" Type="http://schemas.openxmlformats.org/officeDocument/2006/relationships/hyperlink" Target="http://example.com/carrelage3.jpg" TargetMode="External"/><Relationship Id="rId1466" Type="http://schemas.openxmlformats.org/officeDocument/2006/relationships/hyperlink" Target="http://example.com/carrelage3.jpg" TargetMode="External"/><Relationship Id="rId836" Type="http://schemas.openxmlformats.org/officeDocument/2006/relationships/hyperlink" Target="http://example.com/carrelage2.jpg" TargetMode="External"/><Relationship Id="rId1021" Type="http://schemas.openxmlformats.org/officeDocument/2006/relationships/hyperlink" Target="http://example.com/carrelage1.jpg" TargetMode="External"/><Relationship Id="rId1119" Type="http://schemas.openxmlformats.org/officeDocument/2006/relationships/hyperlink" Target="http://example.com/carrelage1.jpg" TargetMode="External"/><Relationship Id="rId1673" Type="http://schemas.openxmlformats.org/officeDocument/2006/relationships/hyperlink" Target="http://example.com/carrelage3.jpg" TargetMode="External"/><Relationship Id="rId1880" Type="http://schemas.openxmlformats.org/officeDocument/2006/relationships/hyperlink" Target="http://example.com/carrelage3.jpg" TargetMode="External"/><Relationship Id="rId1978" Type="http://schemas.openxmlformats.org/officeDocument/2006/relationships/vmlDrawing" Target="../drawings/vmlDrawing1.vml"/><Relationship Id="rId903" Type="http://schemas.openxmlformats.org/officeDocument/2006/relationships/hyperlink" Target="http://example.com/carrelage3.jpg" TargetMode="External"/><Relationship Id="rId1326" Type="http://schemas.openxmlformats.org/officeDocument/2006/relationships/hyperlink" Target="http://example.com/carrelage1.jpg" TargetMode="External"/><Relationship Id="rId1533" Type="http://schemas.openxmlformats.org/officeDocument/2006/relationships/hyperlink" Target="http://example.com/carrelage1.jpg" TargetMode="External"/><Relationship Id="rId1740" Type="http://schemas.openxmlformats.org/officeDocument/2006/relationships/hyperlink" Target="http://example.com/carrelage1.jpg" TargetMode="External"/><Relationship Id="rId32" Type="http://schemas.openxmlformats.org/officeDocument/2006/relationships/hyperlink" Target="http://example.com/carrelage2.jpg" TargetMode="External"/><Relationship Id="rId1600" Type="http://schemas.openxmlformats.org/officeDocument/2006/relationships/hyperlink" Target="http://example.com/carrelage2.jpg" TargetMode="External"/><Relationship Id="rId1838" Type="http://schemas.openxmlformats.org/officeDocument/2006/relationships/hyperlink" Target="http://example.com/carrelage3.jpg" TargetMode="External"/><Relationship Id="rId181" Type="http://schemas.openxmlformats.org/officeDocument/2006/relationships/hyperlink" Target="http://example.com/carrelage1.jpg" TargetMode="External"/><Relationship Id="rId1905" Type="http://schemas.openxmlformats.org/officeDocument/2006/relationships/hyperlink" Target="http://example.com/carrelage1.jpg" TargetMode="External"/><Relationship Id="rId279" Type="http://schemas.openxmlformats.org/officeDocument/2006/relationships/hyperlink" Target="http://example.com/carrelage3.jpg" TargetMode="External"/><Relationship Id="rId486" Type="http://schemas.openxmlformats.org/officeDocument/2006/relationships/hyperlink" Target="http://example.com/carrelage3.jpg" TargetMode="External"/><Relationship Id="rId693" Type="http://schemas.openxmlformats.org/officeDocument/2006/relationships/hyperlink" Target="http://example.com/carrelage3.jpg" TargetMode="External"/><Relationship Id="rId139" Type="http://schemas.openxmlformats.org/officeDocument/2006/relationships/hyperlink" Target="http://example.com/carrelage1.jpg" TargetMode="External"/><Relationship Id="rId346" Type="http://schemas.openxmlformats.org/officeDocument/2006/relationships/hyperlink" Target="http://example.com/carrelage1.jpg" TargetMode="External"/><Relationship Id="rId553" Type="http://schemas.openxmlformats.org/officeDocument/2006/relationships/hyperlink" Target="http://example.com/carrelage1.jpg" TargetMode="External"/><Relationship Id="rId760" Type="http://schemas.openxmlformats.org/officeDocument/2006/relationships/hyperlink" Target="http://example.com/carrelage1.jpg" TargetMode="External"/><Relationship Id="rId998" Type="http://schemas.openxmlformats.org/officeDocument/2006/relationships/hyperlink" Target="http://example.com/carrelage2.jpg" TargetMode="External"/><Relationship Id="rId1183" Type="http://schemas.openxmlformats.org/officeDocument/2006/relationships/hyperlink" Target="http://example.com/carrelage2.jpg" TargetMode="External"/><Relationship Id="rId1390" Type="http://schemas.openxmlformats.org/officeDocument/2006/relationships/hyperlink" Target="http://example.com/carrelage2.jpg" TargetMode="External"/><Relationship Id="rId206" Type="http://schemas.openxmlformats.org/officeDocument/2006/relationships/hyperlink" Target="http://example.com/carrelage2.jpg" TargetMode="External"/><Relationship Id="rId413" Type="http://schemas.openxmlformats.org/officeDocument/2006/relationships/hyperlink" Target="http://example.com/carrelage2.jpg" TargetMode="External"/><Relationship Id="rId858" Type="http://schemas.openxmlformats.org/officeDocument/2006/relationships/hyperlink" Target="http://example.com/carrelage3.jpg" TargetMode="External"/><Relationship Id="rId1043" Type="http://schemas.openxmlformats.org/officeDocument/2006/relationships/hyperlink" Target="http://example.com/carrelage2.jpg" TargetMode="External"/><Relationship Id="rId1488" Type="http://schemas.openxmlformats.org/officeDocument/2006/relationships/hyperlink" Target="http://example.com/carrelage1.jpg" TargetMode="External"/><Relationship Id="rId1695" Type="http://schemas.openxmlformats.org/officeDocument/2006/relationships/hyperlink" Target="http://example.com/carrelage1.jpg" TargetMode="External"/><Relationship Id="rId620" Type="http://schemas.openxmlformats.org/officeDocument/2006/relationships/hyperlink" Target="http://example.com/carrelage2.jpg" TargetMode="External"/><Relationship Id="rId718" Type="http://schemas.openxmlformats.org/officeDocument/2006/relationships/hyperlink" Target="http://example.com/carrelage1.jpg" TargetMode="External"/><Relationship Id="rId925" Type="http://schemas.openxmlformats.org/officeDocument/2006/relationships/hyperlink" Target="http://example.com/carrelage1.jpg" TargetMode="External"/><Relationship Id="rId1250" Type="http://schemas.openxmlformats.org/officeDocument/2006/relationships/hyperlink" Target="http://example.com/carrelage3.jpg" TargetMode="External"/><Relationship Id="rId1348" Type="http://schemas.openxmlformats.org/officeDocument/2006/relationships/hyperlink" Target="http://example.com/carrelage2.jpg" TargetMode="External"/><Relationship Id="rId1555" Type="http://schemas.openxmlformats.org/officeDocument/2006/relationships/hyperlink" Target="http://example.com/carrelage2.jpg" TargetMode="External"/><Relationship Id="rId1762" Type="http://schemas.openxmlformats.org/officeDocument/2006/relationships/hyperlink" Target="http://example.com/carrelage2.jpg" TargetMode="External"/><Relationship Id="rId1110" Type="http://schemas.openxmlformats.org/officeDocument/2006/relationships/hyperlink" Target="http://example.com/carrelage1.jpg" TargetMode="External"/><Relationship Id="rId1208" Type="http://schemas.openxmlformats.org/officeDocument/2006/relationships/hyperlink" Target="http://example.com/carrelage3.jpg" TargetMode="External"/><Relationship Id="rId1415" Type="http://schemas.openxmlformats.org/officeDocument/2006/relationships/hyperlink" Target="http://example.com/carrelage3.jpg" TargetMode="External"/><Relationship Id="rId54" Type="http://schemas.openxmlformats.org/officeDocument/2006/relationships/hyperlink" Target="http://example.com/carrelage3.jpg" TargetMode="External"/><Relationship Id="rId1622" Type="http://schemas.openxmlformats.org/officeDocument/2006/relationships/hyperlink" Target="http://example.com/carrelage3.jpg" TargetMode="External"/><Relationship Id="rId1927" Type="http://schemas.openxmlformats.org/officeDocument/2006/relationships/hyperlink" Target="http://example.com/carrelage2.jpg" TargetMode="External"/><Relationship Id="rId270" Type="http://schemas.openxmlformats.org/officeDocument/2006/relationships/hyperlink" Target="http://example.com/carrelage3.jpg" TargetMode="External"/><Relationship Id="rId130" Type="http://schemas.openxmlformats.org/officeDocument/2006/relationships/hyperlink" Target="http://example.com/carrelage1.jpg" TargetMode="External"/><Relationship Id="rId368" Type="http://schemas.openxmlformats.org/officeDocument/2006/relationships/hyperlink" Target="http://example.com/carrelage2.jpg" TargetMode="External"/><Relationship Id="rId575" Type="http://schemas.openxmlformats.org/officeDocument/2006/relationships/hyperlink" Target="http://example.com/carrelage2.jpg" TargetMode="External"/><Relationship Id="rId782" Type="http://schemas.openxmlformats.org/officeDocument/2006/relationships/hyperlink" Target="http://example.com/carrelage2.jpg" TargetMode="External"/><Relationship Id="rId228" Type="http://schemas.openxmlformats.org/officeDocument/2006/relationships/hyperlink" Target="http://example.com/carrelage3.jpg" TargetMode="External"/><Relationship Id="rId435" Type="http://schemas.openxmlformats.org/officeDocument/2006/relationships/hyperlink" Target="http://example.com/carrelage3.jpg" TargetMode="External"/><Relationship Id="rId642" Type="http://schemas.openxmlformats.org/officeDocument/2006/relationships/hyperlink" Target="http://example.com/carrelage3.jpg" TargetMode="External"/><Relationship Id="rId1065" Type="http://schemas.openxmlformats.org/officeDocument/2006/relationships/hyperlink" Target="http://example.com/carrelage3.jpg" TargetMode="External"/><Relationship Id="rId1272" Type="http://schemas.openxmlformats.org/officeDocument/2006/relationships/hyperlink" Target="http://example.com/carrelage1.jpg" TargetMode="External"/><Relationship Id="rId502" Type="http://schemas.openxmlformats.org/officeDocument/2006/relationships/hyperlink" Target="http://example.com/carrelage1.jpg" TargetMode="External"/><Relationship Id="rId947" Type="http://schemas.openxmlformats.org/officeDocument/2006/relationships/hyperlink" Target="http://example.com/carrelage2.jpg" TargetMode="External"/><Relationship Id="rId1132" Type="http://schemas.openxmlformats.org/officeDocument/2006/relationships/hyperlink" Target="http://example.com/carrelage2.jpg" TargetMode="External"/><Relationship Id="rId1577" Type="http://schemas.openxmlformats.org/officeDocument/2006/relationships/hyperlink" Target="http://example.com/carrelage3.jpg" TargetMode="External"/><Relationship Id="rId1784" Type="http://schemas.openxmlformats.org/officeDocument/2006/relationships/hyperlink" Target="http://example.com/carrelage3.jpg" TargetMode="External"/><Relationship Id="rId76" Type="http://schemas.openxmlformats.org/officeDocument/2006/relationships/hyperlink" Target="http://example.com/carrelage1.jpg" TargetMode="External"/><Relationship Id="rId807" Type="http://schemas.openxmlformats.org/officeDocument/2006/relationships/hyperlink" Target="http://example.com/carrelage3.jpg" TargetMode="External"/><Relationship Id="rId1437" Type="http://schemas.openxmlformats.org/officeDocument/2006/relationships/hyperlink" Target="http://example.com/carrelage1.jpg" TargetMode="External"/><Relationship Id="rId1644" Type="http://schemas.openxmlformats.org/officeDocument/2006/relationships/hyperlink" Target="http://example.com/carrelage1.jpg" TargetMode="External"/><Relationship Id="rId1851" Type="http://schemas.openxmlformats.org/officeDocument/2006/relationships/hyperlink" Target="http://example.com/carrelage1.jpg" TargetMode="External"/><Relationship Id="rId1504" Type="http://schemas.openxmlformats.org/officeDocument/2006/relationships/hyperlink" Target="http://example.com/carrelage2.jpg" TargetMode="External"/><Relationship Id="rId1711" Type="http://schemas.openxmlformats.org/officeDocument/2006/relationships/hyperlink" Target="http://example.com/carrelage2.jpg" TargetMode="External"/><Relationship Id="rId1949" Type="http://schemas.openxmlformats.org/officeDocument/2006/relationships/hyperlink" Target="http://example.com/carrelage1.jpg" TargetMode="External"/><Relationship Id="rId292" Type="http://schemas.openxmlformats.org/officeDocument/2006/relationships/hyperlink" Target="http://example.com/carrelage1.jpg" TargetMode="External"/><Relationship Id="rId1809" Type="http://schemas.openxmlformats.org/officeDocument/2006/relationships/hyperlink" Target="http://example.com/carrelage1.jpg" TargetMode="External"/><Relationship Id="rId597" Type="http://schemas.openxmlformats.org/officeDocument/2006/relationships/hyperlink" Target="http://example.com/carrelage3.jpg" TargetMode="External"/><Relationship Id="rId152" Type="http://schemas.openxmlformats.org/officeDocument/2006/relationships/hyperlink" Target="http://example.com/carrelage2.jpg" TargetMode="External"/><Relationship Id="rId457" Type="http://schemas.openxmlformats.org/officeDocument/2006/relationships/hyperlink" Target="http://example.com/carrelage1.jpg" TargetMode="External"/><Relationship Id="rId1087" Type="http://schemas.openxmlformats.org/officeDocument/2006/relationships/hyperlink" Target="http://example.com/parquet1.jpg" TargetMode="External"/><Relationship Id="rId1294" Type="http://schemas.openxmlformats.org/officeDocument/2006/relationships/hyperlink" Target="http://example.com/carrelage2.jpg" TargetMode="External"/><Relationship Id="rId664" Type="http://schemas.openxmlformats.org/officeDocument/2006/relationships/hyperlink" Target="http://example.com/carrelage1.jpg" TargetMode="External"/><Relationship Id="rId871" Type="http://schemas.openxmlformats.org/officeDocument/2006/relationships/hyperlink" Target="http://example.com/carrelage1.jpg" TargetMode="External"/><Relationship Id="rId969" Type="http://schemas.openxmlformats.org/officeDocument/2006/relationships/hyperlink" Target="http://example.com/carrelage3.jpg" TargetMode="External"/><Relationship Id="rId1599" Type="http://schemas.openxmlformats.org/officeDocument/2006/relationships/hyperlink" Target="http://example.com/carrelage1.jpg" TargetMode="External"/><Relationship Id="rId317" Type="http://schemas.openxmlformats.org/officeDocument/2006/relationships/hyperlink" Target="http://example.com/carrelage2.jpg" TargetMode="External"/><Relationship Id="rId524" Type="http://schemas.openxmlformats.org/officeDocument/2006/relationships/hyperlink" Target="http://example.com/carrelage2.jpg" TargetMode="External"/><Relationship Id="rId731" Type="http://schemas.openxmlformats.org/officeDocument/2006/relationships/hyperlink" Target="http://example.com/carrelage2.jpg" TargetMode="External"/><Relationship Id="rId1154" Type="http://schemas.openxmlformats.org/officeDocument/2006/relationships/hyperlink" Target="http://example.com/carrelage3.jpg" TargetMode="External"/><Relationship Id="rId1361" Type="http://schemas.openxmlformats.org/officeDocument/2006/relationships/hyperlink" Target="http://example.com/carrelage3.jpg" TargetMode="External"/><Relationship Id="rId1459" Type="http://schemas.openxmlformats.org/officeDocument/2006/relationships/hyperlink" Target="http://example.com/carrelage2.jpg" TargetMode="External"/><Relationship Id="rId98" Type="http://schemas.openxmlformats.org/officeDocument/2006/relationships/hyperlink" Target="http://example.com/carrelage2.jpg" TargetMode="External"/><Relationship Id="rId829" Type="http://schemas.openxmlformats.org/officeDocument/2006/relationships/hyperlink" Target="http://example.com/carrelage1.jpg" TargetMode="External"/><Relationship Id="rId1014" Type="http://schemas.openxmlformats.org/officeDocument/2006/relationships/hyperlink" Target="http://example.com/carrelage3.jpg" TargetMode="External"/><Relationship Id="rId1221" Type="http://schemas.openxmlformats.org/officeDocument/2006/relationships/hyperlink" Target="http://example.com/carrelage1.jpg" TargetMode="External"/><Relationship Id="rId1666" Type="http://schemas.openxmlformats.org/officeDocument/2006/relationships/hyperlink" Target="http://example.com/carrelage2.jpg" TargetMode="External"/><Relationship Id="rId1873" Type="http://schemas.openxmlformats.org/officeDocument/2006/relationships/hyperlink" Target="http://example.com/carrelage2.jpg" TargetMode="External"/><Relationship Id="rId1319" Type="http://schemas.openxmlformats.org/officeDocument/2006/relationships/hyperlink" Target="http://example.com/carrelage3.jpg" TargetMode="External"/><Relationship Id="rId1526" Type="http://schemas.openxmlformats.org/officeDocument/2006/relationships/hyperlink" Target="http://example.com/carrelage3.jpg" TargetMode="External"/><Relationship Id="rId1733" Type="http://schemas.openxmlformats.org/officeDocument/2006/relationships/hyperlink" Target="http://example.com/carrelage3.jpg" TargetMode="External"/><Relationship Id="rId1940" Type="http://schemas.openxmlformats.org/officeDocument/2006/relationships/hyperlink" Target="http://example.com/carrelage3.jpg" TargetMode="External"/><Relationship Id="rId25" Type="http://schemas.openxmlformats.org/officeDocument/2006/relationships/hyperlink" Target="http://example.com/carrelage1.jpg" TargetMode="External"/><Relationship Id="rId1800" Type="http://schemas.openxmlformats.org/officeDocument/2006/relationships/hyperlink" Target="http://example.com/carrelage1.jpg" TargetMode="External"/><Relationship Id="rId174" Type="http://schemas.openxmlformats.org/officeDocument/2006/relationships/hyperlink" Target="http://example.com/carrelage3.jpg" TargetMode="External"/><Relationship Id="rId381" Type="http://schemas.openxmlformats.org/officeDocument/2006/relationships/hyperlink" Target="http://example.com/carrelage3.jpg" TargetMode="External"/><Relationship Id="rId241" Type="http://schemas.openxmlformats.org/officeDocument/2006/relationships/hyperlink" Target="http://example.com/carrelage1.jpg" TargetMode="External"/><Relationship Id="rId479" Type="http://schemas.openxmlformats.org/officeDocument/2006/relationships/hyperlink" Target="http://example.com/carrelage2.jpg" TargetMode="External"/><Relationship Id="rId686" Type="http://schemas.openxmlformats.org/officeDocument/2006/relationships/hyperlink" Target="http://example.com/carrelage2.jpg" TargetMode="External"/><Relationship Id="rId893" Type="http://schemas.openxmlformats.org/officeDocument/2006/relationships/hyperlink" Target="http://example.com/carrelage2.jpg" TargetMode="External"/><Relationship Id="rId339" Type="http://schemas.openxmlformats.org/officeDocument/2006/relationships/hyperlink" Target="http://example.com/carrelage3.jpg" TargetMode="External"/><Relationship Id="rId546" Type="http://schemas.openxmlformats.org/officeDocument/2006/relationships/hyperlink" Target="http://example.com/carrelage3.jpg" TargetMode="External"/><Relationship Id="rId753" Type="http://schemas.openxmlformats.org/officeDocument/2006/relationships/hyperlink" Target="http://example.com/carrelage3.jpg" TargetMode="External"/><Relationship Id="rId1176" Type="http://schemas.openxmlformats.org/officeDocument/2006/relationships/hyperlink" Target="http://example.com/carrelage1.jpg" TargetMode="External"/><Relationship Id="rId1383" Type="http://schemas.openxmlformats.org/officeDocument/2006/relationships/hyperlink" Target="http://example.com/carrelage1.jpg" TargetMode="External"/><Relationship Id="rId101" Type="http://schemas.openxmlformats.org/officeDocument/2006/relationships/hyperlink" Target="http://example.com/carrelage2.jpg" TargetMode="External"/><Relationship Id="rId406" Type="http://schemas.openxmlformats.org/officeDocument/2006/relationships/hyperlink" Target="http://example.com/carrelage1.jpg" TargetMode="External"/><Relationship Id="rId960" Type="http://schemas.openxmlformats.org/officeDocument/2006/relationships/hyperlink" Target="http://example.com/carrelage3.jpg" TargetMode="External"/><Relationship Id="rId1036" Type="http://schemas.openxmlformats.org/officeDocument/2006/relationships/hyperlink" Target="http://example.com/carrelage1.jpg" TargetMode="External"/><Relationship Id="rId1243" Type="http://schemas.openxmlformats.org/officeDocument/2006/relationships/hyperlink" Target="http://example.com/carrelage2.jpg" TargetMode="External"/><Relationship Id="rId1590" Type="http://schemas.openxmlformats.org/officeDocument/2006/relationships/hyperlink" Target="http://example.com/carrelage1.jpg" TargetMode="External"/><Relationship Id="rId1688" Type="http://schemas.openxmlformats.org/officeDocument/2006/relationships/hyperlink" Target="http://example.com/carrelage3.jpg" TargetMode="External"/><Relationship Id="rId1895" Type="http://schemas.openxmlformats.org/officeDocument/2006/relationships/hyperlink" Target="http://example.com/carrelage3.jpg" TargetMode="External"/><Relationship Id="rId613" Type="http://schemas.openxmlformats.org/officeDocument/2006/relationships/hyperlink" Target="http://example.com/carrelage1.jpg" TargetMode="External"/><Relationship Id="rId820" Type="http://schemas.openxmlformats.org/officeDocument/2006/relationships/hyperlink" Target="http://example.com/carrelage1.jpg" TargetMode="External"/><Relationship Id="rId918" Type="http://schemas.openxmlformats.org/officeDocument/2006/relationships/hyperlink" Target="http://example.com/carrelage3.jpg" TargetMode="External"/><Relationship Id="rId1450" Type="http://schemas.openxmlformats.org/officeDocument/2006/relationships/hyperlink" Target="http://example.com/carrelage2.jpg" TargetMode="External"/><Relationship Id="rId1548" Type="http://schemas.openxmlformats.org/officeDocument/2006/relationships/hyperlink" Target="http://example.com/carrelage1.jpg" TargetMode="External"/><Relationship Id="rId1755" Type="http://schemas.openxmlformats.org/officeDocument/2006/relationships/hyperlink" Target="http://example.com/carrelage1.jpg" TargetMode="External"/><Relationship Id="rId1103" Type="http://schemas.openxmlformats.org/officeDocument/2006/relationships/hyperlink" Target="http://example.com/carrelage3.jpg" TargetMode="External"/><Relationship Id="rId1310" Type="http://schemas.openxmlformats.org/officeDocument/2006/relationships/hyperlink" Target="http://example.com/carrelage3.jpg" TargetMode="External"/><Relationship Id="rId1408" Type="http://schemas.openxmlformats.org/officeDocument/2006/relationships/hyperlink" Target="http://example.com/carrelage2.jpg" TargetMode="External"/><Relationship Id="rId1962" Type="http://schemas.openxmlformats.org/officeDocument/2006/relationships/hyperlink" Target="http://example.com/carrelage2.jpg" TargetMode="External"/><Relationship Id="rId47" Type="http://schemas.openxmlformats.org/officeDocument/2006/relationships/hyperlink" Target="http://example.com/carrelage2.jpg" TargetMode="External"/><Relationship Id="rId1615" Type="http://schemas.openxmlformats.org/officeDocument/2006/relationships/hyperlink" Target="http://example.com/carrelage2.jpg" TargetMode="External"/><Relationship Id="rId1822" Type="http://schemas.openxmlformats.org/officeDocument/2006/relationships/hyperlink" Target="http://example.com/carrelage2.jpg" TargetMode="External"/><Relationship Id="rId196" Type="http://schemas.openxmlformats.org/officeDocument/2006/relationships/hyperlink" Target="http://example.com/carrelage1.jpg" TargetMode="External"/><Relationship Id="rId263" Type="http://schemas.openxmlformats.org/officeDocument/2006/relationships/hyperlink" Target="http://example.com/carrelage2.jpg" TargetMode="External"/><Relationship Id="rId470" Type="http://schemas.openxmlformats.org/officeDocument/2006/relationships/hyperlink" Target="http://example.com/carrelage2.jpg" TargetMode="External"/><Relationship Id="rId123" Type="http://schemas.openxmlformats.org/officeDocument/2006/relationships/hyperlink" Target="http://example.com/carrelage3.jpg" TargetMode="External"/><Relationship Id="rId330" Type="http://schemas.openxmlformats.org/officeDocument/2006/relationships/hyperlink" Target="http://example.com/carrelage3.jpg" TargetMode="External"/><Relationship Id="rId568" Type="http://schemas.openxmlformats.org/officeDocument/2006/relationships/hyperlink" Target="http://example.com/carrelage1.jpg" TargetMode="External"/><Relationship Id="rId775" Type="http://schemas.openxmlformats.org/officeDocument/2006/relationships/hyperlink" Target="http://example.com/carrelage1.jpg" TargetMode="External"/><Relationship Id="rId982" Type="http://schemas.openxmlformats.org/officeDocument/2006/relationships/hyperlink" Target="http://example.com/carrelage1.jpg" TargetMode="External"/><Relationship Id="rId1198" Type="http://schemas.openxmlformats.org/officeDocument/2006/relationships/hyperlink" Target="http://example.com/carrelage2.jpg" TargetMode="External"/><Relationship Id="rId428" Type="http://schemas.openxmlformats.org/officeDocument/2006/relationships/hyperlink" Target="http://example.com/carrelage2.jpg" TargetMode="External"/><Relationship Id="rId635" Type="http://schemas.openxmlformats.org/officeDocument/2006/relationships/hyperlink" Target="http://example.com/carrelage2.jpg" TargetMode="External"/><Relationship Id="rId842" Type="http://schemas.openxmlformats.org/officeDocument/2006/relationships/hyperlink" Target="http://example.com/carrelage2.jpg" TargetMode="External"/><Relationship Id="rId1058" Type="http://schemas.openxmlformats.org/officeDocument/2006/relationships/hyperlink" Target="http://example.com/carrelage2.jpg" TargetMode="External"/><Relationship Id="rId1265" Type="http://schemas.openxmlformats.org/officeDocument/2006/relationships/hyperlink" Target="http://example.com/carrelage3.jpg" TargetMode="External"/><Relationship Id="rId1472" Type="http://schemas.openxmlformats.org/officeDocument/2006/relationships/hyperlink" Target="http://example.com/carrelage3.jpg" TargetMode="External"/><Relationship Id="rId702" Type="http://schemas.openxmlformats.org/officeDocument/2006/relationships/hyperlink" Target="http://example.com/carrelage3.jpg" TargetMode="External"/><Relationship Id="rId1125" Type="http://schemas.openxmlformats.org/officeDocument/2006/relationships/hyperlink" Target="http://example.com/carrelage1.jpg" TargetMode="External"/><Relationship Id="rId1332" Type="http://schemas.openxmlformats.org/officeDocument/2006/relationships/hyperlink" Target="http://example.com/carrelage1.jpg" TargetMode="External"/><Relationship Id="rId1777" Type="http://schemas.openxmlformats.org/officeDocument/2006/relationships/hyperlink" Target="http://example.com/carrelage2.jpg" TargetMode="External"/><Relationship Id="rId69" Type="http://schemas.openxmlformats.org/officeDocument/2006/relationships/hyperlink" Target="http://example.com/carrelage3.jpg" TargetMode="External"/><Relationship Id="rId1637" Type="http://schemas.openxmlformats.org/officeDocument/2006/relationships/hyperlink" Target="http://example.com/carrelage3.jpg" TargetMode="External"/><Relationship Id="rId1844" Type="http://schemas.openxmlformats.org/officeDocument/2006/relationships/hyperlink" Target="http://example.com/carrelage3.jpg" TargetMode="External"/><Relationship Id="rId1704" Type="http://schemas.openxmlformats.org/officeDocument/2006/relationships/hyperlink" Target="http://example.com/carrelage1.jpg" TargetMode="External"/><Relationship Id="rId285" Type="http://schemas.openxmlformats.org/officeDocument/2006/relationships/hyperlink" Target="http://example.com/carrelage3.jpg" TargetMode="External"/><Relationship Id="rId1911" Type="http://schemas.openxmlformats.org/officeDocument/2006/relationships/hyperlink" Target="http://example.com/carrelage1.jpg" TargetMode="External"/><Relationship Id="rId492" Type="http://schemas.openxmlformats.org/officeDocument/2006/relationships/hyperlink" Target="http://example.com/carrelage3.jpg" TargetMode="External"/><Relationship Id="rId797" Type="http://schemas.openxmlformats.org/officeDocument/2006/relationships/hyperlink" Target="http://example.com/carrelage2.jpg" TargetMode="External"/><Relationship Id="rId145" Type="http://schemas.openxmlformats.org/officeDocument/2006/relationships/hyperlink" Target="http://example.com/carrelage1.jpg" TargetMode="External"/><Relationship Id="rId352" Type="http://schemas.openxmlformats.org/officeDocument/2006/relationships/hyperlink" Target="http://example.com/carrelage1.jpg" TargetMode="External"/><Relationship Id="rId1287" Type="http://schemas.openxmlformats.org/officeDocument/2006/relationships/hyperlink" Target="http://example.com/carrelage1.jpg" TargetMode="External"/><Relationship Id="rId212" Type="http://schemas.openxmlformats.org/officeDocument/2006/relationships/hyperlink" Target="http://example.com/carrelage2.jpg" TargetMode="External"/><Relationship Id="rId657" Type="http://schemas.openxmlformats.org/officeDocument/2006/relationships/hyperlink" Target="http://example.com/carrelage3.jpg" TargetMode="External"/><Relationship Id="rId864" Type="http://schemas.openxmlformats.org/officeDocument/2006/relationships/hyperlink" Target="http://example.com/carrelage3.jpg" TargetMode="External"/><Relationship Id="rId1494" Type="http://schemas.openxmlformats.org/officeDocument/2006/relationships/hyperlink" Target="http://example.com/carrelage1.jpg" TargetMode="External"/><Relationship Id="rId1799" Type="http://schemas.openxmlformats.org/officeDocument/2006/relationships/hyperlink" Target="http://example.com/carrelage3.jpg" TargetMode="External"/><Relationship Id="rId517" Type="http://schemas.openxmlformats.org/officeDocument/2006/relationships/hyperlink" Target="http://example.com/carrelage1.jpg" TargetMode="External"/><Relationship Id="rId724" Type="http://schemas.openxmlformats.org/officeDocument/2006/relationships/hyperlink" Target="http://example.com/carrelage1.jpg" TargetMode="External"/><Relationship Id="rId931" Type="http://schemas.openxmlformats.org/officeDocument/2006/relationships/hyperlink" Target="http://example.com/carrelage1.jpg" TargetMode="External"/><Relationship Id="rId1147" Type="http://schemas.openxmlformats.org/officeDocument/2006/relationships/hyperlink" Target="http://example.com/carrelage2.jpg" TargetMode="External"/><Relationship Id="rId1354" Type="http://schemas.openxmlformats.org/officeDocument/2006/relationships/hyperlink" Target="http://example.com/carrelage2.jpg" TargetMode="External"/><Relationship Id="rId1561" Type="http://schemas.openxmlformats.org/officeDocument/2006/relationships/hyperlink" Target="http://example.com/carrelage2.jpg" TargetMode="External"/><Relationship Id="rId60" Type="http://schemas.openxmlformats.org/officeDocument/2006/relationships/hyperlink" Target="http://example.com/carrelage3.jpg" TargetMode="External"/><Relationship Id="rId1007" Type="http://schemas.openxmlformats.org/officeDocument/2006/relationships/hyperlink" Target="http://example.com/carrelage2.jpg" TargetMode="External"/><Relationship Id="rId1214" Type="http://schemas.openxmlformats.org/officeDocument/2006/relationships/hyperlink" Target="http://example.com/carrelage3.jpg" TargetMode="External"/><Relationship Id="rId1421" Type="http://schemas.openxmlformats.org/officeDocument/2006/relationships/hyperlink" Target="http://example.com/carrelage3.jpg" TargetMode="External"/><Relationship Id="rId1659" Type="http://schemas.openxmlformats.org/officeDocument/2006/relationships/hyperlink" Target="http://example.com/carrelage1.jpg" TargetMode="External"/><Relationship Id="rId1866" Type="http://schemas.openxmlformats.org/officeDocument/2006/relationships/hyperlink" Target="http://example.com/carrelage1.jpg" TargetMode="External"/><Relationship Id="rId1519" Type="http://schemas.openxmlformats.org/officeDocument/2006/relationships/hyperlink" Target="http://example.com/carrelage2.jpg" TargetMode="External"/><Relationship Id="rId1726" Type="http://schemas.openxmlformats.org/officeDocument/2006/relationships/hyperlink" Target="http://example.com/carrelage2.jpg" TargetMode="External"/><Relationship Id="rId1933" Type="http://schemas.openxmlformats.org/officeDocument/2006/relationships/hyperlink" Target="http://example.com/carrelage2.jpg" TargetMode="External"/><Relationship Id="rId18" Type="http://schemas.openxmlformats.org/officeDocument/2006/relationships/hyperlink" Target="http://example.com/carrelage3.jpg" TargetMode="External"/><Relationship Id="rId167" Type="http://schemas.openxmlformats.org/officeDocument/2006/relationships/hyperlink" Target="http://example.com/carrelage2.jpg" TargetMode="External"/><Relationship Id="rId374" Type="http://schemas.openxmlformats.org/officeDocument/2006/relationships/hyperlink" Target="http://example.com/carrelage2.jpg" TargetMode="External"/><Relationship Id="rId581" Type="http://schemas.openxmlformats.org/officeDocument/2006/relationships/hyperlink" Target="http://example.com/carrelage2.jpg" TargetMode="External"/><Relationship Id="rId234" Type="http://schemas.openxmlformats.org/officeDocument/2006/relationships/hyperlink" Target="http://example.com/carrelage3.jpg" TargetMode="External"/><Relationship Id="rId679" Type="http://schemas.openxmlformats.org/officeDocument/2006/relationships/hyperlink" Target="http://example.com/carrelage1.jpg" TargetMode="External"/><Relationship Id="rId886" Type="http://schemas.openxmlformats.org/officeDocument/2006/relationships/hyperlink" Target="http://example.com/carrelage1.jpg" TargetMode="External"/><Relationship Id="rId2" Type="http://schemas.openxmlformats.org/officeDocument/2006/relationships/hyperlink" Target="http://example.com/carrelage2.jpg" TargetMode="External"/><Relationship Id="rId441" Type="http://schemas.openxmlformats.org/officeDocument/2006/relationships/hyperlink" Target="http://example.com/carrelage3.jpg" TargetMode="External"/><Relationship Id="rId539" Type="http://schemas.openxmlformats.org/officeDocument/2006/relationships/hyperlink" Target="http://example.com/carrelage2.jpg" TargetMode="External"/><Relationship Id="rId746" Type="http://schemas.openxmlformats.org/officeDocument/2006/relationships/hyperlink" Target="http://example.com/carrelage2.jpg" TargetMode="External"/><Relationship Id="rId1071" Type="http://schemas.openxmlformats.org/officeDocument/2006/relationships/hyperlink" Target="http://example.com/carrelage3.jpg" TargetMode="External"/><Relationship Id="rId1169" Type="http://schemas.openxmlformats.org/officeDocument/2006/relationships/hyperlink" Target="http://example.com/carrelage3.jpg" TargetMode="External"/><Relationship Id="rId1376" Type="http://schemas.openxmlformats.org/officeDocument/2006/relationships/hyperlink" Target="http://example.com/carrelage3.jpg" TargetMode="External"/><Relationship Id="rId1583" Type="http://schemas.openxmlformats.org/officeDocument/2006/relationships/hyperlink" Target="http://example.com/carrelage3.jpg" TargetMode="External"/><Relationship Id="rId301" Type="http://schemas.openxmlformats.org/officeDocument/2006/relationships/hyperlink" Target="http://example.com/carrelage1.jpg" TargetMode="External"/><Relationship Id="rId953" Type="http://schemas.openxmlformats.org/officeDocument/2006/relationships/hyperlink" Target="http://example.com/carrelage2.jpg" TargetMode="External"/><Relationship Id="rId1029" Type="http://schemas.openxmlformats.org/officeDocument/2006/relationships/hyperlink" Target="http://example.com/carrelage3.jpg" TargetMode="External"/><Relationship Id="rId1236" Type="http://schemas.openxmlformats.org/officeDocument/2006/relationships/hyperlink" Target="http://example.com/carrelage1.jpg" TargetMode="External"/><Relationship Id="rId1790" Type="http://schemas.openxmlformats.org/officeDocument/2006/relationships/hyperlink" Target="http://example.com/carrelage3.jpg" TargetMode="External"/><Relationship Id="rId1888" Type="http://schemas.openxmlformats.org/officeDocument/2006/relationships/hyperlink" Target="http://example.com/carrelage2.jpg" TargetMode="External"/><Relationship Id="rId82" Type="http://schemas.openxmlformats.org/officeDocument/2006/relationships/hyperlink" Target="http://example.com/carrelage1.jpg" TargetMode="External"/><Relationship Id="rId606" Type="http://schemas.openxmlformats.org/officeDocument/2006/relationships/hyperlink" Target="http://example.com/carrelage3.jpg" TargetMode="External"/><Relationship Id="rId813" Type="http://schemas.openxmlformats.org/officeDocument/2006/relationships/hyperlink" Target="http://example.com/carrelage3.jpg" TargetMode="External"/><Relationship Id="rId1443" Type="http://schemas.openxmlformats.org/officeDocument/2006/relationships/hyperlink" Target="http://example.com/carrelage1.jpg" TargetMode="External"/><Relationship Id="rId1650" Type="http://schemas.openxmlformats.org/officeDocument/2006/relationships/hyperlink" Target="http://example.com/carrelage1.jpg" TargetMode="External"/><Relationship Id="rId1748" Type="http://schemas.openxmlformats.org/officeDocument/2006/relationships/hyperlink" Target="http://example.com/carrelage3.jpg" TargetMode="External"/><Relationship Id="rId1303" Type="http://schemas.openxmlformats.org/officeDocument/2006/relationships/hyperlink" Target="http://example.com/carrelage2.jpg" TargetMode="External"/><Relationship Id="rId1510" Type="http://schemas.openxmlformats.org/officeDocument/2006/relationships/hyperlink" Target="http://example.com/carrelage2.jpg" TargetMode="External"/><Relationship Id="rId1955" Type="http://schemas.openxmlformats.org/officeDocument/2006/relationships/hyperlink" Target="http://example.com/carrelage2.jpg" TargetMode="External"/><Relationship Id="rId1608" Type="http://schemas.openxmlformats.org/officeDocument/2006/relationships/hyperlink" Target="http://example.com/carrelage1.jpg" TargetMode="External"/><Relationship Id="rId1815" Type="http://schemas.openxmlformats.org/officeDocument/2006/relationships/hyperlink" Target="http://example.com/carrelage1.jpg" TargetMode="External"/><Relationship Id="rId189" Type="http://schemas.openxmlformats.org/officeDocument/2006/relationships/hyperlink" Target="http://example.com/carrelage3.jpg" TargetMode="External"/><Relationship Id="rId396" Type="http://schemas.openxmlformats.org/officeDocument/2006/relationships/hyperlink" Target="http://example.com/carrelage3.jpg" TargetMode="External"/><Relationship Id="rId256" Type="http://schemas.openxmlformats.org/officeDocument/2006/relationships/hyperlink" Target="http://example.com/carrelage1.jpg" TargetMode="External"/><Relationship Id="rId463" Type="http://schemas.openxmlformats.org/officeDocument/2006/relationships/hyperlink" Target="http://example.com/carrelage1.jpg" TargetMode="External"/><Relationship Id="rId670" Type="http://schemas.openxmlformats.org/officeDocument/2006/relationships/hyperlink" Target="http://example.com/carrelage1.jpg" TargetMode="External"/><Relationship Id="rId1093" Type="http://schemas.openxmlformats.org/officeDocument/2006/relationships/hyperlink" Target="http://example.com/carrelage2.jpg" TargetMode="External"/><Relationship Id="rId116" Type="http://schemas.openxmlformats.org/officeDocument/2006/relationships/hyperlink" Target="http://example.com/carrelage2.jpg" TargetMode="External"/><Relationship Id="rId323" Type="http://schemas.openxmlformats.org/officeDocument/2006/relationships/hyperlink" Target="http://example.com/carrelage2.jpg" TargetMode="External"/><Relationship Id="rId530" Type="http://schemas.openxmlformats.org/officeDocument/2006/relationships/hyperlink" Target="http://example.com/carrelage2.jpg" TargetMode="External"/><Relationship Id="rId768" Type="http://schemas.openxmlformats.org/officeDocument/2006/relationships/hyperlink" Target="http://example.com/carrelage3.jpg" TargetMode="External"/><Relationship Id="rId975" Type="http://schemas.openxmlformats.org/officeDocument/2006/relationships/hyperlink" Target="http://example.com/carrelage3.jpg" TargetMode="External"/><Relationship Id="rId1160" Type="http://schemas.openxmlformats.org/officeDocument/2006/relationships/hyperlink" Target="http://example.com/carrelage3.jpg" TargetMode="External"/><Relationship Id="rId1398" Type="http://schemas.openxmlformats.org/officeDocument/2006/relationships/hyperlink" Target="http://example.com/carrelage1.jpg" TargetMode="External"/><Relationship Id="rId628" Type="http://schemas.openxmlformats.org/officeDocument/2006/relationships/hyperlink" Target="http://example.com/carrelage1.jpg" TargetMode="External"/><Relationship Id="rId835" Type="http://schemas.openxmlformats.org/officeDocument/2006/relationships/hyperlink" Target="http://example.com/carrelage1.jpg" TargetMode="External"/><Relationship Id="rId1258" Type="http://schemas.openxmlformats.org/officeDocument/2006/relationships/hyperlink" Target="http://example.com/carrelage2.jpg" TargetMode="External"/><Relationship Id="rId1465" Type="http://schemas.openxmlformats.org/officeDocument/2006/relationships/hyperlink" Target="http://example.com/carrelage2.jpg" TargetMode="External"/><Relationship Id="rId1672" Type="http://schemas.openxmlformats.org/officeDocument/2006/relationships/hyperlink" Target="http://example.com/carrelage2.jpg" TargetMode="External"/><Relationship Id="rId1020" Type="http://schemas.openxmlformats.org/officeDocument/2006/relationships/hyperlink" Target="http://example.com/carrelage3.jpg" TargetMode="External"/><Relationship Id="rId1118" Type="http://schemas.openxmlformats.org/officeDocument/2006/relationships/hyperlink" Target="http://example.com/carrelage3.jpg" TargetMode="External"/><Relationship Id="rId1325" Type="http://schemas.openxmlformats.org/officeDocument/2006/relationships/hyperlink" Target="http://example.com/carrelage3.jpg" TargetMode="External"/><Relationship Id="rId1532" Type="http://schemas.openxmlformats.org/officeDocument/2006/relationships/hyperlink" Target="http://example.com/carrelage3.jpg" TargetMode="External"/><Relationship Id="rId1977" Type="http://schemas.openxmlformats.org/officeDocument/2006/relationships/printerSettings" Target="../printerSettings/printerSettings1.bin"/><Relationship Id="rId902" Type="http://schemas.openxmlformats.org/officeDocument/2006/relationships/hyperlink" Target="http://example.com/carrelage2.jpg" TargetMode="External"/><Relationship Id="rId1837" Type="http://schemas.openxmlformats.org/officeDocument/2006/relationships/hyperlink" Target="http://example.com/carrelage2.jpg" TargetMode="External"/><Relationship Id="rId31" Type="http://schemas.openxmlformats.org/officeDocument/2006/relationships/hyperlink" Target="http://example.com/carrelage1.jpg" TargetMode="External"/><Relationship Id="rId180" Type="http://schemas.openxmlformats.org/officeDocument/2006/relationships/hyperlink" Target="http://example.com/carrelage3.jpg" TargetMode="External"/><Relationship Id="rId278" Type="http://schemas.openxmlformats.org/officeDocument/2006/relationships/hyperlink" Target="http://example.com/carrelage2.jpg" TargetMode="External"/><Relationship Id="rId1904" Type="http://schemas.openxmlformats.org/officeDocument/2006/relationships/hyperlink" Target="http://example.com/carrelage3.jpg" TargetMode="External"/><Relationship Id="rId485" Type="http://schemas.openxmlformats.org/officeDocument/2006/relationships/hyperlink" Target="http://example.com/carrelage2.jpg" TargetMode="External"/><Relationship Id="rId692" Type="http://schemas.openxmlformats.org/officeDocument/2006/relationships/hyperlink" Target="http://example.com/carrelage2.jpg" TargetMode="External"/><Relationship Id="rId138" Type="http://schemas.openxmlformats.org/officeDocument/2006/relationships/hyperlink" Target="http://example.com/carrelage3.jpg" TargetMode="External"/><Relationship Id="rId345" Type="http://schemas.openxmlformats.org/officeDocument/2006/relationships/hyperlink" Target="http://example.com/carrelage3.jpg" TargetMode="External"/><Relationship Id="rId552" Type="http://schemas.openxmlformats.org/officeDocument/2006/relationships/hyperlink" Target="http://example.com/carrelage3.jpg" TargetMode="External"/><Relationship Id="rId997" Type="http://schemas.openxmlformats.org/officeDocument/2006/relationships/hyperlink" Target="http://example.com/carrelage1.jpg" TargetMode="External"/><Relationship Id="rId1182" Type="http://schemas.openxmlformats.org/officeDocument/2006/relationships/hyperlink" Target="http://example.com/carrelage1.jpg" TargetMode="External"/><Relationship Id="rId205" Type="http://schemas.openxmlformats.org/officeDocument/2006/relationships/hyperlink" Target="http://example.com/carrelage1.jpg" TargetMode="External"/><Relationship Id="rId412" Type="http://schemas.openxmlformats.org/officeDocument/2006/relationships/hyperlink" Target="http://example.com/carrelage1.jpg" TargetMode="External"/><Relationship Id="rId857" Type="http://schemas.openxmlformats.org/officeDocument/2006/relationships/hyperlink" Target="http://example.com/carrelage2.jpg" TargetMode="External"/><Relationship Id="rId1042" Type="http://schemas.openxmlformats.org/officeDocument/2006/relationships/hyperlink" Target="http://example.com/carrelage1.jpg" TargetMode="External"/><Relationship Id="rId1487" Type="http://schemas.openxmlformats.org/officeDocument/2006/relationships/hyperlink" Target="http://example.com/carrelage3.jpg" TargetMode="External"/><Relationship Id="rId1694" Type="http://schemas.openxmlformats.org/officeDocument/2006/relationships/hyperlink" Target="http://example.com/carrelage3.jpg" TargetMode="External"/><Relationship Id="rId717" Type="http://schemas.openxmlformats.org/officeDocument/2006/relationships/hyperlink" Target="http://example.com/carrelage3.jpg" TargetMode="External"/><Relationship Id="rId924" Type="http://schemas.openxmlformats.org/officeDocument/2006/relationships/hyperlink" Target="http://example.com/carrelage3.jpg" TargetMode="External"/><Relationship Id="rId1347" Type="http://schemas.openxmlformats.org/officeDocument/2006/relationships/hyperlink" Target="http://example.com/carrelage1.jpg" TargetMode="External"/><Relationship Id="rId1554" Type="http://schemas.openxmlformats.org/officeDocument/2006/relationships/hyperlink" Target="http://example.com/carrelage1.jpg" TargetMode="External"/><Relationship Id="rId1761" Type="http://schemas.openxmlformats.org/officeDocument/2006/relationships/hyperlink" Target="http://example.com/carrelage1.jpg" TargetMode="External"/><Relationship Id="rId53" Type="http://schemas.openxmlformats.org/officeDocument/2006/relationships/hyperlink" Target="http://example.com/carrelage2.jpg" TargetMode="External"/><Relationship Id="rId1207" Type="http://schemas.openxmlformats.org/officeDocument/2006/relationships/hyperlink" Target="http://example.com/carrelage2.jpg" TargetMode="External"/><Relationship Id="rId1414" Type="http://schemas.openxmlformats.org/officeDocument/2006/relationships/hyperlink" Target="http://example.com/carrelage2.jpg" TargetMode="External"/><Relationship Id="rId1621" Type="http://schemas.openxmlformats.org/officeDocument/2006/relationships/hyperlink" Target="http://example.com/carrelage2.jpg" TargetMode="External"/><Relationship Id="rId1859" Type="http://schemas.openxmlformats.org/officeDocument/2006/relationships/hyperlink" Target="http://example.com/carrelage3.jpg" TargetMode="External"/><Relationship Id="rId1719" Type="http://schemas.openxmlformats.org/officeDocument/2006/relationships/hyperlink" Target="http://example.com/carrelage1.jpg" TargetMode="External"/><Relationship Id="rId1926" Type="http://schemas.openxmlformats.org/officeDocument/2006/relationships/hyperlink" Target="http://example.com/carrelage1.jpg" TargetMode="External"/><Relationship Id="rId367" Type="http://schemas.openxmlformats.org/officeDocument/2006/relationships/hyperlink" Target="http://example.com/carrelage1.jpg" TargetMode="External"/><Relationship Id="rId574" Type="http://schemas.openxmlformats.org/officeDocument/2006/relationships/hyperlink" Target="http://example.com/carrelage1.jpg" TargetMode="External"/><Relationship Id="rId227" Type="http://schemas.openxmlformats.org/officeDocument/2006/relationships/hyperlink" Target="http://example.com/carrelage2.jpg" TargetMode="External"/><Relationship Id="rId781" Type="http://schemas.openxmlformats.org/officeDocument/2006/relationships/hyperlink" Target="http://example.com/carrelage1.jpg" TargetMode="External"/><Relationship Id="rId879" Type="http://schemas.openxmlformats.org/officeDocument/2006/relationships/hyperlink" Target="http://example.com/carrelage3.jpg" TargetMode="External"/><Relationship Id="rId434" Type="http://schemas.openxmlformats.org/officeDocument/2006/relationships/hyperlink" Target="http://example.com/carrelage2.jpg" TargetMode="External"/><Relationship Id="rId641" Type="http://schemas.openxmlformats.org/officeDocument/2006/relationships/hyperlink" Target="http://example.com/carrelage2.jpg" TargetMode="External"/><Relationship Id="rId739" Type="http://schemas.openxmlformats.org/officeDocument/2006/relationships/hyperlink" Target="http://example.com/carrelage1.jpg" TargetMode="External"/><Relationship Id="rId1064" Type="http://schemas.openxmlformats.org/officeDocument/2006/relationships/hyperlink" Target="http://example.com/carrelage2.jpg" TargetMode="External"/><Relationship Id="rId1271" Type="http://schemas.openxmlformats.org/officeDocument/2006/relationships/hyperlink" Target="http://example.com/carrelage3.jpg" TargetMode="External"/><Relationship Id="rId1369" Type="http://schemas.openxmlformats.org/officeDocument/2006/relationships/hyperlink" Target="http://example.com/carrelage2.jpg" TargetMode="External"/><Relationship Id="rId1576" Type="http://schemas.openxmlformats.org/officeDocument/2006/relationships/hyperlink" Target="http://example.com/carrelage2.jpg" TargetMode="External"/><Relationship Id="rId501" Type="http://schemas.openxmlformats.org/officeDocument/2006/relationships/hyperlink" Target="http://example.com/carrelage3.jpg" TargetMode="External"/><Relationship Id="rId946" Type="http://schemas.openxmlformats.org/officeDocument/2006/relationships/hyperlink" Target="http://example.com/carrelage1.jpg" TargetMode="External"/><Relationship Id="rId1131" Type="http://schemas.openxmlformats.org/officeDocument/2006/relationships/hyperlink" Target="http://example.com/carrelage1.jpg" TargetMode="External"/><Relationship Id="rId1229" Type="http://schemas.openxmlformats.org/officeDocument/2006/relationships/hyperlink" Target="http://example.com/carrelage3.jpg" TargetMode="External"/><Relationship Id="rId1783" Type="http://schemas.openxmlformats.org/officeDocument/2006/relationships/hyperlink" Target="http://example.com/carrelage2.jpg" TargetMode="External"/><Relationship Id="rId75" Type="http://schemas.openxmlformats.org/officeDocument/2006/relationships/hyperlink" Target="http://example.com/carrelage3.jpg" TargetMode="External"/><Relationship Id="rId806" Type="http://schemas.openxmlformats.org/officeDocument/2006/relationships/hyperlink" Target="http://example.com/carrelage2.jpg" TargetMode="External"/><Relationship Id="rId1436" Type="http://schemas.openxmlformats.org/officeDocument/2006/relationships/hyperlink" Target="http://example.com/carrelage3.jpg" TargetMode="External"/><Relationship Id="rId1643" Type="http://schemas.openxmlformats.org/officeDocument/2006/relationships/hyperlink" Target="http://example.com/carrelage3.jpg" TargetMode="External"/><Relationship Id="rId1850" Type="http://schemas.openxmlformats.org/officeDocument/2006/relationships/hyperlink" Target="http://example.com/carrelage3.jpg" TargetMode="External"/><Relationship Id="rId1503" Type="http://schemas.openxmlformats.org/officeDocument/2006/relationships/hyperlink" Target="http://example.com/carrelage1.jpg" TargetMode="External"/><Relationship Id="rId1710" Type="http://schemas.openxmlformats.org/officeDocument/2006/relationships/hyperlink" Target="http://example.com/carrelage1.jpg" TargetMode="External"/><Relationship Id="rId1948" Type="http://schemas.openxmlformats.org/officeDocument/2006/relationships/hyperlink" Target="http://example.com/carrelage1.jpg" TargetMode="External"/><Relationship Id="rId291" Type="http://schemas.openxmlformats.org/officeDocument/2006/relationships/hyperlink" Target="http://example.com/carrelage3.jpg" TargetMode="External"/><Relationship Id="rId1808" Type="http://schemas.openxmlformats.org/officeDocument/2006/relationships/hyperlink" Target="http://example.com/carrelage3.jpg" TargetMode="External"/><Relationship Id="rId151" Type="http://schemas.openxmlformats.org/officeDocument/2006/relationships/hyperlink" Target="http://example.com/carrelage1.jpg" TargetMode="External"/><Relationship Id="rId389" Type="http://schemas.openxmlformats.org/officeDocument/2006/relationships/hyperlink" Target="http://example.com/carrelage2.jpg" TargetMode="External"/><Relationship Id="rId596" Type="http://schemas.openxmlformats.org/officeDocument/2006/relationships/hyperlink" Target="http://example.com/carrelage2.jpg" TargetMode="External"/><Relationship Id="rId249" Type="http://schemas.openxmlformats.org/officeDocument/2006/relationships/hyperlink" Target="http://example.com/carrelage3.jpg" TargetMode="External"/><Relationship Id="rId456" Type="http://schemas.openxmlformats.org/officeDocument/2006/relationships/hyperlink" Target="http://example.com/carrelage3.jpg" TargetMode="External"/><Relationship Id="rId663" Type="http://schemas.openxmlformats.org/officeDocument/2006/relationships/hyperlink" Target="http://example.com/carrelage3.jpg" TargetMode="External"/><Relationship Id="rId870" Type="http://schemas.openxmlformats.org/officeDocument/2006/relationships/hyperlink" Target="http://example.com/carrelage3.jpg" TargetMode="External"/><Relationship Id="rId1086" Type="http://schemas.openxmlformats.org/officeDocument/2006/relationships/hyperlink" Target="http://example.com/carrelage3.jpg" TargetMode="External"/><Relationship Id="rId1293" Type="http://schemas.openxmlformats.org/officeDocument/2006/relationships/hyperlink" Target="http://example.com/carrelage1.jpg" TargetMode="External"/><Relationship Id="rId109" Type="http://schemas.openxmlformats.org/officeDocument/2006/relationships/hyperlink" Target="http://example.com/carrelage1.jpg" TargetMode="External"/><Relationship Id="rId316" Type="http://schemas.openxmlformats.org/officeDocument/2006/relationships/hyperlink" Target="http://example.com/carrelage1.jpg" TargetMode="External"/><Relationship Id="rId523" Type="http://schemas.openxmlformats.org/officeDocument/2006/relationships/hyperlink" Target="http://example.com/carrelage1.jpg" TargetMode="External"/><Relationship Id="rId968" Type="http://schemas.openxmlformats.org/officeDocument/2006/relationships/hyperlink" Target="http://example.com/carrelage2.jpg" TargetMode="External"/><Relationship Id="rId1153" Type="http://schemas.openxmlformats.org/officeDocument/2006/relationships/hyperlink" Target="http://example.com/carrelage2.jpg" TargetMode="External"/><Relationship Id="rId1598" Type="http://schemas.openxmlformats.org/officeDocument/2006/relationships/hyperlink" Target="http://example.com/carrelage3.jpg" TargetMode="External"/><Relationship Id="rId97" Type="http://schemas.openxmlformats.org/officeDocument/2006/relationships/hyperlink" Target="http://example.com/carrelage1.jpg" TargetMode="External"/><Relationship Id="rId730" Type="http://schemas.openxmlformats.org/officeDocument/2006/relationships/hyperlink" Target="http://example.com/carrelage1.jpg" TargetMode="External"/><Relationship Id="rId828" Type="http://schemas.openxmlformats.org/officeDocument/2006/relationships/hyperlink" Target="http://example.com/carrelage3.jpg" TargetMode="External"/><Relationship Id="rId1013" Type="http://schemas.openxmlformats.org/officeDocument/2006/relationships/hyperlink" Target="http://example.com/carrelage2.jpg" TargetMode="External"/><Relationship Id="rId1360" Type="http://schemas.openxmlformats.org/officeDocument/2006/relationships/hyperlink" Target="http://example.com/carrelage2.jpg" TargetMode="External"/><Relationship Id="rId1458" Type="http://schemas.openxmlformats.org/officeDocument/2006/relationships/hyperlink" Target="http://example.com/carrelage1.jpg" TargetMode="External"/><Relationship Id="rId1665" Type="http://schemas.openxmlformats.org/officeDocument/2006/relationships/hyperlink" Target="http://example.com/carrelage1.jpg" TargetMode="External"/><Relationship Id="rId1872" Type="http://schemas.openxmlformats.org/officeDocument/2006/relationships/hyperlink" Target="http://example.com/carrelage1.jpg" TargetMode="External"/><Relationship Id="rId1220" Type="http://schemas.openxmlformats.org/officeDocument/2006/relationships/hyperlink" Target="http://example.com/carrelage3.jpg" TargetMode="External"/><Relationship Id="rId1318" Type="http://schemas.openxmlformats.org/officeDocument/2006/relationships/hyperlink" Target="http://example.com/carrelage2.jpg" TargetMode="External"/><Relationship Id="rId1525" Type="http://schemas.openxmlformats.org/officeDocument/2006/relationships/hyperlink" Target="http://example.com/carrelage2.jpg" TargetMode="External"/><Relationship Id="rId1732" Type="http://schemas.openxmlformats.org/officeDocument/2006/relationships/hyperlink" Target="http://example.com/carrelage2.jpg" TargetMode="External"/><Relationship Id="rId24" Type="http://schemas.openxmlformats.org/officeDocument/2006/relationships/hyperlink" Target="http://example.com/carrelage3.jpg" TargetMode="External"/><Relationship Id="rId173" Type="http://schemas.openxmlformats.org/officeDocument/2006/relationships/hyperlink" Target="http://example.com/carrelage2.jpg" TargetMode="External"/><Relationship Id="rId380" Type="http://schemas.openxmlformats.org/officeDocument/2006/relationships/hyperlink" Target="http://example.com/carrelage2.jpg" TargetMode="External"/><Relationship Id="rId240" Type="http://schemas.openxmlformats.org/officeDocument/2006/relationships/hyperlink" Target="http://example.com/carrelage3.jpg" TargetMode="External"/><Relationship Id="rId478" Type="http://schemas.openxmlformats.org/officeDocument/2006/relationships/hyperlink" Target="http://example.com/carrelage1.jpg" TargetMode="External"/><Relationship Id="rId685" Type="http://schemas.openxmlformats.org/officeDocument/2006/relationships/hyperlink" Target="http://example.com/carrelage1.jpg" TargetMode="External"/><Relationship Id="rId892" Type="http://schemas.openxmlformats.org/officeDocument/2006/relationships/hyperlink" Target="http://example.com/carrelage1.jpg" TargetMode="External"/><Relationship Id="rId100" Type="http://schemas.openxmlformats.org/officeDocument/2006/relationships/hyperlink" Target="http://example.com/carrelage1.jpg" TargetMode="External"/><Relationship Id="rId338" Type="http://schemas.openxmlformats.org/officeDocument/2006/relationships/hyperlink" Target="http://example.com/carrelage2.jpg" TargetMode="External"/><Relationship Id="rId545" Type="http://schemas.openxmlformats.org/officeDocument/2006/relationships/hyperlink" Target="http://example.com/carrelage2.jpg" TargetMode="External"/><Relationship Id="rId752" Type="http://schemas.openxmlformats.org/officeDocument/2006/relationships/hyperlink" Target="http://example.com/carrelage2.jpg" TargetMode="External"/><Relationship Id="rId1175" Type="http://schemas.openxmlformats.org/officeDocument/2006/relationships/hyperlink" Target="http://example.com/carrelage3.jpg" TargetMode="External"/><Relationship Id="rId1382" Type="http://schemas.openxmlformats.org/officeDocument/2006/relationships/hyperlink" Target="http://example.com/carrelage3.jpg" TargetMode="External"/><Relationship Id="rId405" Type="http://schemas.openxmlformats.org/officeDocument/2006/relationships/hyperlink" Target="http://example.com/carrelage3.jpg" TargetMode="External"/><Relationship Id="rId612" Type="http://schemas.openxmlformats.org/officeDocument/2006/relationships/hyperlink" Target="http://example.com/carrelage3.jpg" TargetMode="External"/><Relationship Id="rId1035" Type="http://schemas.openxmlformats.org/officeDocument/2006/relationships/hyperlink" Target="http://example.com/carrelage3.jpg" TargetMode="External"/><Relationship Id="rId1242" Type="http://schemas.openxmlformats.org/officeDocument/2006/relationships/hyperlink" Target="http://example.com/carrelage1.jpg" TargetMode="External"/><Relationship Id="rId1687" Type="http://schemas.openxmlformats.org/officeDocument/2006/relationships/hyperlink" Target="http://example.com/carrelage2.jpg" TargetMode="External"/><Relationship Id="rId1894" Type="http://schemas.openxmlformats.org/officeDocument/2006/relationships/hyperlink" Target="http://example.com/carrelage2.jpg" TargetMode="External"/><Relationship Id="rId917" Type="http://schemas.openxmlformats.org/officeDocument/2006/relationships/hyperlink" Target="http://example.com/carrelage2.jpg" TargetMode="External"/><Relationship Id="rId1102" Type="http://schemas.openxmlformats.org/officeDocument/2006/relationships/hyperlink" Target="http://example.com/carrelage2.jpg" TargetMode="External"/><Relationship Id="rId1547" Type="http://schemas.openxmlformats.org/officeDocument/2006/relationships/hyperlink" Target="http://example.com/carrelage3.jpg" TargetMode="External"/><Relationship Id="rId1754" Type="http://schemas.openxmlformats.org/officeDocument/2006/relationships/hyperlink" Target="http://example.com/carrelage3.jpg" TargetMode="External"/><Relationship Id="rId1961" Type="http://schemas.openxmlformats.org/officeDocument/2006/relationships/hyperlink" Target="http://example.com/carrelage2.jpg" TargetMode="External"/><Relationship Id="rId46" Type="http://schemas.openxmlformats.org/officeDocument/2006/relationships/hyperlink" Target="http://example.com/carrelage1.jpg" TargetMode="External"/><Relationship Id="rId1407" Type="http://schemas.openxmlformats.org/officeDocument/2006/relationships/hyperlink" Target="http://example.com/carrelage1.jpg" TargetMode="External"/><Relationship Id="rId1614" Type="http://schemas.openxmlformats.org/officeDocument/2006/relationships/hyperlink" Target="http://example.com/carrelage1.jpg" TargetMode="External"/><Relationship Id="rId1821" Type="http://schemas.openxmlformats.org/officeDocument/2006/relationships/hyperlink" Target="http://example.com/carrelage1.jpg" TargetMode="External"/><Relationship Id="rId195" Type="http://schemas.openxmlformats.org/officeDocument/2006/relationships/hyperlink" Target="http://example.com/carrelage3.jpg" TargetMode="External"/><Relationship Id="rId1919" Type="http://schemas.openxmlformats.org/officeDocument/2006/relationships/hyperlink" Target="http://example.com/carrelage3.jpg" TargetMode="External"/><Relationship Id="rId262" Type="http://schemas.openxmlformats.org/officeDocument/2006/relationships/hyperlink" Target="http://example.com/carrelage1.jpg" TargetMode="External"/><Relationship Id="rId567" Type="http://schemas.openxmlformats.org/officeDocument/2006/relationships/hyperlink" Target="http://example.com/carrelage3.jpg" TargetMode="External"/><Relationship Id="rId1197" Type="http://schemas.openxmlformats.org/officeDocument/2006/relationships/hyperlink" Target="http://example.com/carrelage1.jpg" TargetMode="External"/><Relationship Id="rId122" Type="http://schemas.openxmlformats.org/officeDocument/2006/relationships/hyperlink" Target="http://example.com/carrelage2.jpg" TargetMode="External"/><Relationship Id="rId774" Type="http://schemas.openxmlformats.org/officeDocument/2006/relationships/hyperlink" Target="http://example.com/carrelage3.jpg" TargetMode="External"/><Relationship Id="rId981" Type="http://schemas.openxmlformats.org/officeDocument/2006/relationships/hyperlink" Target="http://example.com/carrelage3.jpg" TargetMode="External"/><Relationship Id="rId1057" Type="http://schemas.openxmlformats.org/officeDocument/2006/relationships/hyperlink" Target="http://example.com/carrelage1.jpg" TargetMode="External"/><Relationship Id="rId427" Type="http://schemas.openxmlformats.org/officeDocument/2006/relationships/hyperlink" Target="http://example.com/carrelage1.jpg" TargetMode="External"/><Relationship Id="rId634" Type="http://schemas.openxmlformats.org/officeDocument/2006/relationships/hyperlink" Target="http://example.com/carrelage1.jpg" TargetMode="External"/><Relationship Id="rId841" Type="http://schemas.openxmlformats.org/officeDocument/2006/relationships/hyperlink" Target="http://example.com/carrelage1.jpg" TargetMode="External"/><Relationship Id="rId1264" Type="http://schemas.openxmlformats.org/officeDocument/2006/relationships/hyperlink" Target="http://example.com/carrelage2.jpg" TargetMode="External"/><Relationship Id="rId1471" Type="http://schemas.openxmlformats.org/officeDocument/2006/relationships/hyperlink" Target="http://example.com/carrelage2.jpg" TargetMode="External"/><Relationship Id="rId1569" Type="http://schemas.openxmlformats.org/officeDocument/2006/relationships/hyperlink" Target="http://example.com/carrelage1.jpg" TargetMode="External"/><Relationship Id="rId701" Type="http://schemas.openxmlformats.org/officeDocument/2006/relationships/hyperlink" Target="http://example.com/carrelage2.jpg" TargetMode="External"/><Relationship Id="rId939" Type="http://schemas.openxmlformats.org/officeDocument/2006/relationships/hyperlink" Target="http://example.com/carrelage3.jpg" TargetMode="External"/><Relationship Id="rId1124" Type="http://schemas.openxmlformats.org/officeDocument/2006/relationships/hyperlink" Target="http://example.com/carrelage3.jpg" TargetMode="External"/><Relationship Id="rId1331" Type="http://schemas.openxmlformats.org/officeDocument/2006/relationships/hyperlink" Target="http://example.com/carrelage3.jpg" TargetMode="External"/><Relationship Id="rId1776" Type="http://schemas.openxmlformats.org/officeDocument/2006/relationships/hyperlink" Target="http://example.com/carrelage1.jpg" TargetMode="External"/><Relationship Id="rId68" Type="http://schemas.openxmlformats.org/officeDocument/2006/relationships/hyperlink" Target="http://example.com/carrelage2.jpg" TargetMode="External"/><Relationship Id="rId1429" Type="http://schemas.openxmlformats.org/officeDocument/2006/relationships/hyperlink" Target="http://example.com/carrelage2.jpg" TargetMode="External"/><Relationship Id="rId1636" Type="http://schemas.openxmlformats.org/officeDocument/2006/relationships/hyperlink" Target="http://example.com/carrelage2.jpg" TargetMode="External"/><Relationship Id="rId1843" Type="http://schemas.openxmlformats.org/officeDocument/2006/relationships/hyperlink" Target="http://example.com/carrelage2.jpg" TargetMode="External"/><Relationship Id="rId1703" Type="http://schemas.openxmlformats.org/officeDocument/2006/relationships/hyperlink" Target="http://example.com/carrelage3.jpg" TargetMode="External"/><Relationship Id="rId1910" Type="http://schemas.openxmlformats.org/officeDocument/2006/relationships/hyperlink" Target="http://example.com/carrelage3.jpg" TargetMode="External"/><Relationship Id="rId284" Type="http://schemas.openxmlformats.org/officeDocument/2006/relationships/hyperlink" Target="http://example.com/carrelage2.jpg" TargetMode="External"/><Relationship Id="rId491" Type="http://schemas.openxmlformats.org/officeDocument/2006/relationships/hyperlink" Target="http://example.com/carrelage2.jpg" TargetMode="External"/><Relationship Id="rId144" Type="http://schemas.openxmlformats.org/officeDocument/2006/relationships/hyperlink" Target="http://example.com/carrelage3.jpg" TargetMode="External"/><Relationship Id="rId589" Type="http://schemas.openxmlformats.org/officeDocument/2006/relationships/hyperlink" Target="http://example.com/carrelage1.jpg" TargetMode="External"/><Relationship Id="rId796" Type="http://schemas.openxmlformats.org/officeDocument/2006/relationships/hyperlink" Target="http://example.com/carrelage1.jpg" TargetMode="External"/><Relationship Id="rId351" Type="http://schemas.openxmlformats.org/officeDocument/2006/relationships/hyperlink" Target="http://example.com/carrelage3.jpg" TargetMode="External"/><Relationship Id="rId449" Type="http://schemas.openxmlformats.org/officeDocument/2006/relationships/hyperlink" Target="http://example.com/carrelage2.jpg" TargetMode="External"/><Relationship Id="rId656" Type="http://schemas.openxmlformats.org/officeDocument/2006/relationships/hyperlink" Target="http://example.com/carrelage2.jpg" TargetMode="External"/><Relationship Id="rId863" Type="http://schemas.openxmlformats.org/officeDocument/2006/relationships/hyperlink" Target="http://example.com/carrelage2.jpg" TargetMode="External"/><Relationship Id="rId1079" Type="http://schemas.openxmlformats.org/officeDocument/2006/relationships/hyperlink" Target="http://example.com/carrelage2.jpg" TargetMode="External"/><Relationship Id="rId1286" Type="http://schemas.openxmlformats.org/officeDocument/2006/relationships/hyperlink" Target="http://example.com/carrelage3.jpg" TargetMode="External"/><Relationship Id="rId1493" Type="http://schemas.openxmlformats.org/officeDocument/2006/relationships/hyperlink" Target="http://example.com/carrelage3.jpg" TargetMode="External"/><Relationship Id="rId211" Type="http://schemas.openxmlformats.org/officeDocument/2006/relationships/hyperlink" Target="http://example.com/carrelage1.jpg" TargetMode="External"/><Relationship Id="rId309" Type="http://schemas.openxmlformats.org/officeDocument/2006/relationships/hyperlink" Target="http://example.com/carrelage3.jpg" TargetMode="External"/><Relationship Id="rId516" Type="http://schemas.openxmlformats.org/officeDocument/2006/relationships/hyperlink" Target="http://example.com/carrelage3.jpg" TargetMode="External"/><Relationship Id="rId1146" Type="http://schemas.openxmlformats.org/officeDocument/2006/relationships/hyperlink" Target="http://example.com/carrelage1.jpg" TargetMode="External"/><Relationship Id="rId1798" Type="http://schemas.openxmlformats.org/officeDocument/2006/relationships/hyperlink" Target="http://example.com/carrelage2.jpg" TargetMode="External"/><Relationship Id="rId723" Type="http://schemas.openxmlformats.org/officeDocument/2006/relationships/hyperlink" Target="http://example.com/carrelage3.jpg" TargetMode="External"/><Relationship Id="rId930" Type="http://schemas.openxmlformats.org/officeDocument/2006/relationships/hyperlink" Target="http://example.com/carrelage3.jpg" TargetMode="External"/><Relationship Id="rId1006" Type="http://schemas.openxmlformats.org/officeDocument/2006/relationships/hyperlink" Target="http://example.com/carrelage1.jpg" TargetMode="External"/><Relationship Id="rId1353" Type="http://schemas.openxmlformats.org/officeDocument/2006/relationships/hyperlink" Target="http://example.com/carrelage1.jpg" TargetMode="External"/><Relationship Id="rId1560" Type="http://schemas.openxmlformats.org/officeDocument/2006/relationships/hyperlink" Target="http://example.com/carrelage1.jpg" TargetMode="External"/><Relationship Id="rId1658" Type="http://schemas.openxmlformats.org/officeDocument/2006/relationships/hyperlink" Target="http://example.com/carrelage3.jpg" TargetMode="External"/><Relationship Id="rId1865" Type="http://schemas.openxmlformats.org/officeDocument/2006/relationships/hyperlink" Target="http://example.com/carrelage3.jpg" TargetMode="External"/><Relationship Id="rId1213" Type="http://schemas.openxmlformats.org/officeDocument/2006/relationships/hyperlink" Target="http://example.com/carrelage2.jpg" TargetMode="External"/><Relationship Id="rId1420" Type="http://schemas.openxmlformats.org/officeDocument/2006/relationships/hyperlink" Target="http://example.com/carrelage2.jpg" TargetMode="External"/><Relationship Id="rId1518" Type="http://schemas.openxmlformats.org/officeDocument/2006/relationships/hyperlink" Target="http://example.com/carrelage1.jpg" TargetMode="External"/><Relationship Id="rId1725" Type="http://schemas.openxmlformats.org/officeDocument/2006/relationships/hyperlink" Target="http://example.com/carrelage1.jpg" TargetMode="External"/><Relationship Id="rId1932" Type="http://schemas.openxmlformats.org/officeDocument/2006/relationships/hyperlink" Target="http://example.com/carrelage1.jpg" TargetMode="External"/><Relationship Id="rId17" Type="http://schemas.openxmlformats.org/officeDocument/2006/relationships/hyperlink" Target="http://example.com/carrelage2.jpg" TargetMode="External"/><Relationship Id="rId166" Type="http://schemas.openxmlformats.org/officeDocument/2006/relationships/hyperlink" Target="http://example.com/carrelage1.jpg" TargetMode="External"/><Relationship Id="rId373" Type="http://schemas.openxmlformats.org/officeDocument/2006/relationships/hyperlink" Target="http://example.com/carrelage1.jpg" TargetMode="External"/><Relationship Id="rId580" Type="http://schemas.openxmlformats.org/officeDocument/2006/relationships/hyperlink" Target="http://example.com/carrelage1.jpg" TargetMode="External"/><Relationship Id="rId1" Type="http://schemas.openxmlformats.org/officeDocument/2006/relationships/hyperlink" Target="http://example.com/carrelage1.jpg" TargetMode="External"/><Relationship Id="rId233" Type="http://schemas.openxmlformats.org/officeDocument/2006/relationships/hyperlink" Target="http://example.com/carrelage2.jpg" TargetMode="External"/><Relationship Id="rId440" Type="http://schemas.openxmlformats.org/officeDocument/2006/relationships/hyperlink" Target="http://example.com/carrelage2.jpg" TargetMode="External"/><Relationship Id="rId678" Type="http://schemas.openxmlformats.org/officeDocument/2006/relationships/hyperlink" Target="http://example.com/carrelage3.jpg" TargetMode="External"/><Relationship Id="rId885" Type="http://schemas.openxmlformats.org/officeDocument/2006/relationships/hyperlink" Target="http://example.com/carrelage3.jpg" TargetMode="External"/><Relationship Id="rId1070" Type="http://schemas.openxmlformats.org/officeDocument/2006/relationships/hyperlink" Target="http://example.com/carrelage2.jpg" TargetMode="External"/><Relationship Id="rId300" Type="http://schemas.openxmlformats.org/officeDocument/2006/relationships/hyperlink" Target="http://example.com/carrelage3.jpg" TargetMode="External"/><Relationship Id="rId538" Type="http://schemas.openxmlformats.org/officeDocument/2006/relationships/hyperlink" Target="http://example.com/carrelage1.jpg" TargetMode="External"/><Relationship Id="rId745" Type="http://schemas.openxmlformats.org/officeDocument/2006/relationships/hyperlink" Target="http://example.com/carrelage1.jpg" TargetMode="External"/><Relationship Id="rId952" Type="http://schemas.openxmlformats.org/officeDocument/2006/relationships/hyperlink" Target="http://example.com/carrelage1.jpg" TargetMode="External"/><Relationship Id="rId1168" Type="http://schemas.openxmlformats.org/officeDocument/2006/relationships/hyperlink" Target="http://example.com/carrelage2.jpg" TargetMode="External"/><Relationship Id="rId1375" Type="http://schemas.openxmlformats.org/officeDocument/2006/relationships/hyperlink" Target="http://example.com/carrelage2.jpg" TargetMode="External"/><Relationship Id="rId1582" Type="http://schemas.openxmlformats.org/officeDocument/2006/relationships/hyperlink" Target="http://example.com/carrelage2.jpg" TargetMode="External"/><Relationship Id="rId81" Type="http://schemas.openxmlformats.org/officeDocument/2006/relationships/hyperlink" Target="http://example.com/carrelage3.jpg" TargetMode="External"/><Relationship Id="rId605" Type="http://schemas.openxmlformats.org/officeDocument/2006/relationships/hyperlink" Target="http://example.com/carrelage2.jpg" TargetMode="External"/><Relationship Id="rId812" Type="http://schemas.openxmlformats.org/officeDocument/2006/relationships/hyperlink" Target="http://example.com/carrelage2.jpg" TargetMode="External"/><Relationship Id="rId1028" Type="http://schemas.openxmlformats.org/officeDocument/2006/relationships/hyperlink" Target="http://example.com/carrelage2.jpg" TargetMode="External"/><Relationship Id="rId1235" Type="http://schemas.openxmlformats.org/officeDocument/2006/relationships/hyperlink" Target="http://example.com/carrelage3.jpg" TargetMode="External"/><Relationship Id="rId1442" Type="http://schemas.openxmlformats.org/officeDocument/2006/relationships/hyperlink" Target="http://example.com/carrelage3.jpg" TargetMode="External"/><Relationship Id="rId1887" Type="http://schemas.openxmlformats.org/officeDocument/2006/relationships/hyperlink" Target="http://example.com/carrelage1.jpg" TargetMode="External"/><Relationship Id="rId1302" Type="http://schemas.openxmlformats.org/officeDocument/2006/relationships/hyperlink" Target="http://example.com/carrelage1.jpg" TargetMode="External"/><Relationship Id="rId1747" Type="http://schemas.openxmlformats.org/officeDocument/2006/relationships/hyperlink" Target="http://example.com/carrelage2.jpg" TargetMode="External"/><Relationship Id="rId1954" Type="http://schemas.openxmlformats.org/officeDocument/2006/relationships/hyperlink" Target="http://example.com/carrelage2.jpg" TargetMode="External"/><Relationship Id="rId39" Type="http://schemas.openxmlformats.org/officeDocument/2006/relationships/hyperlink" Target="http://example.com/carrelage3.jpg" TargetMode="External"/><Relationship Id="rId1607" Type="http://schemas.openxmlformats.org/officeDocument/2006/relationships/hyperlink" Target="http://example.com/carrelage3.jpg" TargetMode="External"/><Relationship Id="rId1814" Type="http://schemas.openxmlformats.org/officeDocument/2006/relationships/hyperlink" Target="http://example.com/carrelage3.jpg" TargetMode="External"/><Relationship Id="rId188" Type="http://schemas.openxmlformats.org/officeDocument/2006/relationships/hyperlink" Target="http://example.com/carrelage2.jpg" TargetMode="External"/><Relationship Id="rId395" Type="http://schemas.openxmlformats.org/officeDocument/2006/relationships/hyperlink" Target="http://example.com/carrelage2.jpg" TargetMode="External"/><Relationship Id="rId255" Type="http://schemas.openxmlformats.org/officeDocument/2006/relationships/hyperlink" Target="http://example.com/carrelage3.jpg" TargetMode="External"/><Relationship Id="rId462" Type="http://schemas.openxmlformats.org/officeDocument/2006/relationships/hyperlink" Target="http://example.com/carrelage3.jpg" TargetMode="External"/><Relationship Id="rId1092" Type="http://schemas.openxmlformats.org/officeDocument/2006/relationships/hyperlink" Target="http://example.com/carrelage1.jpg" TargetMode="External"/><Relationship Id="rId1397" Type="http://schemas.openxmlformats.org/officeDocument/2006/relationships/hyperlink" Target="http://example.com/carrelage3.jpg" TargetMode="External"/><Relationship Id="rId115" Type="http://schemas.openxmlformats.org/officeDocument/2006/relationships/hyperlink" Target="http://example.com/carrelage1.jpg" TargetMode="External"/><Relationship Id="rId322" Type="http://schemas.openxmlformats.org/officeDocument/2006/relationships/hyperlink" Target="http://example.com/carrelage1.jpg" TargetMode="External"/><Relationship Id="rId767" Type="http://schemas.openxmlformats.org/officeDocument/2006/relationships/hyperlink" Target="http://example.com/carrelage2.jpg" TargetMode="External"/><Relationship Id="rId974" Type="http://schemas.openxmlformats.org/officeDocument/2006/relationships/hyperlink" Target="http://example.com/carrelage2.jpg" TargetMode="External"/><Relationship Id="rId627" Type="http://schemas.openxmlformats.org/officeDocument/2006/relationships/hyperlink" Target="http://example.com/carrelage3.jpg" TargetMode="External"/><Relationship Id="rId834" Type="http://schemas.openxmlformats.org/officeDocument/2006/relationships/hyperlink" Target="http://example.com/carrelage3.jpg" TargetMode="External"/><Relationship Id="rId1257" Type="http://schemas.openxmlformats.org/officeDocument/2006/relationships/hyperlink" Target="http://example.com/carrelage1.jpg" TargetMode="External"/><Relationship Id="rId1464" Type="http://schemas.openxmlformats.org/officeDocument/2006/relationships/hyperlink" Target="http://example.com/carrelage1.jpg" TargetMode="External"/><Relationship Id="rId1671" Type="http://schemas.openxmlformats.org/officeDocument/2006/relationships/hyperlink" Target="http://example.com/carrelage1.jpg" TargetMode="External"/><Relationship Id="rId901" Type="http://schemas.openxmlformats.org/officeDocument/2006/relationships/hyperlink" Target="http://example.com/carrelage1.jpg" TargetMode="External"/><Relationship Id="rId1117" Type="http://schemas.openxmlformats.org/officeDocument/2006/relationships/hyperlink" Target="http://example.com/carrelage2.jpg" TargetMode="External"/><Relationship Id="rId1324" Type="http://schemas.openxmlformats.org/officeDocument/2006/relationships/hyperlink" Target="http://example.com/carrelage2.jpg" TargetMode="External"/><Relationship Id="rId1531" Type="http://schemas.openxmlformats.org/officeDocument/2006/relationships/hyperlink" Target="http://example.com/carrelage2.jpg" TargetMode="External"/><Relationship Id="rId1769" Type="http://schemas.openxmlformats.org/officeDocument/2006/relationships/hyperlink" Target="http://example.com/carrelage3.jpg" TargetMode="External"/><Relationship Id="rId1976" Type="http://schemas.openxmlformats.org/officeDocument/2006/relationships/hyperlink" Target="http://example.com/carrelage3.jpg" TargetMode="External"/><Relationship Id="rId30" Type="http://schemas.openxmlformats.org/officeDocument/2006/relationships/hyperlink" Target="http://example.com/carrelage3.jpg" TargetMode="External"/><Relationship Id="rId1629" Type="http://schemas.openxmlformats.org/officeDocument/2006/relationships/hyperlink" Target="http://example.com/carrelage1.jpg" TargetMode="External"/><Relationship Id="rId1836" Type="http://schemas.openxmlformats.org/officeDocument/2006/relationships/hyperlink" Target="http://example.com/carrelage1.jpg" TargetMode="External"/><Relationship Id="rId1903" Type="http://schemas.openxmlformats.org/officeDocument/2006/relationships/hyperlink" Target="http://example.com/carrelage2.jpg" TargetMode="External"/><Relationship Id="rId277" Type="http://schemas.openxmlformats.org/officeDocument/2006/relationships/hyperlink" Target="http://example.com/carrelage1.jpg" TargetMode="External"/><Relationship Id="rId484" Type="http://schemas.openxmlformats.org/officeDocument/2006/relationships/hyperlink" Target="http://example.com/carrelage1.jpg" TargetMode="External"/><Relationship Id="rId137" Type="http://schemas.openxmlformats.org/officeDocument/2006/relationships/hyperlink" Target="http://example.com/carrelage2.jpg" TargetMode="External"/><Relationship Id="rId344" Type="http://schemas.openxmlformats.org/officeDocument/2006/relationships/hyperlink" Target="http://example.com/carrelage2.jpg" TargetMode="External"/><Relationship Id="rId691" Type="http://schemas.openxmlformats.org/officeDocument/2006/relationships/hyperlink" Target="http://example.com/carrelage1.jpg" TargetMode="External"/><Relationship Id="rId789" Type="http://schemas.openxmlformats.org/officeDocument/2006/relationships/hyperlink" Target="http://example.com/carrelage3.jpg" TargetMode="External"/><Relationship Id="rId996" Type="http://schemas.openxmlformats.org/officeDocument/2006/relationships/hyperlink" Target="http://example.com/carrelage3.jpg" TargetMode="External"/><Relationship Id="rId551" Type="http://schemas.openxmlformats.org/officeDocument/2006/relationships/hyperlink" Target="http://example.com/carrelage2.jpg" TargetMode="External"/><Relationship Id="rId649" Type="http://schemas.openxmlformats.org/officeDocument/2006/relationships/hyperlink" Target="http://example.com/carrelage1.jpg" TargetMode="External"/><Relationship Id="rId856" Type="http://schemas.openxmlformats.org/officeDocument/2006/relationships/hyperlink" Target="http://example.com/carrelage1.jpg" TargetMode="External"/><Relationship Id="rId1181" Type="http://schemas.openxmlformats.org/officeDocument/2006/relationships/hyperlink" Target="http://example.com/carrelage3.jpg" TargetMode="External"/><Relationship Id="rId1279" Type="http://schemas.openxmlformats.org/officeDocument/2006/relationships/hyperlink" Target="http://example.com/carrelage2.jpg" TargetMode="External"/><Relationship Id="rId1486" Type="http://schemas.openxmlformats.org/officeDocument/2006/relationships/hyperlink" Target="http://example.com/carrelage2.jpg" TargetMode="External"/><Relationship Id="rId204" Type="http://schemas.openxmlformats.org/officeDocument/2006/relationships/hyperlink" Target="http://example.com/carrelage3.jpg" TargetMode="External"/><Relationship Id="rId411" Type="http://schemas.openxmlformats.org/officeDocument/2006/relationships/hyperlink" Target="http://example.com/carrelage3.jpg" TargetMode="External"/><Relationship Id="rId509" Type="http://schemas.openxmlformats.org/officeDocument/2006/relationships/hyperlink" Target="http://example.com/carrelage2.jpg" TargetMode="External"/><Relationship Id="rId1041" Type="http://schemas.openxmlformats.org/officeDocument/2006/relationships/hyperlink" Target="http://example.com/carrelage3.jpg" TargetMode="External"/><Relationship Id="rId1139" Type="http://schemas.openxmlformats.org/officeDocument/2006/relationships/hyperlink" Target="http://example.com/carrelage3.jpg" TargetMode="External"/><Relationship Id="rId1346" Type="http://schemas.openxmlformats.org/officeDocument/2006/relationships/hyperlink" Target="http://example.com/carrelage3.jpg" TargetMode="External"/><Relationship Id="rId1693" Type="http://schemas.openxmlformats.org/officeDocument/2006/relationships/hyperlink" Target="http://example.com/carrelage2.jpg" TargetMode="External"/><Relationship Id="rId716" Type="http://schemas.openxmlformats.org/officeDocument/2006/relationships/hyperlink" Target="http://example.com/carrelage2.jpg" TargetMode="External"/><Relationship Id="rId923" Type="http://schemas.openxmlformats.org/officeDocument/2006/relationships/hyperlink" Target="http://example.com/carrelage2.jpg" TargetMode="External"/><Relationship Id="rId1553" Type="http://schemas.openxmlformats.org/officeDocument/2006/relationships/hyperlink" Target="http://example.com/carrelage3.jpg" TargetMode="External"/><Relationship Id="rId1760" Type="http://schemas.openxmlformats.org/officeDocument/2006/relationships/hyperlink" Target="http://example.com/carrelage3.jpg" TargetMode="External"/><Relationship Id="rId1858" Type="http://schemas.openxmlformats.org/officeDocument/2006/relationships/hyperlink" Target="http://example.com/carrelage2.jpg" TargetMode="External"/><Relationship Id="rId52" Type="http://schemas.openxmlformats.org/officeDocument/2006/relationships/hyperlink" Target="http://example.com/carrelage1.jpg" TargetMode="External"/><Relationship Id="rId1206" Type="http://schemas.openxmlformats.org/officeDocument/2006/relationships/hyperlink" Target="http://example.com/carrelage1.jpg" TargetMode="External"/><Relationship Id="rId1413" Type="http://schemas.openxmlformats.org/officeDocument/2006/relationships/hyperlink" Target="http://example.com/carrelage1.jpg" TargetMode="External"/><Relationship Id="rId1620" Type="http://schemas.openxmlformats.org/officeDocument/2006/relationships/hyperlink" Target="http://example.com/carrelage1.jpg" TargetMode="External"/><Relationship Id="rId1718" Type="http://schemas.openxmlformats.org/officeDocument/2006/relationships/hyperlink" Target="http://example.com/carrelage3.jpg" TargetMode="External"/><Relationship Id="rId1925" Type="http://schemas.openxmlformats.org/officeDocument/2006/relationships/hyperlink" Target="http://example.com/carrelage3.jpg" TargetMode="External"/><Relationship Id="rId299" Type="http://schemas.openxmlformats.org/officeDocument/2006/relationships/hyperlink" Target="http://example.com/carrelage2.jpg" TargetMode="External"/><Relationship Id="rId159" Type="http://schemas.openxmlformats.org/officeDocument/2006/relationships/hyperlink" Target="http://example.com/carrelage3.jpg" TargetMode="External"/><Relationship Id="rId366" Type="http://schemas.openxmlformats.org/officeDocument/2006/relationships/hyperlink" Target="http://example.com/carrelage3.jpg" TargetMode="External"/><Relationship Id="rId573" Type="http://schemas.openxmlformats.org/officeDocument/2006/relationships/hyperlink" Target="http://example.com/carrelage3.jpg" TargetMode="External"/><Relationship Id="rId780" Type="http://schemas.openxmlformats.org/officeDocument/2006/relationships/hyperlink" Target="http://example.com/carrelage3.jpg" TargetMode="External"/><Relationship Id="rId226" Type="http://schemas.openxmlformats.org/officeDocument/2006/relationships/hyperlink" Target="http://example.com/carrelage1.jpg" TargetMode="External"/><Relationship Id="rId433" Type="http://schemas.openxmlformats.org/officeDocument/2006/relationships/hyperlink" Target="http://example.com/carrelage1.jpg" TargetMode="External"/><Relationship Id="rId878" Type="http://schemas.openxmlformats.org/officeDocument/2006/relationships/hyperlink" Target="http://example.com/carrelage2.jpg" TargetMode="External"/><Relationship Id="rId1063" Type="http://schemas.openxmlformats.org/officeDocument/2006/relationships/hyperlink" Target="http://example.com/carrelage1.jpg" TargetMode="External"/><Relationship Id="rId1270" Type="http://schemas.openxmlformats.org/officeDocument/2006/relationships/hyperlink" Target="http://example.com/carrelage2.jpg" TargetMode="External"/><Relationship Id="rId640" Type="http://schemas.openxmlformats.org/officeDocument/2006/relationships/hyperlink" Target="http://example.com/carrelage1.jpg" TargetMode="External"/><Relationship Id="rId738" Type="http://schemas.openxmlformats.org/officeDocument/2006/relationships/hyperlink" Target="http://example.com/carrelage3.jpg" TargetMode="External"/><Relationship Id="rId945" Type="http://schemas.openxmlformats.org/officeDocument/2006/relationships/hyperlink" Target="http://example.com/carrelage3.jpg" TargetMode="External"/><Relationship Id="rId1368" Type="http://schemas.openxmlformats.org/officeDocument/2006/relationships/hyperlink" Target="http://example.com/carrelage1.jpg" TargetMode="External"/><Relationship Id="rId1575" Type="http://schemas.openxmlformats.org/officeDocument/2006/relationships/hyperlink" Target="http://example.com/carrelage1.jpg" TargetMode="External"/><Relationship Id="rId1782" Type="http://schemas.openxmlformats.org/officeDocument/2006/relationships/hyperlink" Target="http://example.com/carrelage1.jpg" TargetMode="External"/><Relationship Id="rId74" Type="http://schemas.openxmlformats.org/officeDocument/2006/relationships/hyperlink" Target="http://example.com/carrelage2.jpg" TargetMode="External"/><Relationship Id="rId500" Type="http://schemas.openxmlformats.org/officeDocument/2006/relationships/hyperlink" Target="http://example.com/carrelage2.jpg" TargetMode="External"/><Relationship Id="rId805" Type="http://schemas.openxmlformats.org/officeDocument/2006/relationships/hyperlink" Target="http://example.com/carrelage1.jpg" TargetMode="External"/><Relationship Id="rId1130" Type="http://schemas.openxmlformats.org/officeDocument/2006/relationships/hyperlink" Target="http://example.com/carrelage3.jpg" TargetMode="External"/><Relationship Id="rId1228" Type="http://schemas.openxmlformats.org/officeDocument/2006/relationships/hyperlink" Target="http://example.com/carrelage2.jpg" TargetMode="External"/><Relationship Id="rId1435" Type="http://schemas.openxmlformats.org/officeDocument/2006/relationships/hyperlink" Target="http://example.com/carrelage2.jpg" TargetMode="External"/><Relationship Id="rId1642" Type="http://schemas.openxmlformats.org/officeDocument/2006/relationships/hyperlink" Target="http://example.com/carrelage2.jpg" TargetMode="External"/><Relationship Id="rId1947" Type="http://schemas.openxmlformats.org/officeDocument/2006/relationships/hyperlink" Target="http://example.com/carrelage1.jpg" TargetMode="External"/><Relationship Id="rId1502" Type="http://schemas.openxmlformats.org/officeDocument/2006/relationships/hyperlink" Target="http://example.com/carrelage3.jpg" TargetMode="External"/><Relationship Id="rId1807" Type="http://schemas.openxmlformats.org/officeDocument/2006/relationships/hyperlink" Target="http://example.com/carrelage2.jpg" TargetMode="External"/><Relationship Id="rId290" Type="http://schemas.openxmlformats.org/officeDocument/2006/relationships/hyperlink" Target="http://example.com/carrelage2.jpg" TargetMode="External"/><Relationship Id="rId388" Type="http://schemas.openxmlformats.org/officeDocument/2006/relationships/hyperlink" Target="http://example.com/carrelage1.jpg" TargetMode="External"/><Relationship Id="rId150" Type="http://schemas.openxmlformats.org/officeDocument/2006/relationships/hyperlink" Target="http://example.com/carrelage3.jpg" TargetMode="External"/><Relationship Id="rId595" Type="http://schemas.openxmlformats.org/officeDocument/2006/relationships/hyperlink" Target="http://example.com/carrelage1.jpg" TargetMode="External"/><Relationship Id="rId248" Type="http://schemas.openxmlformats.org/officeDocument/2006/relationships/hyperlink" Target="http://example.com/carrelage2.jpg" TargetMode="External"/><Relationship Id="rId455" Type="http://schemas.openxmlformats.org/officeDocument/2006/relationships/hyperlink" Target="http://example.com/carrelage2.jpg" TargetMode="External"/><Relationship Id="rId662" Type="http://schemas.openxmlformats.org/officeDocument/2006/relationships/hyperlink" Target="http://example.com/carrelage2.jpg" TargetMode="External"/><Relationship Id="rId1085" Type="http://schemas.openxmlformats.org/officeDocument/2006/relationships/hyperlink" Target="http://example.com/carrelage2.jpg" TargetMode="External"/><Relationship Id="rId1292" Type="http://schemas.openxmlformats.org/officeDocument/2006/relationships/hyperlink" Target="http://example.com/carrelage3.jpg" TargetMode="External"/><Relationship Id="rId108" Type="http://schemas.openxmlformats.org/officeDocument/2006/relationships/hyperlink" Target="http://example.com/carrelage3.jpg" TargetMode="External"/><Relationship Id="rId315" Type="http://schemas.openxmlformats.org/officeDocument/2006/relationships/hyperlink" Target="http://example.com/carrelage3.jpg" TargetMode="External"/><Relationship Id="rId522" Type="http://schemas.openxmlformats.org/officeDocument/2006/relationships/hyperlink" Target="http://example.com/carrelage3.jpg" TargetMode="External"/><Relationship Id="rId967" Type="http://schemas.openxmlformats.org/officeDocument/2006/relationships/hyperlink" Target="http://example.com/carrelage1.jpg" TargetMode="External"/><Relationship Id="rId1152" Type="http://schemas.openxmlformats.org/officeDocument/2006/relationships/hyperlink" Target="http://example.com/carrelage1.jpg" TargetMode="External"/><Relationship Id="rId1597" Type="http://schemas.openxmlformats.org/officeDocument/2006/relationships/hyperlink" Target="http://example.com/carrelage2.jpg" TargetMode="External"/><Relationship Id="rId96" Type="http://schemas.openxmlformats.org/officeDocument/2006/relationships/hyperlink" Target="http://example.com/carrelage3.jpg" TargetMode="External"/><Relationship Id="rId827" Type="http://schemas.openxmlformats.org/officeDocument/2006/relationships/hyperlink" Target="http://example.com/carrelage2.jpg" TargetMode="External"/><Relationship Id="rId1012" Type="http://schemas.openxmlformats.org/officeDocument/2006/relationships/hyperlink" Target="http://example.com/carrelage1.jpg" TargetMode="External"/><Relationship Id="rId1457" Type="http://schemas.openxmlformats.org/officeDocument/2006/relationships/hyperlink" Target="http://example.com/carrelage3.jpg" TargetMode="External"/><Relationship Id="rId1664" Type="http://schemas.openxmlformats.org/officeDocument/2006/relationships/hyperlink" Target="http://example.com/carrelage3.jpg" TargetMode="External"/><Relationship Id="rId1871" Type="http://schemas.openxmlformats.org/officeDocument/2006/relationships/hyperlink" Target="http://example.com/carrelage3.jpg" TargetMode="External"/><Relationship Id="rId1317" Type="http://schemas.openxmlformats.org/officeDocument/2006/relationships/hyperlink" Target="http://example.com/carrelage1.jpg" TargetMode="External"/><Relationship Id="rId1524" Type="http://schemas.openxmlformats.org/officeDocument/2006/relationships/hyperlink" Target="http://example.com/carrelage1.jpg" TargetMode="External"/><Relationship Id="rId1731" Type="http://schemas.openxmlformats.org/officeDocument/2006/relationships/hyperlink" Target="http://example.com/carrelage1.jpg" TargetMode="External"/><Relationship Id="rId1969" Type="http://schemas.openxmlformats.org/officeDocument/2006/relationships/hyperlink" Target="http://example.com/carrelage3.jpg" TargetMode="External"/><Relationship Id="rId23" Type="http://schemas.openxmlformats.org/officeDocument/2006/relationships/hyperlink" Target="http://example.com/carrelage2.jpg" TargetMode="External"/><Relationship Id="rId1829" Type="http://schemas.openxmlformats.org/officeDocument/2006/relationships/hyperlink" Target="http://example.com/carrelage3.jpg" TargetMode="External"/><Relationship Id="rId172" Type="http://schemas.openxmlformats.org/officeDocument/2006/relationships/hyperlink" Target="http://example.com/carrelage1.jpg" TargetMode="External"/><Relationship Id="rId477" Type="http://schemas.openxmlformats.org/officeDocument/2006/relationships/hyperlink" Target="http://example.com/carrelage3.jpg" TargetMode="External"/><Relationship Id="rId684" Type="http://schemas.openxmlformats.org/officeDocument/2006/relationships/hyperlink" Target="http://example.com/carrelage3.jpg" TargetMode="External"/><Relationship Id="rId337" Type="http://schemas.openxmlformats.org/officeDocument/2006/relationships/hyperlink" Target="http://example.com/carrelage1.jpg" TargetMode="External"/><Relationship Id="rId891" Type="http://schemas.openxmlformats.org/officeDocument/2006/relationships/hyperlink" Target="http://example.com/carrelage3.jpg" TargetMode="External"/><Relationship Id="rId989" Type="http://schemas.openxmlformats.org/officeDocument/2006/relationships/hyperlink" Target="http://example.com/carrelage2.jpg" TargetMode="External"/><Relationship Id="rId544" Type="http://schemas.openxmlformats.org/officeDocument/2006/relationships/hyperlink" Target="http://example.com/carrelage1.jpg" TargetMode="External"/><Relationship Id="rId751" Type="http://schemas.openxmlformats.org/officeDocument/2006/relationships/hyperlink" Target="http://example.com/carrelage1.jpg" TargetMode="External"/><Relationship Id="rId849" Type="http://schemas.openxmlformats.org/officeDocument/2006/relationships/hyperlink" Target="http://example.com/carrelage3.jpg" TargetMode="External"/><Relationship Id="rId1174" Type="http://schemas.openxmlformats.org/officeDocument/2006/relationships/hyperlink" Target="http://example.com/carrelage2.jpg" TargetMode="External"/><Relationship Id="rId1381" Type="http://schemas.openxmlformats.org/officeDocument/2006/relationships/hyperlink" Target="http://example.com/carrelage2.jpg" TargetMode="External"/><Relationship Id="rId1479" Type="http://schemas.openxmlformats.org/officeDocument/2006/relationships/hyperlink" Target="http://example.com/carrelage1.jpg" TargetMode="External"/><Relationship Id="rId1686" Type="http://schemas.openxmlformats.org/officeDocument/2006/relationships/hyperlink" Target="http://example.com/carrelage1.jpg" TargetMode="External"/><Relationship Id="rId404" Type="http://schemas.openxmlformats.org/officeDocument/2006/relationships/hyperlink" Target="http://example.com/carrelage2.jpg" TargetMode="External"/><Relationship Id="rId611" Type="http://schemas.openxmlformats.org/officeDocument/2006/relationships/hyperlink" Target="http://example.com/carrelage2.jpg" TargetMode="External"/><Relationship Id="rId1034" Type="http://schemas.openxmlformats.org/officeDocument/2006/relationships/hyperlink" Target="http://example.com/carrelage2.jpg" TargetMode="External"/><Relationship Id="rId1241" Type="http://schemas.openxmlformats.org/officeDocument/2006/relationships/hyperlink" Target="http://example.com/carrelage3.jpg" TargetMode="External"/><Relationship Id="rId1339" Type="http://schemas.openxmlformats.org/officeDocument/2006/relationships/hyperlink" Target="http://example.com/carrelage2.jpg" TargetMode="External"/><Relationship Id="rId1893" Type="http://schemas.openxmlformats.org/officeDocument/2006/relationships/hyperlink" Target="http://example.com/carrelage1.jpg" TargetMode="External"/><Relationship Id="rId709" Type="http://schemas.openxmlformats.org/officeDocument/2006/relationships/hyperlink" Target="http://example.com/carrelage1.jpg" TargetMode="External"/><Relationship Id="rId916" Type="http://schemas.openxmlformats.org/officeDocument/2006/relationships/hyperlink" Target="http://example.com/carrelage1.jpg" TargetMode="External"/><Relationship Id="rId1101" Type="http://schemas.openxmlformats.org/officeDocument/2006/relationships/hyperlink" Target="http://example.com/carrelage1.jpg" TargetMode="External"/><Relationship Id="rId1546" Type="http://schemas.openxmlformats.org/officeDocument/2006/relationships/hyperlink" Target="http://example.com/carrelage2.jpg" TargetMode="External"/><Relationship Id="rId1753" Type="http://schemas.openxmlformats.org/officeDocument/2006/relationships/hyperlink" Target="http://example.com/carrelage2.jpg" TargetMode="External"/><Relationship Id="rId1960" Type="http://schemas.openxmlformats.org/officeDocument/2006/relationships/hyperlink" Target="http://example.com/carrelage2.jpg" TargetMode="External"/><Relationship Id="rId45" Type="http://schemas.openxmlformats.org/officeDocument/2006/relationships/hyperlink" Target="http://example.com/carrelage3.jpg" TargetMode="External"/><Relationship Id="rId1406" Type="http://schemas.openxmlformats.org/officeDocument/2006/relationships/hyperlink" Target="http://example.com/carrelage3.jpg" TargetMode="External"/><Relationship Id="rId1613" Type="http://schemas.openxmlformats.org/officeDocument/2006/relationships/hyperlink" Target="http://example.com/carrelage3.jpg" TargetMode="External"/><Relationship Id="rId1820" Type="http://schemas.openxmlformats.org/officeDocument/2006/relationships/hyperlink" Target="http://example.com/carrelage3.jpg" TargetMode="External"/><Relationship Id="rId194" Type="http://schemas.openxmlformats.org/officeDocument/2006/relationships/hyperlink" Target="http://example.com/carrelage2.jpg" TargetMode="External"/><Relationship Id="rId1918" Type="http://schemas.openxmlformats.org/officeDocument/2006/relationships/hyperlink" Target="http://example.com/carrelage2.jpg" TargetMode="External"/><Relationship Id="rId261" Type="http://schemas.openxmlformats.org/officeDocument/2006/relationships/hyperlink" Target="http://example.com/carrelage3.jpg" TargetMode="External"/><Relationship Id="rId499" Type="http://schemas.openxmlformats.org/officeDocument/2006/relationships/hyperlink" Target="http://example.com/carrelage1.jpg" TargetMode="External"/><Relationship Id="rId359" Type="http://schemas.openxmlformats.org/officeDocument/2006/relationships/hyperlink" Target="http://example.com/carrelage2.jpg" TargetMode="External"/><Relationship Id="rId566" Type="http://schemas.openxmlformats.org/officeDocument/2006/relationships/hyperlink" Target="http://example.com/carrelage2.jpg" TargetMode="External"/><Relationship Id="rId773" Type="http://schemas.openxmlformats.org/officeDocument/2006/relationships/hyperlink" Target="http://example.com/carrelage2.jpg" TargetMode="External"/><Relationship Id="rId1196" Type="http://schemas.openxmlformats.org/officeDocument/2006/relationships/hyperlink" Target="http://example.com/carrelage3.jpg" TargetMode="External"/><Relationship Id="rId121" Type="http://schemas.openxmlformats.org/officeDocument/2006/relationships/hyperlink" Target="http://example.com/carrelage1.jpg" TargetMode="External"/><Relationship Id="rId219" Type="http://schemas.openxmlformats.org/officeDocument/2006/relationships/hyperlink" Target="http://example.com/carrelage3.jpg" TargetMode="External"/><Relationship Id="rId426" Type="http://schemas.openxmlformats.org/officeDocument/2006/relationships/hyperlink" Target="http://example.com/carrelage3.jpg" TargetMode="External"/><Relationship Id="rId633" Type="http://schemas.openxmlformats.org/officeDocument/2006/relationships/hyperlink" Target="http://example.com/carrelage3.jpg" TargetMode="External"/><Relationship Id="rId980" Type="http://schemas.openxmlformats.org/officeDocument/2006/relationships/hyperlink" Target="http://example.com/carrelage2.jpg" TargetMode="External"/><Relationship Id="rId1056" Type="http://schemas.openxmlformats.org/officeDocument/2006/relationships/hyperlink" Target="http://example.com/carrelage3.jpg" TargetMode="External"/><Relationship Id="rId1263" Type="http://schemas.openxmlformats.org/officeDocument/2006/relationships/hyperlink" Target="http://example.com/carrelage1.jpg" TargetMode="External"/><Relationship Id="rId840" Type="http://schemas.openxmlformats.org/officeDocument/2006/relationships/hyperlink" Target="http://example.com/carrelage3.jpg" TargetMode="External"/><Relationship Id="rId938" Type="http://schemas.openxmlformats.org/officeDocument/2006/relationships/hyperlink" Target="http://example.com/carrelage2.jpg" TargetMode="External"/><Relationship Id="rId1470" Type="http://schemas.openxmlformats.org/officeDocument/2006/relationships/hyperlink" Target="http://example.com/carrelage1.jpg" TargetMode="External"/><Relationship Id="rId1568" Type="http://schemas.openxmlformats.org/officeDocument/2006/relationships/hyperlink" Target="http://example.com/carrelage3.jpg" TargetMode="External"/><Relationship Id="rId1775" Type="http://schemas.openxmlformats.org/officeDocument/2006/relationships/hyperlink" Target="http://example.com/carrelage3.jpg" TargetMode="External"/><Relationship Id="rId67" Type="http://schemas.openxmlformats.org/officeDocument/2006/relationships/hyperlink" Target="http://example.com/carrelage1.jpg" TargetMode="External"/><Relationship Id="rId700" Type="http://schemas.openxmlformats.org/officeDocument/2006/relationships/hyperlink" Target="http://example.com/carrelage1.jpg" TargetMode="External"/><Relationship Id="rId1123" Type="http://schemas.openxmlformats.org/officeDocument/2006/relationships/hyperlink" Target="http://example.com/carrelage2.jpg" TargetMode="External"/><Relationship Id="rId1330" Type="http://schemas.openxmlformats.org/officeDocument/2006/relationships/hyperlink" Target="http://example.com/carrelage2.jpg" TargetMode="External"/><Relationship Id="rId1428" Type="http://schemas.openxmlformats.org/officeDocument/2006/relationships/hyperlink" Target="http://example.com/carrelage1.jpg" TargetMode="External"/><Relationship Id="rId1635" Type="http://schemas.openxmlformats.org/officeDocument/2006/relationships/hyperlink" Target="http://example.com/carrelage1.jpg" TargetMode="External"/><Relationship Id="rId1842" Type="http://schemas.openxmlformats.org/officeDocument/2006/relationships/hyperlink" Target="http://example.com/carrelage1.jpg" TargetMode="External"/><Relationship Id="rId1702" Type="http://schemas.openxmlformats.org/officeDocument/2006/relationships/hyperlink" Target="http://example.com/carrelage2.jpg" TargetMode="External"/><Relationship Id="rId283" Type="http://schemas.openxmlformats.org/officeDocument/2006/relationships/hyperlink" Target="http://example.com/carrelage1.jpg" TargetMode="External"/><Relationship Id="rId490" Type="http://schemas.openxmlformats.org/officeDocument/2006/relationships/hyperlink" Target="http://example.com/carrelage1.jpg" TargetMode="External"/><Relationship Id="rId143" Type="http://schemas.openxmlformats.org/officeDocument/2006/relationships/hyperlink" Target="http://example.com/carrelage2.jpg" TargetMode="External"/><Relationship Id="rId350" Type="http://schemas.openxmlformats.org/officeDocument/2006/relationships/hyperlink" Target="http://example.com/carrelage2.jpg" TargetMode="External"/><Relationship Id="rId588" Type="http://schemas.openxmlformats.org/officeDocument/2006/relationships/hyperlink" Target="http://example.com/carrelage3.jpg" TargetMode="External"/><Relationship Id="rId795" Type="http://schemas.openxmlformats.org/officeDocument/2006/relationships/hyperlink" Target="http://example.com/carrelage3.jpg" TargetMode="External"/><Relationship Id="rId9" Type="http://schemas.openxmlformats.org/officeDocument/2006/relationships/hyperlink" Target="http://example.com/carrelage3.jpg" TargetMode="External"/><Relationship Id="rId210" Type="http://schemas.openxmlformats.org/officeDocument/2006/relationships/hyperlink" Target="http://example.com/carrelage3.jpg" TargetMode="External"/><Relationship Id="rId448" Type="http://schemas.openxmlformats.org/officeDocument/2006/relationships/hyperlink" Target="http://example.com/carrelage1.jpg" TargetMode="External"/><Relationship Id="rId655" Type="http://schemas.openxmlformats.org/officeDocument/2006/relationships/hyperlink" Target="http://example.com/carrelage1.jpg" TargetMode="External"/><Relationship Id="rId862" Type="http://schemas.openxmlformats.org/officeDocument/2006/relationships/hyperlink" Target="http://example.com/carrelage1.jpg" TargetMode="External"/><Relationship Id="rId1078" Type="http://schemas.openxmlformats.org/officeDocument/2006/relationships/hyperlink" Target="http://example.com/carrelage1.jpg" TargetMode="External"/><Relationship Id="rId1285" Type="http://schemas.openxmlformats.org/officeDocument/2006/relationships/hyperlink" Target="http://example.com/carrelage2.jpg" TargetMode="External"/><Relationship Id="rId1492" Type="http://schemas.openxmlformats.org/officeDocument/2006/relationships/hyperlink" Target="http://example.com/carrelage2.jpg" TargetMode="External"/><Relationship Id="rId308" Type="http://schemas.openxmlformats.org/officeDocument/2006/relationships/hyperlink" Target="http://example.com/carrelage2.jpg" TargetMode="External"/><Relationship Id="rId515" Type="http://schemas.openxmlformats.org/officeDocument/2006/relationships/hyperlink" Target="http://example.com/carrelage2.jpg" TargetMode="External"/><Relationship Id="rId722" Type="http://schemas.openxmlformats.org/officeDocument/2006/relationships/hyperlink" Target="http://example.com/carrelage2.jpg" TargetMode="External"/><Relationship Id="rId1145" Type="http://schemas.openxmlformats.org/officeDocument/2006/relationships/hyperlink" Target="http://example.com/carrelage3.jpg" TargetMode="External"/><Relationship Id="rId1352" Type="http://schemas.openxmlformats.org/officeDocument/2006/relationships/hyperlink" Target="http://example.com/carrelage3.jpg" TargetMode="External"/><Relationship Id="rId1797" Type="http://schemas.openxmlformats.org/officeDocument/2006/relationships/hyperlink" Target="http://example.com/carrelage1.jpg" TargetMode="External"/><Relationship Id="rId89" Type="http://schemas.openxmlformats.org/officeDocument/2006/relationships/hyperlink" Target="http://example.com/carrelage2.jpg" TargetMode="External"/><Relationship Id="rId1005" Type="http://schemas.openxmlformats.org/officeDocument/2006/relationships/hyperlink" Target="http://example.com/carrelage3.jpg" TargetMode="External"/><Relationship Id="rId1212" Type="http://schemas.openxmlformats.org/officeDocument/2006/relationships/hyperlink" Target="http://example.com/carrelage1.jpg" TargetMode="External"/><Relationship Id="rId1657" Type="http://schemas.openxmlformats.org/officeDocument/2006/relationships/hyperlink" Target="http://example.com/carrelage2.jpg" TargetMode="External"/><Relationship Id="rId1864" Type="http://schemas.openxmlformats.org/officeDocument/2006/relationships/hyperlink" Target="http://example.com/carrelage2.jpg" TargetMode="External"/><Relationship Id="rId1517" Type="http://schemas.openxmlformats.org/officeDocument/2006/relationships/hyperlink" Target="http://example.com/carrelage3.jpg" TargetMode="External"/><Relationship Id="rId1724" Type="http://schemas.openxmlformats.org/officeDocument/2006/relationships/hyperlink" Target="http://example.com/carrelage3.jpg" TargetMode="External"/><Relationship Id="rId16" Type="http://schemas.openxmlformats.org/officeDocument/2006/relationships/hyperlink" Target="http://example.com/carrelage1.jpg" TargetMode="External"/><Relationship Id="rId1931" Type="http://schemas.openxmlformats.org/officeDocument/2006/relationships/hyperlink" Target="http://example.com/carrelage3.jpg" TargetMode="External"/><Relationship Id="rId165" Type="http://schemas.openxmlformats.org/officeDocument/2006/relationships/hyperlink" Target="http://example.com/carrelage3.jpg" TargetMode="External"/><Relationship Id="rId372" Type="http://schemas.openxmlformats.org/officeDocument/2006/relationships/hyperlink" Target="http://example.com/carrelage3.jpg" TargetMode="External"/><Relationship Id="rId677" Type="http://schemas.openxmlformats.org/officeDocument/2006/relationships/hyperlink" Target="http://example.com/carrelage2.jpg" TargetMode="External"/><Relationship Id="rId232" Type="http://schemas.openxmlformats.org/officeDocument/2006/relationships/hyperlink" Target="http://example.com/carrelage1.jpg" TargetMode="External"/><Relationship Id="rId884" Type="http://schemas.openxmlformats.org/officeDocument/2006/relationships/hyperlink" Target="http://example.com/carrelage2.jpg" TargetMode="External"/><Relationship Id="rId537" Type="http://schemas.openxmlformats.org/officeDocument/2006/relationships/hyperlink" Target="http://example.com/carrelage3.jpg" TargetMode="External"/><Relationship Id="rId744" Type="http://schemas.openxmlformats.org/officeDocument/2006/relationships/hyperlink" Target="http://example.com/carrelage3.jpg" TargetMode="External"/><Relationship Id="rId951" Type="http://schemas.openxmlformats.org/officeDocument/2006/relationships/hyperlink" Target="http://example.com/carrelage3.jpg" TargetMode="External"/><Relationship Id="rId1167" Type="http://schemas.openxmlformats.org/officeDocument/2006/relationships/hyperlink" Target="http://example.com/carrelage1.jpg" TargetMode="External"/><Relationship Id="rId1374" Type="http://schemas.openxmlformats.org/officeDocument/2006/relationships/hyperlink" Target="http://example.com/carrelage1.jpg" TargetMode="External"/><Relationship Id="rId1581" Type="http://schemas.openxmlformats.org/officeDocument/2006/relationships/hyperlink" Target="http://example.com/carrelage1.jpg" TargetMode="External"/><Relationship Id="rId1679" Type="http://schemas.openxmlformats.org/officeDocument/2006/relationships/hyperlink" Target="http://example.com/carrelage3.jpg" TargetMode="External"/><Relationship Id="rId80" Type="http://schemas.openxmlformats.org/officeDocument/2006/relationships/hyperlink" Target="http://example.com/carrelage2.jpg" TargetMode="External"/><Relationship Id="rId604" Type="http://schemas.openxmlformats.org/officeDocument/2006/relationships/hyperlink" Target="http://example.com/carrelage1.jpg" TargetMode="External"/><Relationship Id="rId811" Type="http://schemas.openxmlformats.org/officeDocument/2006/relationships/hyperlink" Target="http://example.com/carrelage1.jpg" TargetMode="External"/><Relationship Id="rId1027" Type="http://schemas.openxmlformats.org/officeDocument/2006/relationships/hyperlink" Target="http://example.com/carrelage1.jpg" TargetMode="External"/><Relationship Id="rId1234" Type="http://schemas.openxmlformats.org/officeDocument/2006/relationships/hyperlink" Target="http://example.com/carrelage2.jpg" TargetMode="External"/><Relationship Id="rId1441" Type="http://schemas.openxmlformats.org/officeDocument/2006/relationships/hyperlink" Target="http://example.com/carrelage2.jpg" TargetMode="External"/><Relationship Id="rId1886" Type="http://schemas.openxmlformats.org/officeDocument/2006/relationships/hyperlink" Target="http://example.com/carrelage3.jpg" TargetMode="External"/><Relationship Id="rId909" Type="http://schemas.openxmlformats.org/officeDocument/2006/relationships/hyperlink" Target="http://example.com/carrelage3.jpg" TargetMode="External"/><Relationship Id="rId1301" Type="http://schemas.openxmlformats.org/officeDocument/2006/relationships/hyperlink" Target="http://example.com/carrelage3.jpg" TargetMode="External"/><Relationship Id="rId1539" Type="http://schemas.openxmlformats.org/officeDocument/2006/relationships/hyperlink" Target="http://example.com/carrelage1.jpg" TargetMode="External"/><Relationship Id="rId1746" Type="http://schemas.openxmlformats.org/officeDocument/2006/relationships/hyperlink" Target="http://example.com/carrelage1.jpg" TargetMode="External"/><Relationship Id="rId1953" Type="http://schemas.openxmlformats.org/officeDocument/2006/relationships/hyperlink" Target="http://example.com/carrelage2.jpg" TargetMode="External"/><Relationship Id="rId38" Type="http://schemas.openxmlformats.org/officeDocument/2006/relationships/hyperlink" Target="http://example.com/carrelage2.jpg" TargetMode="External"/><Relationship Id="rId1606" Type="http://schemas.openxmlformats.org/officeDocument/2006/relationships/hyperlink" Target="http://example.com/carrelage2.jpg" TargetMode="External"/><Relationship Id="rId1813" Type="http://schemas.openxmlformats.org/officeDocument/2006/relationships/hyperlink" Target="http://example.com/carrelage2.jpg" TargetMode="External"/><Relationship Id="rId187" Type="http://schemas.openxmlformats.org/officeDocument/2006/relationships/hyperlink" Target="http://example.com/carrelage1.jpg" TargetMode="External"/><Relationship Id="rId394" Type="http://schemas.openxmlformats.org/officeDocument/2006/relationships/hyperlink" Target="http://example.com/carrelage1.jpg" TargetMode="External"/><Relationship Id="rId254" Type="http://schemas.openxmlformats.org/officeDocument/2006/relationships/hyperlink" Target="http://example.com/carrelage2.jpg" TargetMode="External"/><Relationship Id="rId699" Type="http://schemas.openxmlformats.org/officeDocument/2006/relationships/hyperlink" Target="http://example.com/carrelage3.jpg" TargetMode="External"/><Relationship Id="rId1091" Type="http://schemas.openxmlformats.org/officeDocument/2006/relationships/hyperlink" Target="http://example.com/meuble3.jpg" TargetMode="External"/><Relationship Id="rId114" Type="http://schemas.openxmlformats.org/officeDocument/2006/relationships/hyperlink" Target="http://example.com/carrelage3.jpg" TargetMode="External"/><Relationship Id="rId461" Type="http://schemas.openxmlformats.org/officeDocument/2006/relationships/hyperlink" Target="http://example.com/carrelage2.jpg" TargetMode="External"/><Relationship Id="rId559" Type="http://schemas.openxmlformats.org/officeDocument/2006/relationships/hyperlink" Target="http://example.com/carrelage1.jpg" TargetMode="External"/><Relationship Id="rId766" Type="http://schemas.openxmlformats.org/officeDocument/2006/relationships/hyperlink" Target="http://example.com/carrelage1.jpg" TargetMode="External"/><Relationship Id="rId1189" Type="http://schemas.openxmlformats.org/officeDocument/2006/relationships/hyperlink" Target="http://example.com/carrelage2.jpg" TargetMode="External"/><Relationship Id="rId1396" Type="http://schemas.openxmlformats.org/officeDocument/2006/relationships/hyperlink" Target="http://example.com/carrelage2.jpg" TargetMode="External"/><Relationship Id="rId321" Type="http://schemas.openxmlformats.org/officeDocument/2006/relationships/hyperlink" Target="http://example.com/carrelage3.jpg" TargetMode="External"/><Relationship Id="rId419" Type="http://schemas.openxmlformats.org/officeDocument/2006/relationships/hyperlink" Target="http://example.com/carrelage2.jpg" TargetMode="External"/><Relationship Id="rId626" Type="http://schemas.openxmlformats.org/officeDocument/2006/relationships/hyperlink" Target="http://example.com/carrelage2.jpg" TargetMode="External"/><Relationship Id="rId973" Type="http://schemas.openxmlformats.org/officeDocument/2006/relationships/hyperlink" Target="http://example.com/carrelage1.jpg" TargetMode="External"/><Relationship Id="rId1049" Type="http://schemas.openxmlformats.org/officeDocument/2006/relationships/hyperlink" Target="http://example.com/carrelage2.jpg" TargetMode="External"/><Relationship Id="rId1256" Type="http://schemas.openxmlformats.org/officeDocument/2006/relationships/hyperlink" Target="http://example.com/carrelage3.jpg" TargetMode="External"/><Relationship Id="rId833" Type="http://schemas.openxmlformats.org/officeDocument/2006/relationships/hyperlink" Target="http://example.com/carrelage2.jpg" TargetMode="External"/><Relationship Id="rId1116" Type="http://schemas.openxmlformats.org/officeDocument/2006/relationships/hyperlink" Target="http://example.com/carrelage1.jpg" TargetMode="External"/><Relationship Id="rId1463" Type="http://schemas.openxmlformats.org/officeDocument/2006/relationships/hyperlink" Target="http://example.com/carrelage3.jpg" TargetMode="External"/><Relationship Id="rId1670" Type="http://schemas.openxmlformats.org/officeDocument/2006/relationships/hyperlink" Target="http://example.com/carrelage3.jpg" TargetMode="External"/><Relationship Id="rId1768" Type="http://schemas.openxmlformats.org/officeDocument/2006/relationships/hyperlink" Target="http://example.com/carrelage2.jpg" TargetMode="External"/><Relationship Id="rId900" Type="http://schemas.openxmlformats.org/officeDocument/2006/relationships/hyperlink" Target="http://example.com/carrelage3.jpg" TargetMode="External"/><Relationship Id="rId1323" Type="http://schemas.openxmlformats.org/officeDocument/2006/relationships/hyperlink" Target="http://example.com/carrelage1.jpg" TargetMode="External"/><Relationship Id="rId1530" Type="http://schemas.openxmlformats.org/officeDocument/2006/relationships/hyperlink" Target="http://example.com/carrelage1.jpg" TargetMode="External"/><Relationship Id="rId1628" Type="http://schemas.openxmlformats.org/officeDocument/2006/relationships/hyperlink" Target="http://example.com/carrelage3.jpg" TargetMode="External"/><Relationship Id="rId1975" Type="http://schemas.openxmlformats.org/officeDocument/2006/relationships/hyperlink" Target="http://example.com/carrelage3.jpg" TargetMode="External"/><Relationship Id="rId1835" Type="http://schemas.openxmlformats.org/officeDocument/2006/relationships/hyperlink" Target="http://example.com/carrelage3.jpg" TargetMode="External"/><Relationship Id="rId1902" Type="http://schemas.openxmlformats.org/officeDocument/2006/relationships/hyperlink" Target="http://example.com/carrelage1.jpg" TargetMode="External"/><Relationship Id="rId276" Type="http://schemas.openxmlformats.org/officeDocument/2006/relationships/hyperlink" Target="http://example.com/carrelage3.jpg" TargetMode="External"/><Relationship Id="rId483" Type="http://schemas.openxmlformats.org/officeDocument/2006/relationships/hyperlink" Target="http://example.com/carrelage3.jpg" TargetMode="External"/><Relationship Id="rId690" Type="http://schemas.openxmlformats.org/officeDocument/2006/relationships/hyperlink" Target="http://example.com/carrelage3.jpg" TargetMode="External"/><Relationship Id="rId136" Type="http://schemas.openxmlformats.org/officeDocument/2006/relationships/hyperlink" Target="http://example.com/carrelage1.jpg" TargetMode="External"/><Relationship Id="rId343" Type="http://schemas.openxmlformats.org/officeDocument/2006/relationships/hyperlink" Target="http://example.com/carrelage1.jpg" TargetMode="External"/><Relationship Id="rId550" Type="http://schemas.openxmlformats.org/officeDocument/2006/relationships/hyperlink" Target="http://example.com/carrelage1.jpg" TargetMode="External"/><Relationship Id="rId788" Type="http://schemas.openxmlformats.org/officeDocument/2006/relationships/hyperlink" Target="http://example.com/carrelage2.jpg" TargetMode="External"/><Relationship Id="rId995" Type="http://schemas.openxmlformats.org/officeDocument/2006/relationships/hyperlink" Target="http://example.com/carrelage2.jpg" TargetMode="External"/><Relationship Id="rId1180" Type="http://schemas.openxmlformats.org/officeDocument/2006/relationships/hyperlink" Target="http://example.com/carrelage2.jpg" TargetMode="External"/><Relationship Id="rId203" Type="http://schemas.openxmlformats.org/officeDocument/2006/relationships/hyperlink" Target="http://example.com/carrelage2.jpg" TargetMode="External"/><Relationship Id="rId648" Type="http://schemas.openxmlformats.org/officeDocument/2006/relationships/hyperlink" Target="http://example.com/carrelage3.jpg" TargetMode="External"/><Relationship Id="rId855" Type="http://schemas.openxmlformats.org/officeDocument/2006/relationships/hyperlink" Target="http://example.com/carrelage3.jpg" TargetMode="External"/><Relationship Id="rId1040" Type="http://schemas.openxmlformats.org/officeDocument/2006/relationships/hyperlink" Target="http://example.com/carrelage2.jpg" TargetMode="External"/><Relationship Id="rId1278" Type="http://schemas.openxmlformats.org/officeDocument/2006/relationships/hyperlink" Target="http://example.com/carrelage1.jpg" TargetMode="External"/><Relationship Id="rId1485" Type="http://schemas.openxmlformats.org/officeDocument/2006/relationships/hyperlink" Target="http://example.com/carrelage1.jpg" TargetMode="External"/><Relationship Id="rId1692" Type="http://schemas.openxmlformats.org/officeDocument/2006/relationships/hyperlink" Target="http://example.com/carrelage1.jpg" TargetMode="External"/><Relationship Id="rId410" Type="http://schemas.openxmlformats.org/officeDocument/2006/relationships/hyperlink" Target="http://example.com/carrelage2.jpg" TargetMode="External"/><Relationship Id="rId508" Type="http://schemas.openxmlformats.org/officeDocument/2006/relationships/hyperlink" Target="http://example.com/carrelage1.jpg" TargetMode="External"/><Relationship Id="rId715" Type="http://schemas.openxmlformats.org/officeDocument/2006/relationships/hyperlink" Target="http://example.com/carrelage1.jpg" TargetMode="External"/><Relationship Id="rId922" Type="http://schemas.openxmlformats.org/officeDocument/2006/relationships/hyperlink" Target="http://example.com/carrelage1.jpg" TargetMode="External"/><Relationship Id="rId1138" Type="http://schemas.openxmlformats.org/officeDocument/2006/relationships/hyperlink" Target="http://example.com/carrelage2.jpg" TargetMode="External"/><Relationship Id="rId1345" Type="http://schemas.openxmlformats.org/officeDocument/2006/relationships/hyperlink" Target="http://example.com/carrelage2.jpg" TargetMode="External"/><Relationship Id="rId1552" Type="http://schemas.openxmlformats.org/officeDocument/2006/relationships/hyperlink" Target="http://example.com/carrelage2.jpg" TargetMode="External"/><Relationship Id="rId1205" Type="http://schemas.openxmlformats.org/officeDocument/2006/relationships/hyperlink" Target="http://example.com/carrelage3.jpg" TargetMode="External"/><Relationship Id="rId1857" Type="http://schemas.openxmlformats.org/officeDocument/2006/relationships/hyperlink" Target="http://example.com/carrelage1.jpg" TargetMode="External"/><Relationship Id="rId51" Type="http://schemas.openxmlformats.org/officeDocument/2006/relationships/hyperlink" Target="http://example.com/carrelage3.jpg" TargetMode="External"/><Relationship Id="rId1412" Type="http://schemas.openxmlformats.org/officeDocument/2006/relationships/hyperlink" Target="http://example.com/carrelage3.jpg" TargetMode="External"/><Relationship Id="rId1717" Type="http://schemas.openxmlformats.org/officeDocument/2006/relationships/hyperlink" Target="http://example.com/carrelage2.jpg" TargetMode="External"/><Relationship Id="rId1924" Type="http://schemas.openxmlformats.org/officeDocument/2006/relationships/hyperlink" Target="http://example.com/carrelage2.jpg" TargetMode="External"/><Relationship Id="rId298" Type="http://schemas.openxmlformats.org/officeDocument/2006/relationships/hyperlink" Target="http://example.com/carrelage1.jpg" TargetMode="External"/><Relationship Id="rId158" Type="http://schemas.openxmlformats.org/officeDocument/2006/relationships/hyperlink" Target="http://example.com/carrelage2.jpg" TargetMode="External"/><Relationship Id="rId365" Type="http://schemas.openxmlformats.org/officeDocument/2006/relationships/hyperlink" Target="http://example.com/carrelage2.jpg" TargetMode="External"/><Relationship Id="rId572" Type="http://schemas.openxmlformats.org/officeDocument/2006/relationships/hyperlink" Target="http://example.com/carrelage2.jpg" TargetMode="External"/><Relationship Id="rId225" Type="http://schemas.openxmlformats.org/officeDocument/2006/relationships/hyperlink" Target="http://example.com/carrelage3.jpg" TargetMode="External"/><Relationship Id="rId432" Type="http://schemas.openxmlformats.org/officeDocument/2006/relationships/hyperlink" Target="http://example.com/carrelage3.jpg" TargetMode="External"/><Relationship Id="rId877" Type="http://schemas.openxmlformats.org/officeDocument/2006/relationships/hyperlink" Target="http://example.com/carrelage1.jpg" TargetMode="External"/><Relationship Id="rId1062" Type="http://schemas.openxmlformats.org/officeDocument/2006/relationships/hyperlink" Target="http://example.com/carrelage3.jpg" TargetMode="External"/><Relationship Id="rId737" Type="http://schemas.openxmlformats.org/officeDocument/2006/relationships/hyperlink" Target="http://example.com/carrelage2.jpg" TargetMode="External"/><Relationship Id="rId944" Type="http://schemas.openxmlformats.org/officeDocument/2006/relationships/hyperlink" Target="http://example.com/carrelage2.jpg" TargetMode="External"/><Relationship Id="rId1367" Type="http://schemas.openxmlformats.org/officeDocument/2006/relationships/hyperlink" Target="http://example.com/carrelage3.jpg" TargetMode="External"/><Relationship Id="rId1574" Type="http://schemas.openxmlformats.org/officeDocument/2006/relationships/hyperlink" Target="http://example.com/carrelage3.jpg" TargetMode="External"/><Relationship Id="rId1781" Type="http://schemas.openxmlformats.org/officeDocument/2006/relationships/hyperlink" Target="http://example.com/carrelage3.jpg" TargetMode="External"/><Relationship Id="rId73" Type="http://schemas.openxmlformats.org/officeDocument/2006/relationships/hyperlink" Target="http://example.com/carrelage1.jpg" TargetMode="External"/><Relationship Id="rId804" Type="http://schemas.openxmlformats.org/officeDocument/2006/relationships/hyperlink" Target="http://example.com/carrelage3.jpg" TargetMode="External"/><Relationship Id="rId1227" Type="http://schemas.openxmlformats.org/officeDocument/2006/relationships/hyperlink" Target="http://example.com/carrelage1.jpg" TargetMode="External"/><Relationship Id="rId1434" Type="http://schemas.openxmlformats.org/officeDocument/2006/relationships/hyperlink" Target="http://example.com/carrelage1.jpg" TargetMode="External"/><Relationship Id="rId1641" Type="http://schemas.openxmlformats.org/officeDocument/2006/relationships/hyperlink" Target="http://example.com/carrelage1.jpg" TargetMode="External"/><Relationship Id="rId1879" Type="http://schemas.openxmlformats.org/officeDocument/2006/relationships/hyperlink" Target="http://example.com/carrelage2.jpg" TargetMode="External"/><Relationship Id="rId1501" Type="http://schemas.openxmlformats.org/officeDocument/2006/relationships/hyperlink" Target="http://example.com/carrelage2.jpg" TargetMode="External"/><Relationship Id="rId1739" Type="http://schemas.openxmlformats.org/officeDocument/2006/relationships/hyperlink" Target="http://example.com/carrelage3.jpg" TargetMode="External"/><Relationship Id="rId1946" Type="http://schemas.openxmlformats.org/officeDocument/2006/relationships/hyperlink" Target="http://example.com/carrelage1.jpg" TargetMode="External"/><Relationship Id="rId1806" Type="http://schemas.openxmlformats.org/officeDocument/2006/relationships/hyperlink" Target="http://example.com/carrelage1.jpg" TargetMode="External"/><Relationship Id="rId387" Type="http://schemas.openxmlformats.org/officeDocument/2006/relationships/hyperlink" Target="http://example.com/carrelage3.jpg" TargetMode="External"/><Relationship Id="rId594" Type="http://schemas.openxmlformats.org/officeDocument/2006/relationships/hyperlink" Target="http://example.com/carrelage3.jpg" TargetMode="External"/><Relationship Id="rId247" Type="http://schemas.openxmlformats.org/officeDocument/2006/relationships/hyperlink" Target="http://example.com/carrelage1.jpg" TargetMode="External"/><Relationship Id="rId899" Type="http://schemas.openxmlformats.org/officeDocument/2006/relationships/hyperlink" Target="http://example.com/carrelage2.jpg" TargetMode="External"/><Relationship Id="rId1084" Type="http://schemas.openxmlformats.org/officeDocument/2006/relationships/hyperlink" Target="http://example.com/carrelage1.jpg" TargetMode="External"/><Relationship Id="rId107" Type="http://schemas.openxmlformats.org/officeDocument/2006/relationships/hyperlink" Target="http://example.com/carrelage2.jpg" TargetMode="External"/><Relationship Id="rId454" Type="http://schemas.openxmlformats.org/officeDocument/2006/relationships/hyperlink" Target="http://example.com/carrelage1.jpg" TargetMode="External"/><Relationship Id="rId661" Type="http://schemas.openxmlformats.org/officeDocument/2006/relationships/hyperlink" Target="http://example.com/carrelage1.jpg" TargetMode="External"/><Relationship Id="rId759" Type="http://schemas.openxmlformats.org/officeDocument/2006/relationships/hyperlink" Target="http://example.com/carrelage3.jpg" TargetMode="External"/><Relationship Id="rId966" Type="http://schemas.openxmlformats.org/officeDocument/2006/relationships/hyperlink" Target="http://example.com/carrelage3.jpg" TargetMode="External"/><Relationship Id="rId1291" Type="http://schemas.openxmlformats.org/officeDocument/2006/relationships/hyperlink" Target="http://example.com/carrelage2.jpg" TargetMode="External"/><Relationship Id="rId1389" Type="http://schemas.openxmlformats.org/officeDocument/2006/relationships/hyperlink" Target="http://example.com/carrelage1.jpg" TargetMode="External"/><Relationship Id="rId1596" Type="http://schemas.openxmlformats.org/officeDocument/2006/relationships/hyperlink" Target="http://example.com/carrelage1.jpg" TargetMode="External"/><Relationship Id="rId314" Type="http://schemas.openxmlformats.org/officeDocument/2006/relationships/hyperlink" Target="http://example.com/carrelage2.jpg" TargetMode="External"/><Relationship Id="rId521" Type="http://schemas.openxmlformats.org/officeDocument/2006/relationships/hyperlink" Target="http://example.com/carrelage2.jpg" TargetMode="External"/><Relationship Id="rId619" Type="http://schemas.openxmlformats.org/officeDocument/2006/relationships/hyperlink" Target="http://example.com/carrelage1.jpg" TargetMode="External"/><Relationship Id="rId1151" Type="http://schemas.openxmlformats.org/officeDocument/2006/relationships/hyperlink" Target="http://example.com/carrelage3.jpg" TargetMode="External"/><Relationship Id="rId1249" Type="http://schemas.openxmlformats.org/officeDocument/2006/relationships/hyperlink" Target="http://example.com/carrelage2.jpg" TargetMode="External"/><Relationship Id="rId95" Type="http://schemas.openxmlformats.org/officeDocument/2006/relationships/hyperlink" Target="http://example.com/carrelage2.jpg" TargetMode="External"/><Relationship Id="rId826" Type="http://schemas.openxmlformats.org/officeDocument/2006/relationships/hyperlink" Target="http://example.com/carrelage1.jpg" TargetMode="External"/><Relationship Id="rId1011" Type="http://schemas.openxmlformats.org/officeDocument/2006/relationships/hyperlink" Target="http://example.com/carrelage3.jpg" TargetMode="External"/><Relationship Id="rId1109" Type="http://schemas.openxmlformats.org/officeDocument/2006/relationships/hyperlink" Target="http://example.com/carrelage3.jpg" TargetMode="External"/><Relationship Id="rId1456" Type="http://schemas.openxmlformats.org/officeDocument/2006/relationships/hyperlink" Target="http://example.com/carrelage2.jpg" TargetMode="External"/><Relationship Id="rId1663" Type="http://schemas.openxmlformats.org/officeDocument/2006/relationships/hyperlink" Target="http://example.com/carrelage2.jpg" TargetMode="External"/><Relationship Id="rId1870" Type="http://schemas.openxmlformats.org/officeDocument/2006/relationships/hyperlink" Target="http://example.com/carrelage2.jpg" TargetMode="External"/><Relationship Id="rId1968" Type="http://schemas.openxmlformats.org/officeDocument/2006/relationships/hyperlink" Target="http://example.com/carrelage3.jpg" TargetMode="External"/><Relationship Id="rId1316" Type="http://schemas.openxmlformats.org/officeDocument/2006/relationships/hyperlink" Target="http://example.com/carrelage3.jpg" TargetMode="External"/><Relationship Id="rId1523" Type="http://schemas.openxmlformats.org/officeDocument/2006/relationships/hyperlink" Target="http://example.com/carrelage3.jpg" TargetMode="External"/><Relationship Id="rId1730" Type="http://schemas.openxmlformats.org/officeDocument/2006/relationships/hyperlink" Target="http://example.com/carrelage3.jpg" TargetMode="External"/><Relationship Id="rId22" Type="http://schemas.openxmlformats.org/officeDocument/2006/relationships/hyperlink" Target="http://example.com/carrelage1.jpg" TargetMode="External"/><Relationship Id="rId1828" Type="http://schemas.openxmlformats.org/officeDocument/2006/relationships/hyperlink" Target="http://example.com/carrelage2.jpg" TargetMode="External"/><Relationship Id="rId171" Type="http://schemas.openxmlformats.org/officeDocument/2006/relationships/hyperlink" Target="http://example.com/carrelage3.jpg" TargetMode="External"/><Relationship Id="rId269" Type="http://schemas.openxmlformats.org/officeDocument/2006/relationships/hyperlink" Target="http://example.com/carrelage2.jpg" TargetMode="External"/><Relationship Id="rId476" Type="http://schemas.openxmlformats.org/officeDocument/2006/relationships/hyperlink" Target="http://example.com/carrelage2.jpg" TargetMode="External"/><Relationship Id="rId683" Type="http://schemas.openxmlformats.org/officeDocument/2006/relationships/hyperlink" Target="http://example.com/carrelage2.jpg" TargetMode="External"/><Relationship Id="rId890" Type="http://schemas.openxmlformats.org/officeDocument/2006/relationships/hyperlink" Target="http://example.com/carrelage2.jpg" TargetMode="External"/><Relationship Id="rId129" Type="http://schemas.openxmlformats.org/officeDocument/2006/relationships/hyperlink" Target="http://example.com/carrelage3.jpg" TargetMode="External"/><Relationship Id="rId336" Type="http://schemas.openxmlformats.org/officeDocument/2006/relationships/hyperlink" Target="http://example.com/carrelage3.jpg" TargetMode="External"/><Relationship Id="rId543" Type="http://schemas.openxmlformats.org/officeDocument/2006/relationships/hyperlink" Target="http://example.com/carrelage3.jpg" TargetMode="External"/><Relationship Id="rId988" Type="http://schemas.openxmlformats.org/officeDocument/2006/relationships/hyperlink" Target="http://example.com/carrelage1.jpg" TargetMode="External"/><Relationship Id="rId1173" Type="http://schemas.openxmlformats.org/officeDocument/2006/relationships/hyperlink" Target="http://example.com/carrelage1.jpg" TargetMode="External"/><Relationship Id="rId1380" Type="http://schemas.openxmlformats.org/officeDocument/2006/relationships/hyperlink" Target="http://example.com/carrelage1.jpg" TargetMode="External"/><Relationship Id="rId403" Type="http://schemas.openxmlformats.org/officeDocument/2006/relationships/hyperlink" Target="http://example.com/carrelage1.jpg" TargetMode="External"/><Relationship Id="rId750" Type="http://schemas.openxmlformats.org/officeDocument/2006/relationships/hyperlink" Target="http://example.com/carrelage3.jpg" TargetMode="External"/><Relationship Id="rId848" Type="http://schemas.openxmlformats.org/officeDocument/2006/relationships/hyperlink" Target="http://example.com/carrelage2.jpg" TargetMode="External"/><Relationship Id="rId1033" Type="http://schemas.openxmlformats.org/officeDocument/2006/relationships/hyperlink" Target="http://example.com/carrelage1.jpg" TargetMode="External"/><Relationship Id="rId1478" Type="http://schemas.openxmlformats.org/officeDocument/2006/relationships/hyperlink" Target="http://example.com/carrelage3.jpg" TargetMode="External"/><Relationship Id="rId1685" Type="http://schemas.openxmlformats.org/officeDocument/2006/relationships/hyperlink" Target="http://example.com/carrelage3.jpg" TargetMode="External"/><Relationship Id="rId1892" Type="http://schemas.openxmlformats.org/officeDocument/2006/relationships/hyperlink" Target="http://example.com/carrelage3.jpg" TargetMode="External"/><Relationship Id="rId610" Type="http://schemas.openxmlformats.org/officeDocument/2006/relationships/hyperlink" Target="http://example.com/carrelage1.jpg" TargetMode="External"/><Relationship Id="rId708" Type="http://schemas.openxmlformats.org/officeDocument/2006/relationships/hyperlink" Target="http://example.com/carrelage3.jpg" TargetMode="External"/><Relationship Id="rId915" Type="http://schemas.openxmlformats.org/officeDocument/2006/relationships/hyperlink" Target="http://example.com/carrelage3.jpg" TargetMode="External"/><Relationship Id="rId1240" Type="http://schemas.openxmlformats.org/officeDocument/2006/relationships/hyperlink" Target="http://example.com/carrelage2.jpg" TargetMode="External"/><Relationship Id="rId1338" Type="http://schemas.openxmlformats.org/officeDocument/2006/relationships/hyperlink" Target="http://example.com/carrelage1.jpg" TargetMode="External"/><Relationship Id="rId1545" Type="http://schemas.openxmlformats.org/officeDocument/2006/relationships/hyperlink" Target="http://example.com/carrelage1.jpg" TargetMode="External"/><Relationship Id="rId1100" Type="http://schemas.openxmlformats.org/officeDocument/2006/relationships/hyperlink" Target="http://example.com/carrelage3.jpg" TargetMode="External"/><Relationship Id="rId1405" Type="http://schemas.openxmlformats.org/officeDocument/2006/relationships/hyperlink" Target="http://example.com/carrelage2.jpg" TargetMode="External"/><Relationship Id="rId1752" Type="http://schemas.openxmlformats.org/officeDocument/2006/relationships/hyperlink" Target="http://example.com/carrelage1.jpg" TargetMode="External"/><Relationship Id="rId44" Type="http://schemas.openxmlformats.org/officeDocument/2006/relationships/hyperlink" Target="http://example.com/carrelage2.jpg" TargetMode="External"/><Relationship Id="rId1612" Type="http://schemas.openxmlformats.org/officeDocument/2006/relationships/hyperlink" Target="http://example.com/carrelage2.jpg" TargetMode="External"/><Relationship Id="rId1917" Type="http://schemas.openxmlformats.org/officeDocument/2006/relationships/hyperlink" Target="http://example.com/carrelage1.jpg" TargetMode="External"/><Relationship Id="rId193" Type="http://schemas.openxmlformats.org/officeDocument/2006/relationships/hyperlink" Target="http://example.com/carrelage1.jpg" TargetMode="External"/><Relationship Id="rId498" Type="http://schemas.openxmlformats.org/officeDocument/2006/relationships/hyperlink" Target="http://example.com/carrelage3.jpg" TargetMode="External"/><Relationship Id="rId260" Type="http://schemas.openxmlformats.org/officeDocument/2006/relationships/hyperlink" Target="http://example.com/carrelage2.jpg" TargetMode="External"/><Relationship Id="rId120" Type="http://schemas.openxmlformats.org/officeDocument/2006/relationships/hyperlink" Target="http://example.com/carrelage3.jpg" TargetMode="External"/><Relationship Id="rId358" Type="http://schemas.openxmlformats.org/officeDocument/2006/relationships/hyperlink" Target="http://example.com/carrelage1.jpg" TargetMode="External"/><Relationship Id="rId565" Type="http://schemas.openxmlformats.org/officeDocument/2006/relationships/hyperlink" Target="http://example.com/carrelage1.jpg" TargetMode="External"/><Relationship Id="rId772" Type="http://schemas.openxmlformats.org/officeDocument/2006/relationships/hyperlink" Target="http://example.com/carrelage1.jpg" TargetMode="External"/><Relationship Id="rId1195" Type="http://schemas.openxmlformats.org/officeDocument/2006/relationships/hyperlink" Target="http://example.com/carrelage2.jpg" TargetMode="External"/><Relationship Id="rId218" Type="http://schemas.openxmlformats.org/officeDocument/2006/relationships/hyperlink" Target="http://example.com/carrelage2.jpg" TargetMode="External"/><Relationship Id="rId425" Type="http://schemas.openxmlformats.org/officeDocument/2006/relationships/hyperlink" Target="http://example.com/carrelage2.jpg" TargetMode="External"/><Relationship Id="rId632" Type="http://schemas.openxmlformats.org/officeDocument/2006/relationships/hyperlink" Target="http://example.com/carrelage2.jpg" TargetMode="External"/><Relationship Id="rId1055" Type="http://schemas.openxmlformats.org/officeDocument/2006/relationships/hyperlink" Target="http://example.com/carrelage2.jpg" TargetMode="External"/><Relationship Id="rId1262" Type="http://schemas.openxmlformats.org/officeDocument/2006/relationships/hyperlink" Target="http://example.com/carrelage3.jpg" TargetMode="External"/><Relationship Id="rId937" Type="http://schemas.openxmlformats.org/officeDocument/2006/relationships/hyperlink" Target="http://example.com/carrelage1.jpg" TargetMode="External"/><Relationship Id="rId1122" Type="http://schemas.openxmlformats.org/officeDocument/2006/relationships/hyperlink" Target="http://example.com/carrelage1.jpg" TargetMode="External"/><Relationship Id="rId1567" Type="http://schemas.openxmlformats.org/officeDocument/2006/relationships/hyperlink" Target="http://example.com/carrelage2.jpg" TargetMode="External"/><Relationship Id="rId1774" Type="http://schemas.openxmlformats.org/officeDocument/2006/relationships/hyperlink" Target="http://example.com/carrelage2.jpg" TargetMode="External"/><Relationship Id="rId66" Type="http://schemas.openxmlformats.org/officeDocument/2006/relationships/hyperlink" Target="http://example.com/carrelage3.jpg" TargetMode="External"/><Relationship Id="rId1427" Type="http://schemas.openxmlformats.org/officeDocument/2006/relationships/hyperlink" Target="http://example.com/carrelage3.jpg" TargetMode="External"/><Relationship Id="rId1634" Type="http://schemas.openxmlformats.org/officeDocument/2006/relationships/hyperlink" Target="http://example.com/carrelage3.jpg" TargetMode="External"/><Relationship Id="rId1841" Type="http://schemas.openxmlformats.org/officeDocument/2006/relationships/hyperlink" Target="http://example.com/carrelage3.jpg" TargetMode="External"/><Relationship Id="rId1939" Type="http://schemas.openxmlformats.org/officeDocument/2006/relationships/hyperlink" Target="http://example.com/carrelage2.jpg" TargetMode="External"/><Relationship Id="rId1701" Type="http://schemas.openxmlformats.org/officeDocument/2006/relationships/hyperlink" Target="http://example.com/carrelage1.jpg" TargetMode="External"/><Relationship Id="rId282" Type="http://schemas.openxmlformats.org/officeDocument/2006/relationships/hyperlink" Target="http://example.com/carrelage3.jpg" TargetMode="External"/><Relationship Id="rId587" Type="http://schemas.openxmlformats.org/officeDocument/2006/relationships/hyperlink" Target="http://example.com/carrelage2.jpg" TargetMode="External"/><Relationship Id="rId8" Type="http://schemas.openxmlformats.org/officeDocument/2006/relationships/hyperlink" Target="http://example.com/carrelage2.jpg" TargetMode="External"/><Relationship Id="rId142" Type="http://schemas.openxmlformats.org/officeDocument/2006/relationships/hyperlink" Target="http://example.com/carrelage1.jpg" TargetMode="External"/><Relationship Id="rId447" Type="http://schemas.openxmlformats.org/officeDocument/2006/relationships/hyperlink" Target="http://example.com/carrelage3.jpg" TargetMode="External"/><Relationship Id="rId794" Type="http://schemas.openxmlformats.org/officeDocument/2006/relationships/hyperlink" Target="http://example.com/carrelage2.jpg" TargetMode="External"/><Relationship Id="rId1077" Type="http://schemas.openxmlformats.org/officeDocument/2006/relationships/hyperlink" Target="http://example.com/carrelage3.jpg" TargetMode="External"/><Relationship Id="rId654" Type="http://schemas.openxmlformats.org/officeDocument/2006/relationships/hyperlink" Target="http://example.com/carrelage3.jpg" TargetMode="External"/><Relationship Id="rId861" Type="http://schemas.openxmlformats.org/officeDocument/2006/relationships/hyperlink" Target="http://example.com/carrelage3.jpg" TargetMode="External"/><Relationship Id="rId959" Type="http://schemas.openxmlformats.org/officeDocument/2006/relationships/hyperlink" Target="http://example.com/carrelage2.jpg" TargetMode="External"/><Relationship Id="rId1284" Type="http://schemas.openxmlformats.org/officeDocument/2006/relationships/hyperlink" Target="http://example.com/carrelage1.jpg" TargetMode="External"/><Relationship Id="rId1491" Type="http://schemas.openxmlformats.org/officeDocument/2006/relationships/hyperlink" Target="http://example.com/carrelage1.jpg" TargetMode="External"/><Relationship Id="rId1589" Type="http://schemas.openxmlformats.org/officeDocument/2006/relationships/hyperlink" Target="http://example.com/carrelage3.jpg" TargetMode="External"/><Relationship Id="rId307" Type="http://schemas.openxmlformats.org/officeDocument/2006/relationships/hyperlink" Target="http://example.com/carrelage1.jpg" TargetMode="External"/><Relationship Id="rId514" Type="http://schemas.openxmlformats.org/officeDocument/2006/relationships/hyperlink" Target="http://example.com/carrelage1.jpg" TargetMode="External"/><Relationship Id="rId721" Type="http://schemas.openxmlformats.org/officeDocument/2006/relationships/hyperlink" Target="http://example.com/carrelage1.jpg" TargetMode="External"/><Relationship Id="rId1144" Type="http://schemas.openxmlformats.org/officeDocument/2006/relationships/hyperlink" Target="http://example.com/carrelage2.jpg" TargetMode="External"/><Relationship Id="rId1351" Type="http://schemas.openxmlformats.org/officeDocument/2006/relationships/hyperlink" Target="http://example.com/carrelage2.jpg" TargetMode="External"/><Relationship Id="rId1449" Type="http://schemas.openxmlformats.org/officeDocument/2006/relationships/hyperlink" Target="http://example.com/carrelage1.jpg" TargetMode="External"/><Relationship Id="rId1796" Type="http://schemas.openxmlformats.org/officeDocument/2006/relationships/hyperlink" Target="http://example.com/carrelage3.jpg" TargetMode="External"/><Relationship Id="rId88" Type="http://schemas.openxmlformats.org/officeDocument/2006/relationships/hyperlink" Target="http://example.com/carrelage1.jpg" TargetMode="External"/><Relationship Id="rId819" Type="http://schemas.openxmlformats.org/officeDocument/2006/relationships/hyperlink" Target="http://example.com/carrelage3.jpg" TargetMode="External"/><Relationship Id="rId1004" Type="http://schemas.openxmlformats.org/officeDocument/2006/relationships/hyperlink" Target="http://example.com/carrelage2.jpg" TargetMode="External"/><Relationship Id="rId1211" Type="http://schemas.openxmlformats.org/officeDocument/2006/relationships/hyperlink" Target="http://example.com/carrelage3.jpg" TargetMode="External"/><Relationship Id="rId1656" Type="http://schemas.openxmlformats.org/officeDocument/2006/relationships/hyperlink" Target="http://example.com/carrelage1.jpg" TargetMode="External"/><Relationship Id="rId1863" Type="http://schemas.openxmlformats.org/officeDocument/2006/relationships/hyperlink" Target="http://example.com/carrelage1.jpg" TargetMode="External"/><Relationship Id="rId1309" Type="http://schemas.openxmlformats.org/officeDocument/2006/relationships/hyperlink" Target="http://example.com/carrelage2.jpg" TargetMode="External"/><Relationship Id="rId1516" Type="http://schemas.openxmlformats.org/officeDocument/2006/relationships/hyperlink" Target="http://example.com/carrelage2.jpg" TargetMode="External"/><Relationship Id="rId1723" Type="http://schemas.openxmlformats.org/officeDocument/2006/relationships/hyperlink" Target="http://example.com/carrelage2.jpg" TargetMode="External"/><Relationship Id="rId1930" Type="http://schemas.openxmlformats.org/officeDocument/2006/relationships/hyperlink" Target="http://example.com/carrelage2.jpg" TargetMode="External"/><Relationship Id="rId15" Type="http://schemas.openxmlformats.org/officeDocument/2006/relationships/hyperlink" Target="http://example.com/carrelage3.jpg" TargetMode="External"/><Relationship Id="rId164" Type="http://schemas.openxmlformats.org/officeDocument/2006/relationships/hyperlink" Target="http://example.com/carrelage2.jpg" TargetMode="External"/><Relationship Id="rId371" Type="http://schemas.openxmlformats.org/officeDocument/2006/relationships/hyperlink" Target="http://example.com/carrelage2.jpg" TargetMode="External"/><Relationship Id="rId469" Type="http://schemas.openxmlformats.org/officeDocument/2006/relationships/hyperlink" Target="http://example.com/carrelage1.jpg" TargetMode="External"/><Relationship Id="rId676" Type="http://schemas.openxmlformats.org/officeDocument/2006/relationships/hyperlink" Target="http://example.com/carrelage1.jpg" TargetMode="External"/><Relationship Id="rId883" Type="http://schemas.openxmlformats.org/officeDocument/2006/relationships/hyperlink" Target="http://example.com/carrelage1.jpg" TargetMode="External"/><Relationship Id="rId1099" Type="http://schemas.openxmlformats.org/officeDocument/2006/relationships/hyperlink" Target="http://example.com/carrelage2.jpg" TargetMode="External"/><Relationship Id="rId231" Type="http://schemas.openxmlformats.org/officeDocument/2006/relationships/hyperlink" Target="http://example.com/carrelage3.jpg" TargetMode="External"/><Relationship Id="rId329" Type="http://schemas.openxmlformats.org/officeDocument/2006/relationships/hyperlink" Target="http://example.com/carrelage2.jpg" TargetMode="External"/><Relationship Id="rId536" Type="http://schemas.openxmlformats.org/officeDocument/2006/relationships/hyperlink" Target="http://example.com/carrelage2.jpg" TargetMode="External"/><Relationship Id="rId1166" Type="http://schemas.openxmlformats.org/officeDocument/2006/relationships/hyperlink" Target="http://example.com/carrelage3.jpg" TargetMode="External"/><Relationship Id="rId1373" Type="http://schemas.openxmlformats.org/officeDocument/2006/relationships/hyperlink" Target="http://example.com/carrelage3.jpg" TargetMode="External"/><Relationship Id="rId743" Type="http://schemas.openxmlformats.org/officeDocument/2006/relationships/hyperlink" Target="http://example.com/carrelage2.jpg" TargetMode="External"/><Relationship Id="rId950" Type="http://schemas.openxmlformats.org/officeDocument/2006/relationships/hyperlink" Target="http://example.com/carrelage2.jpg" TargetMode="External"/><Relationship Id="rId1026" Type="http://schemas.openxmlformats.org/officeDocument/2006/relationships/hyperlink" Target="http://example.com/carrelage3.jpg" TargetMode="External"/><Relationship Id="rId1580" Type="http://schemas.openxmlformats.org/officeDocument/2006/relationships/hyperlink" Target="http://example.com/carrelage3.jpg" TargetMode="External"/><Relationship Id="rId1678" Type="http://schemas.openxmlformats.org/officeDocument/2006/relationships/hyperlink" Target="http://example.com/carrelage2.jpg" TargetMode="External"/><Relationship Id="rId1885" Type="http://schemas.openxmlformats.org/officeDocument/2006/relationships/hyperlink" Target="http://example.com/carrelage2.jpg" TargetMode="External"/><Relationship Id="rId603" Type="http://schemas.openxmlformats.org/officeDocument/2006/relationships/hyperlink" Target="http://example.com/carrelage3.jpg" TargetMode="External"/><Relationship Id="rId810" Type="http://schemas.openxmlformats.org/officeDocument/2006/relationships/hyperlink" Target="http://example.com/carrelage3.jpg" TargetMode="External"/><Relationship Id="rId908" Type="http://schemas.openxmlformats.org/officeDocument/2006/relationships/hyperlink" Target="http://example.com/carrelage2.jpg" TargetMode="External"/><Relationship Id="rId1233" Type="http://schemas.openxmlformats.org/officeDocument/2006/relationships/hyperlink" Target="http://example.com/carrelage1.jpg" TargetMode="External"/><Relationship Id="rId1440" Type="http://schemas.openxmlformats.org/officeDocument/2006/relationships/hyperlink" Target="http://example.com/carrelage1.jpg" TargetMode="External"/><Relationship Id="rId1538" Type="http://schemas.openxmlformats.org/officeDocument/2006/relationships/hyperlink" Target="http://example.com/carrelage3.jpg" TargetMode="External"/><Relationship Id="rId1300" Type="http://schemas.openxmlformats.org/officeDocument/2006/relationships/hyperlink" Target="http://example.com/carrelage2.jpg" TargetMode="External"/><Relationship Id="rId1745" Type="http://schemas.openxmlformats.org/officeDocument/2006/relationships/hyperlink" Target="http://example.com/carrelage3.jpg" TargetMode="External"/><Relationship Id="rId1952" Type="http://schemas.openxmlformats.org/officeDocument/2006/relationships/hyperlink" Target="http://example.com/carrelage1.jpg" TargetMode="External"/><Relationship Id="rId37" Type="http://schemas.openxmlformats.org/officeDocument/2006/relationships/hyperlink" Target="http://example.com/carrelage1.jpg" TargetMode="External"/><Relationship Id="rId1605" Type="http://schemas.openxmlformats.org/officeDocument/2006/relationships/hyperlink" Target="http://example.com/carrelage1.jpg" TargetMode="External"/><Relationship Id="rId1812" Type="http://schemas.openxmlformats.org/officeDocument/2006/relationships/hyperlink" Target="http://example.com/carrelage1.jpg" TargetMode="External"/><Relationship Id="rId186" Type="http://schemas.openxmlformats.org/officeDocument/2006/relationships/hyperlink" Target="http://example.com/carrelage3.jpg" TargetMode="External"/><Relationship Id="rId393" Type="http://schemas.openxmlformats.org/officeDocument/2006/relationships/hyperlink" Target="http://example.com/carrelage3.jpg" TargetMode="External"/><Relationship Id="rId253" Type="http://schemas.openxmlformats.org/officeDocument/2006/relationships/hyperlink" Target="http://example.com/carrelage1.jpg" TargetMode="External"/><Relationship Id="rId460" Type="http://schemas.openxmlformats.org/officeDocument/2006/relationships/hyperlink" Target="http://example.com/carrelage1.jpg" TargetMode="External"/><Relationship Id="rId698" Type="http://schemas.openxmlformats.org/officeDocument/2006/relationships/hyperlink" Target="http://example.com/carrelage2.jpg" TargetMode="External"/><Relationship Id="rId1090" Type="http://schemas.openxmlformats.org/officeDocument/2006/relationships/hyperlink" Target="http://example.com/meuble2.jpg" TargetMode="External"/><Relationship Id="rId113" Type="http://schemas.openxmlformats.org/officeDocument/2006/relationships/hyperlink" Target="http://example.com/carrelage2.jpg" TargetMode="External"/><Relationship Id="rId320" Type="http://schemas.openxmlformats.org/officeDocument/2006/relationships/hyperlink" Target="http://example.com/carrelage2.jpg" TargetMode="External"/><Relationship Id="rId558" Type="http://schemas.openxmlformats.org/officeDocument/2006/relationships/hyperlink" Target="http://example.com/carrelage3.jpg" TargetMode="External"/><Relationship Id="rId765" Type="http://schemas.openxmlformats.org/officeDocument/2006/relationships/hyperlink" Target="http://example.com/carrelage3.jpg" TargetMode="External"/><Relationship Id="rId972" Type="http://schemas.openxmlformats.org/officeDocument/2006/relationships/hyperlink" Target="http://example.com/carrelage3.jpg" TargetMode="External"/><Relationship Id="rId1188" Type="http://schemas.openxmlformats.org/officeDocument/2006/relationships/hyperlink" Target="http://example.com/carrelage1.jpg" TargetMode="External"/><Relationship Id="rId1395" Type="http://schemas.openxmlformats.org/officeDocument/2006/relationships/hyperlink" Target="http://example.com/carrelage1.jpg" TargetMode="External"/><Relationship Id="rId418" Type="http://schemas.openxmlformats.org/officeDocument/2006/relationships/hyperlink" Target="http://example.com/carrelage1.jpg" TargetMode="External"/><Relationship Id="rId625" Type="http://schemas.openxmlformats.org/officeDocument/2006/relationships/hyperlink" Target="http://example.com/carrelage1.jpg" TargetMode="External"/><Relationship Id="rId832" Type="http://schemas.openxmlformats.org/officeDocument/2006/relationships/hyperlink" Target="http://example.com/carrelage1.jpg" TargetMode="External"/><Relationship Id="rId1048" Type="http://schemas.openxmlformats.org/officeDocument/2006/relationships/hyperlink" Target="http://example.com/carrelage1.jpg" TargetMode="External"/><Relationship Id="rId1255" Type="http://schemas.openxmlformats.org/officeDocument/2006/relationships/hyperlink" Target="http://example.com/carrelage2.jpg" TargetMode="External"/><Relationship Id="rId1462" Type="http://schemas.openxmlformats.org/officeDocument/2006/relationships/hyperlink" Target="http://example.com/carrelage2.jpg" TargetMode="External"/><Relationship Id="rId1115" Type="http://schemas.openxmlformats.org/officeDocument/2006/relationships/hyperlink" Target="http://example.com/carrelage3.jpg" TargetMode="External"/><Relationship Id="rId1322" Type="http://schemas.openxmlformats.org/officeDocument/2006/relationships/hyperlink" Target="http://example.com/carrelage3.jpg" TargetMode="External"/><Relationship Id="rId1767" Type="http://schemas.openxmlformats.org/officeDocument/2006/relationships/hyperlink" Target="http://example.com/carrelage1.jpg" TargetMode="External"/><Relationship Id="rId1974" Type="http://schemas.openxmlformats.org/officeDocument/2006/relationships/hyperlink" Target="http://example.com/carrelage3.jpg" TargetMode="External"/><Relationship Id="rId59" Type="http://schemas.openxmlformats.org/officeDocument/2006/relationships/hyperlink" Target="http://example.com/carrelage2.jpg" TargetMode="External"/><Relationship Id="rId1627" Type="http://schemas.openxmlformats.org/officeDocument/2006/relationships/hyperlink" Target="http://example.com/carrelage2.jpg" TargetMode="External"/><Relationship Id="rId1834" Type="http://schemas.openxmlformats.org/officeDocument/2006/relationships/hyperlink" Target="http://example.com/carrelage2.jpg" TargetMode="External"/><Relationship Id="rId1901" Type="http://schemas.openxmlformats.org/officeDocument/2006/relationships/hyperlink" Target="http://example.com/carrelage3.jpg" TargetMode="External"/><Relationship Id="rId275" Type="http://schemas.openxmlformats.org/officeDocument/2006/relationships/hyperlink" Target="http://example.com/carrelage2.jpg" TargetMode="External"/><Relationship Id="rId482" Type="http://schemas.openxmlformats.org/officeDocument/2006/relationships/hyperlink" Target="http://example.com/carrelage2.jpg" TargetMode="External"/><Relationship Id="rId135" Type="http://schemas.openxmlformats.org/officeDocument/2006/relationships/hyperlink" Target="http://example.com/carrelage3.jpg" TargetMode="External"/><Relationship Id="rId342" Type="http://schemas.openxmlformats.org/officeDocument/2006/relationships/hyperlink" Target="http://example.com/carrelage3.jpg" TargetMode="External"/><Relationship Id="rId787" Type="http://schemas.openxmlformats.org/officeDocument/2006/relationships/hyperlink" Target="http://example.com/carrelage1.jpg" TargetMode="External"/><Relationship Id="rId994" Type="http://schemas.openxmlformats.org/officeDocument/2006/relationships/hyperlink" Target="http://example.com/carrelage1.jp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example.com/carrelage2.jpg" TargetMode="External"/><Relationship Id="rId671" Type="http://schemas.openxmlformats.org/officeDocument/2006/relationships/hyperlink" Target="http://example.com/carrelage1.jpg" TargetMode="External"/><Relationship Id="rId769" Type="http://schemas.openxmlformats.org/officeDocument/2006/relationships/hyperlink" Target="http://example.com/carrelage1.jpg" TargetMode="External"/><Relationship Id="rId21" Type="http://schemas.openxmlformats.org/officeDocument/2006/relationships/hyperlink" Target="http://example.com/carrelage3.jpg" TargetMode="External"/><Relationship Id="rId324" Type="http://schemas.openxmlformats.org/officeDocument/2006/relationships/hyperlink" Target="http://example.com/carrelage2.jpg" TargetMode="External"/><Relationship Id="rId531" Type="http://schemas.openxmlformats.org/officeDocument/2006/relationships/hyperlink" Target="http://example.com/carrelage2.jpg" TargetMode="External"/><Relationship Id="rId629" Type="http://schemas.openxmlformats.org/officeDocument/2006/relationships/hyperlink" Target="http://example.com/carrelage3.jpg" TargetMode="External"/><Relationship Id="rId170" Type="http://schemas.openxmlformats.org/officeDocument/2006/relationships/hyperlink" Target="http://example.com/carrelage3.jpg" TargetMode="External"/><Relationship Id="rId268" Type="http://schemas.openxmlformats.org/officeDocument/2006/relationships/hyperlink" Target="http://example.com/carrelage1.jpg" TargetMode="External"/><Relationship Id="rId475" Type="http://schemas.openxmlformats.org/officeDocument/2006/relationships/hyperlink" Target="http://example.com/carrelage1.jpg" TargetMode="External"/><Relationship Id="rId682" Type="http://schemas.openxmlformats.org/officeDocument/2006/relationships/hyperlink" Target="http://example.com/carrelage1.jpg" TargetMode="External"/><Relationship Id="rId32" Type="http://schemas.openxmlformats.org/officeDocument/2006/relationships/hyperlink" Target="http://example.com/carrelage2.jpg" TargetMode="External"/><Relationship Id="rId128" Type="http://schemas.openxmlformats.org/officeDocument/2006/relationships/hyperlink" Target="http://example.com/carrelage2.jpg" TargetMode="External"/><Relationship Id="rId335" Type="http://schemas.openxmlformats.org/officeDocument/2006/relationships/hyperlink" Target="http://example.com/carrelage2.jpg" TargetMode="External"/><Relationship Id="rId542" Type="http://schemas.openxmlformats.org/officeDocument/2006/relationships/hyperlink" Target="http://example.com/carrelage2.jpg" TargetMode="External"/><Relationship Id="rId181" Type="http://schemas.openxmlformats.org/officeDocument/2006/relationships/hyperlink" Target="http://example.com/carrelage3.jpg" TargetMode="External"/><Relationship Id="rId402" Type="http://schemas.openxmlformats.org/officeDocument/2006/relationships/hyperlink" Target="http://example.com/carrelage3.jpg" TargetMode="External"/><Relationship Id="rId279" Type="http://schemas.openxmlformats.org/officeDocument/2006/relationships/hyperlink" Target="http://example.com/carrelage1.jpg" TargetMode="External"/><Relationship Id="rId486" Type="http://schemas.openxmlformats.org/officeDocument/2006/relationships/hyperlink" Target="http://example.com/carrelage1.jpg" TargetMode="External"/><Relationship Id="rId693" Type="http://schemas.openxmlformats.org/officeDocument/2006/relationships/hyperlink" Target="http://example.com/carrelage1.jpg" TargetMode="External"/><Relationship Id="rId707" Type="http://schemas.openxmlformats.org/officeDocument/2006/relationships/hyperlink" Target="http://example.com/carrelage2.jpg" TargetMode="External"/><Relationship Id="rId43" Type="http://schemas.openxmlformats.org/officeDocument/2006/relationships/hyperlink" Target="http://example.com/carrelage1.jpg" TargetMode="External"/><Relationship Id="rId139" Type="http://schemas.openxmlformats.org/officeDocument/2006/relationships/hyperlink" Target="http://example.com/carrelage2.jpg" TargetMode="External"/><Relationship Id="rId346" Type="http://schemas.openxmlformats.org/officeDocument/2006/relationships/hyperlink" Target="http://example.com/carrelage2.jpg" TargetMode="External"/><Relationship Id="rId553" Type="http://schemas.openxmlformats.org/officeDocument/2006/relationships/hyperlink" Target="http://example.com/carrelage2.jpg" TargetMode="External"/><Relationship Id="rId760" Type="http://schemas.openxmlformats.org/officeDocument/2006/relationships/hyperlink" Target="http://example.com/carrelage2.jpg" TargetMode="External"/><Relationship Id="rId192" Type="http://schemas.openxmlformats.org/officeDocument/2006/relationships/hyperlink" Target="http://example.com/carrelage3.jpg" TargetMode="External"/><Relationship Id="rId206" Type="http://schemas.openxmlformats.org/officeDocument/2006/relationships/hyperlink" Target="http://example.com/carrelage3.jpg" TargetMode="External"/><Relationship Id="rId413" Type="http://schemas.openxmlformats.org/officeDocument/2006/relationships/hyperlink" Target="http://example.com/carrelage3.jpg" TargetMode="External"/><Relationship Id="rId497" Type="http://schemas.openxmlformats.org/officeDocument/2006/relationships/hyperlink" Target="http://example.com/carrelage1.jpg" TargetMode="External"/><Relationship Id="rId620" Type="http://schemas.openxmlformats.org/officeDocument/2006/relationships/hyperlink" Target="http://example.com/carrelage3.jpg" TargetMode="External"/><Relationship Id="rId718" Type="http://schemas.openxmlformats.org/officeDocument/2006/relationships/hyperlink" Target="http://example.com/carrelage2.jpg" TargetMode="External"/><Relationship Id="rId357" Type="http://schemas.openxmlformats.org/officeDocument/2006/relationships/hyperlink" Target="http://example.com/carrelage2.jpg" TargetMode="External"/><Relationship Id="rId54" Type="http://schemas.openxmlformats.org/officeDocument/2006/relationships/hyperlink" Target="http://example.com/carrelage1.jpg" TargetMode="External"/><Relationship Id="rId217" Type="http://schemas.openxmlformats.org/officeDocument/2006/relationships/hyperlink" Target="http://example.com/carrelage3.jpg" TargetMode="External"/><Relationship Id="rId564" Type="http://schemas.openxmlformats.org/officeDocument/2006/relationships/hyperlink" Target="http://example.com/carrelage2.jpg" TargetMode="External"/><Relationship Id="rId771" Type="http://schemas.openxmlformats.org/officeDocument/2006/relationships/hyperlink" Target="http://example.com/carrelage1.jpg" TargetMode="External"/><Relationship Id="rId424" Type="http://schemas.openxmlformats.org/officeDocument/2006/relationships/hyperlink" Target="http://example.com/carrelage3.jpg" TargetMode="External"/><Relationship Id="rId631" Type="http://schemas.openxmlformats.org/officeDocument/2006/relationships/hyperlink" Target="http://example.com/carrelage3.jpg" TargetMode="External"/><Relationship Id="rId729" Type="http://schemas.openxmlformats.org/officeDocument/2006/relationships/hyperlink" Target="http://example.com/carrelage2.jpg" TargetMode="External"/><Relationship Id="rId270" Type="http://schemas.openxmlformats.org/officeDocument/2006/relationships/hyperlink" Target="http://example.com/carrelage1.jpg" TargetMode="External"/><Relationship Id="rId65" Type="http://schemas.openxmlformats.org/officeDocument/2006/relationships/hyperlink" Target="http://example.com/carrelage1.jpg" TargetMode="External"/><Relationship Id="rId130" Type="http://schemas.openxmlformats.org/officeDocument/2006/relationships/hyperlink" Target="http://example.com/carrelage2.jpg" TargetMode="External"/><Relationship Id="rId368" Type="http://schemas.openxmlformats.org/officeDocument/2006/relationships/hyperlink" Target="http://example.com/carrelage2.jpg" TargetMode="External"/><Relationship Id="rId575" Type="http://schemas.openxmlformats.org/officeDocument/2006/relationships/hyperlink" Target="http://example.com/carrelage2.jpg" TargetMode="External"/><Relationship Id="rId782" Type="http://schemas.openxmlformats.org/officeDocument/2006/relationships/hyperlink" Target="http://example.com/carrelage2.jpg" TargetMode="External"/><Relationship Id="rId228" Type="http://schemas.openxmlformats.org/officeDocument/2006/relationships/hyperlink" Target="http://example.com/carrelage3.jpg" TargetMode="External"/><Relationship Id="rId435" Type="http://schemas.openxmlformats.org/officeDocument/2006/relationships/hyperlink" Target="http://example.com/carrelage3.jpg" TargetMode="External"/><Relationship Id="rId642" Type="http://schemas.openxmlformats.org/officeDocument/2006/relationships/hyperlink" Target="http://example.com/carrelage3.jpg" TargetMode="External"/><Relationship Id="rId281" Type="http://schemas.openxmlformats.org/officeDocument/2006/relationships/hyperlink" Target="http://example.com/carrelage1.jpg" TargetMode="External"/><Relationship Id="rId502" Type="http://schemas.openxmlformats.org/officeDocument/2006/relationships/hyperlink" Target="http://example.com/carrelage1.jpg" TargetMode="External"/><Relationship Id="rId76" Type="http://schemas.openxmlformats.org/officeDocument/2006/relationships/hyperlink" Target="http://example.com/carrelage1.jpg" TargetMode="External"/><Relationship Id="rId141" Type="http://schemas.openxmlformats.org/officeDocument/2006/relationships/hyperlink" Target="http://example.com/carrelage2.jpg" TargetMode="External"/><Relationship Id="rId379" Type="http://schemas.openxmlformats.org/officeDocument/2006/relationships/hyperlink" Target="http://example.com/carrelage3.jpg" TargetMode="External"/><Relationship Id="rId586" Type="http://schemas.openxmlformats.org/officeDocument/2006/relationships/hyperlink" Target="http://example.com/carrelage3.jpg" TargetMode="External"/><Relationship Id="rId793" Type="http://schemas.openxmlformats.org/officeDocument/2006/relationships/hyperlink" Target="http://example.com/carrelage3.jpg" TargetMode="External"/><Relationship Id="rId807" Type="http://schemas.openxmlformats.org/officeDocument/2006/relationships/hyperlink" Target="http://example.com/carrelage2.jpg" TargetMode="External"/><Relationship Id="rId7" Type="http://schemas.openxmlformats.org/officeDocument/2006/relationships/hyperlink" Target="http://example.com/carrelage1.jpg" TargetMode="External"/><Relationship Id="rId239" Type="http://schemas.openxmlformats.org/officeDocument/2006/relationships/hyperlink" Target="http://example.com/carrelage1.jpg" TargetMode="External"/><Relationship Id="rId446" Type="http://schemas.openxmlformats.org/officeDocument/2006/relationships/hyperlink" Target="http://example.com/carrelage1.jpg" TargetMode="External"/><Relationship Id="rId653" Type="http://schemas.openxmlformats.org/officeDocument/2006/relationships/hyperlink" Target="http://example.com/carrelage1.jpg" TargetMode="External"/><Relationship Id="rId292" Type="http://schemas.openxmlformats.org/officeDocument/2006/relationships/hyperlink" Target="http://example.com/carrelage1.jpg" TargetMode="External"/><Relationship Id="rId306" Type="http://schemas.openxmlformats.org/officeDocument/2006/relationships/hyperlink" Target="http://example.com/carrelage2.jpg" TargetMode="External"/><Relationship Id="rId87" Type="http://schemas.openxmlformats.org/officeDocument/2006/relationships/hyperlink" Target="http://example.com/carrelage1.jpg" TargetMode="External"/><Relationship Id="rId513" Type="http://schemas.openxmlformats.org/officeDocument/2006/relationships/hyperlink" Target="http://example.com/carrelage2.jpg" TargetMode="External"/><Relationship Id="rId597" Type="http://schemas.openxmlformats.org/officeDocument/2006/relationships/hyperlink" Target="http://example.com/carrelage3.jpg" TargetMode="External"/><Relationship Id="rId720" Type="http://schemas.openxmlformats.org/officeDocument/2006/relationships/hyperlink" Target="http://example.com/carrelage2.jpg" TargetMode="External"/><Relationship Id="rId152" Type="http://schemas.openxmlformats.org/officeDocument/2006/relationships/hyperlink" Target="http://example.com/carrelage2.jpg" TargetMode="External"/><Relationship Id="rId457" Type="http://schemas.openxmlformats.org/officeDocument/2006/relationships/hyperlink" Target="http://example.com/carrelage1.jpg" TargetMode="External"/><Relationship Id="rId664" Type="http://schemas.openxmlformats.org/officeDocument/2006/relationships/hyperlink" Target="http://example.com/carrelage2.jpg" TargetMode="External"/><Relationship Id="rId14" Type="http://schemas.openxmlformats.org/officeDocument/2006/relationships/hyperlink" Target="http://example.com/carrelage2.jpg" TargetMode="External"/><Relationship Id="rId317" Type="http://schemas.openxmlformats.org/officeDocument/2006/relationships/hyperlink" Target="http://example.com/carrelage2.jpg" TargetMode="External"/><Relationship Id="rId524" Type="http://schemas.openxmlformats.org/officeDocument/2006/relationships/hyperlink" Target="http://example.com/carrelage2.jpg" TargetMode="External"/><Relationship Id="rId731" Type="http://schemas.openxmlformats.org/officeDocument/2006/relationships/hyperlink" Target="http://example.com/carrelage3.jpg" TargetMode="External"/><Relationship Id="rId98" Type="http://schemas.openxmlformats.org/officeDocument/2006/relationships/hyperlink" Target="http://example.com/carrelage1.jpg" TargetMode="External"/><Relationship Id="rId163" Type="http://schemas.openxmlformats.org/officeDocument/2006/relationships/hyperlink" Target="http://example.com/carrelage2.jpg" TargetMode="External"/><Relationship Id="rId370" Type="http://schemas.openxmlformats.org/officeDocument/2006/relationships/hyperlink" Target="http://example.com/carrelage3.jpg" TargetMode="External"/><Relationship Id="rId230" Type="http://schemas.openxmlformats.org/officeDocument/2006/relationships/hyperlink" Target="http://example.com/carrelage3.jpg" TargetMode="External"/><Relationship Id="rId468" Type="http://schemas.openxmlformats.org/officeDocument/2006/relationships/hyperlink" Target="http://example.com/carrelage1.jpg" TargetMode="External"/><Relationship Id="rId675" Type="http://schemas.openxmlformats.org/officeDocument/2006/relationships/hyperlink" Target="http://example.com/carrelage2.jpg" TargetMode="External"/><Relationship Id="rId25" Type="http://schemas.openxmlformats.org/officeDocument/2006/relationships/hyperlink" Target="http://example.com/carrelage1.jpg" TargetMode="External"/><Relationship Id="rId328" Type="http://schemas.openxmlformats.org/officeDocument/2006/relationships/hyperlink" Target="http://example.com/carrelage2.jpg" TargetMode="External"/><Relationship Id="rId535" Type="http://schemas.openxmlformats.org/officeDocument/2006/relationships/hyperlink" Target="http://example.com/carrelage2.jpg" TargetMode="External"/><Relationship Id="rId742" Type="http://schemas.openxmlformats.org/officeDocument/2006/relationships/hyperlink" Target="http://example.com/carrelage3.jpg" TargetMode="External"/><Relationship Id="rId174" Type="http://schemas.openxmlformats.org/officeDocument/2006/relationships/hyperlink" Target="http://example.com/carrelage3.jpg" TargetMode="External"/><Relationship Id="rId381" Type="http://schemas.openxmlformats.org/officeDocument/2006/relationships/hyperlink" Target="http://example.com/carrelage3.jpg" TargetMode="External"/><Relationship Id="rId602" Type="http://schemas.openxmlformats.org/officeDocument/2006/relationships/hyperlink" Target="http://example.com/carrelage3.jpg" TargetMode="External"/><Relationship Id="rId241" Type="http://schemas.openxmlformats.org/officeDocument/2006/relationships/hyperlink" Target="http://example.com/carrelage1.jpg" TargetMode="External"/><Relationship Id="rId479" Type="http://schemas.openxmlformats.org/officeDocument/2006/relationships/hyperlink" Target="http://example.com/carrelage1.jpg" TargetMode="External"/><Relationship Id="rId686" Type="http://schemas.openxmlformats.org/officeDocument/2006/relationships/hyperlink" Target="http://example.com/carrelage1.jpg" TargetMode="External"/><Relationship Id="rId36" Type="http://schemas.openxmlformats.org/officeDocument/2006/relationships/hyperlink" Target="http://example.com/carrelage3.jpg" TargetMode="External"/><Relationship Id="rId339" Type="http://schemas.openxmlformats.org/officeDocument/2006/relationships/hyperlink" Target="http://example.com/carrelage2.jpg" TargetMode="External"/><Relationship Id="rId546" Type="http://schemas.openxmlformats.org/officeDocument/2006/relationships/hyperlink" Target="http://example.com/carrelage2.jpg" TargetMode="External"/><Relationship Id="rId753" Type="http://schemas.openxmlformats.org/officeDocument/2006/relationships/hyperlink" Target="http://example.com/carrelage3.jpg" TargetMode="External"/><Relationship Id="rId101" Type="http://schemas.openxmlformats.org/officeDocument/2006/relationships/hyperlink" Target="http://example.com/carrelage1.jpg" TargetMode="External"/><Relationship Id="rId185" Type="http://schemas.openxmlformats.org/officeDocument/2006/relationships/hyperlink" Target="http://example.com/carrelage3.jpg" TargetMode="External"/><Relationship Id="rId406" Type="http://schemas.openxmlformats.org/officeDocument/2006/relationships/hyperlink" Target="http://example.com/carrelage3.jpg" TargetMode="External"/><Relationship Id="rId392" Type="http://schemas.openxmlformats.org/officeDocument/2006/relationships/hyperlink" Target="http://example.com/carrelage3.jpg" TargetMode="External"/><Relationship Id="rId613" Type="http://schemas.openxmlformats.org/officeDocument/2006/relationships/hyperlink" Target="http://example.com/carrelage3.jpg" TargetMode="External"/><Relationship Id="rId697" Type="http://schemas.openxmlformats.org/officeDocument/2006/relationships/hyperlink" Target="http://example.com/carrelage1.jpg" TargetMode="External"/><Relationship Id="rId252" Type="http://schemas.openxmlformats.org/officeDocument/2006/relationships/hyperlink" Target="http://example.com/carrelage1.jpg" TargetMode="External"/><Relationship Id="rId47" Type="http://schemas.openxmlformats.org/officeDocument/2006/relationships/hyperlink" Target="http://example.com/carrelage1.jpg" TargetMode="External"/><Relationship Id="rId112" Type="http://schemas.openxmlformats.org/officeDocument/2006/relationships/hyperlink" Target="http://example.com/carrelage2.jpg" TargetMode="External"/><Relationship Id="rId557" Type="http://schemas.openxmlformats.org/officeDocument/2006/relationships/hyperlink" Target="http://example.com/carrelage2.jpg" TargetMode="External"/><Relationship Id="rId764" Type="http://schemas.openxmlformats.org/officeDocument/2006/relationships/hyperlink" Target="http://example.com/carrelage3.jpg" TargetMode="External"/><Relationship Id="rId196" Type="http://schemas.openxmlformats.org/officeDocument/2006/relationships/hyperlink" Target="http://example.com/carrelage3.jpg" TargetMode="External"/><Relationship Id="rId417" Type="http://schemas.openxmlformats.org/officeDocument/2006/relationships/hyperlink" Target="http://example.com/carrelage3.jpg" TargetMode="External"/><Relationship Id="rId624" Type="http://schemas.openxmlformats.org/officeDocument/2006/relationships/hyperlink" Target="http://example.com/carrelage3.jpg" TargetMode="External"/><Relationship Id="rId263" Type="http://schemas.openxmlformats.org/officeDocument/2006/relationships/hyperlink" Target="http://example.com/carrelage1.jpg" TargetMode="External"/><Relationship Id="rId470" Type="http://schemas.openxmlformats.org/officeDocument/2006/relationships/hyperlink" Target="http://example.com/carrelage1.jpg" TargetMode="External"/><Relationship Id="rId58" Type="http://schemas.openxmlformats.org/officeDocument/2006/relationships/hyperlink" Target="http://example.com/carrelage1.jpg" TargetMode="External"/><Relationship Id="rId123" Type="http://schemas.openxmlformats.org/officeDocument/2006/relationships/hyperlink" Target="http://example.com/carrelage2.jpg" TargetMode="External"/><Relationship Id="rId330" Type="http://schemas.openxmlformats.org/officeDocument/2006/relationships/hyperlink" Target="http://example.com/carrelage2.jpg" TargetMode="External"/><Relationship Id="rId568" Type="http://schemas.openxmlformats.org/officeDocument/2006/relationships/hyperlink" Target="http://example.com/carrelage2.jpg" TargetMode="External"/><Relationship Id="rId775" Type="http://schemas.openxmlformats.org/officeDocument/2006/relationships/hyperlink" Target="http://example.com/carrelage1.jpg" TargetMode="External"/><Relationship Id="rId428" Type="http://schemas.openxmlformats.org/officeDocument/2006/relationships/hyperlink" Target="http://example.com/carrelage3.jpg" TargetMode="External"/><Relationship Id="rId635" Type="http://schemas.openxmlformats.org/officeDocument/2006/relationships/hyperlink" Target="http://example.com/carrelage3.jpg" TargetMode="External"/><Relationship Id="rId274" Type="http://schemas.openxmlformats.org/officeDocument/2006/relationships/hyperlink" Target="http://example.com/carrelage1.jpg" TargetMode="External"/><Relationship Id="rId481" Type="http://schemas.openxmlformats.org/officeDocument/2006/relationships/hyperlink" Target="http://example.com/carrelage1.jpg" TargetMode="External"/><Relationship Id="rId702" Type="http://schemas.openxmlformats.org/officeDocument/2006/relationships/hyperlink" Target="http://example.com/carrelage1.jpg" TargetMode="External"/><Relationship Id="rId69" Type="http://schemas.openxmlformats.org/officeDocument/2006/relationships/hyperlink" Target="http://example.com/carrelage1.jpg" TargetMode="External"/><Relationship Id="rId134" Type="http://schemas.openxmlformats.org/officeDocument/2006/relationships/hyperlink" Target="http://example.com/carrelage2.jpg" TargetMode="External"/><Relationship Id="rId579" Type="http://schemas.openxmlformats.org/officeDocument/2006/relationships/hyperlink" Target="http://example.com/carrelage3.jpg" TargetMode="External"/><Relationship Id="rId786" Type="http://schemas.openxmlformats.org/officeDocument/2006/relationships/hyperlink" Target="http://example.com/carrelage2.jpg" TargetMode="External"/><Relationship Id="rId341" Type="http://schemas.openxmlformats.org/officeDocument/2006/relationships/hyperlink" Target="http://example.com/carrelage2.jpg" TargetMode="External"/><Relationship Id="rId439" Type="http://schemas.openxmlformats.org/officeDocument/2006/relationships/hyperlink" Target="http://example.com/carrelage1.jpg" TargetMode="External"/><Relationship Id="rId646" Type="http://schemas.openxmlformats.org/officeDocument/2006/relationships/hyperlink" Target="http://example.com/carrelage1.jpg" TargetMode="External"/><Relationship Id="rId201" Type="http://schemas.openxmlformats.org/officeDocument/2006/relationships/hyperlink" Target="http://example.com/carrelage3.jpg" TargetMode="External"/><Relationship Id="rId285" Type="http://schemas.openxmlformats.org/officeDocument/2006/relationships/hyperlink" Target="http://example.com/carrelage1.jpg" TargetMode="External"/><Relationship Id="rId506" Type="http://schemas.openxmlformats.org/officeDocument/2006/relationships/hyperlink" Target="http://example.com/carrelage2.jpg" TargetMode="External"/><Relationship Id="rId492" Type="http://schemas.openxmlformats.org/officeDocument/2006/relationships/hyperlink" Target="http://example.com/carrelage1.jpg" TargetMode="External"/><Relationship Id="rId713" Type="http://schemas.openxmlformats.org/officeDocument/2006/relationships/hyperlink" Target="http://example.com/carrelage2.jpg" TargetMode="External"/><Relationship Id="rId797" Type="http://schemas.openxmlformats.org/officeDocument/2006/relationships/hyperlink" Target="http://example.com/carrelage3.jpg" TargetMode="External"/><Relationship Id="rId145" Type="http://schemas.openxmlformats.org/officeDocument/2006/relationships/hyperlink" Target="http://example.com/carrelage2.jpg" TargetMode="External"/><Relationship Id="rId352" Type="http://schemas.openxmlformats.org/officeDocument/2006/relationships/hyperlink" Target="http://example.com/carrelage2.jpg" TargetMode="External"/><Relationship Id="rId212" Type="http://schemas.openxmlformats.org/officeDocument/2006/relationships/hyperlink" Target="http://example.com/carrelage3.jpg" TargetMode="External"/><Relationship Id="rId657" Type="http://schemas.openxmlformats.org/officeDocument/2006/relationships/hyperlink" Target="http://example.com/carrelage3.jpg" TargetMode="External"/><Relationship Id="rId296" Type="http://schemas.openxmlformats.org/officeDocument/2006/relationships/hyperlink" Target="http://example.com/carrelage1.jpg" TargetMode="External"/><Relationship Id="rId517" Type="http://schemas.openxmlformats.org/officeDocument/2006/relationships/hyperlink" Target="http://example.com/carrelage2.jpg" TargetMode="External"/><Relationship Id="rId724" Type="http://schemas.openxmlformats.org/officeDocument/2006/relationships/hyperlink" Target="http://example.com/carrelage2.jpg" TargetMode="External"/><Relationship Id="rId60" Type="http://schemas.openxmlformats.org/officeDocument/2006/relationships/hyperlink" Target="http://example.com/carrelage1.jpg" TargetMode="External"/><Relationship Id="rId156" Type="http://schemas.openxmlformats.org/officeDocument/2006/relationships/hyperlink" Target="http://example.com/carrelage2.jpg" TargetMode="External"/><Relationship Id="rId363" Type="http://schemas.openxmlformats.org/officeDocument/2006/relationships/hyperlink" Target="http://example.com/carrelage2.jpg" TargetMode="External"/><Relationship Id="rId570" Type="http://schemas.openxmlformats.org/officeDocument/2006/relationships/hyperlink" Target="http://example.com/carrelage2.jpg" TargetMode="External"/><Relationship Id="rId223" Type="http://schemas.openxmlformats.org/officeDocument/2006/relationships/hyperlink" Target="http://example.com/carrelage3.jpg" TargetMode="External"/><Relationship Id="rId430" Type="http://schemas.openxmlformats.org/officeDocument/2006/relationships/hyperlink" Target="http://example.com/carrelage3.jpg" TargetMode="External"/><Relationship Id="rId668" Type="http://schemas.openxmlformats.org/officeDocument/2006/relationships/hyperlink" Target="http://example.com/carrelage3.jpg" TargetMode="External"/><Relationship Id="rId18" Type="http://schemas.openxmlformats.org/officeDocument/2006/relationships/hyperlink" Target="http://example.com/carrelage3.jpg" TargetMode="External"/><Relationship Id="rId528" Type="http://schemas.openxmlformats.org/officeDocument/2006/relationships/hyperlink" Target="http://example.com/carrelage2.jpg" TargetMode="External"/><Relationship Id="rId735" Type="http://schemas.openxmlformats.org/officeDocument/2006/relationships/hyperlink" Target="http://example.com/carrelage3.jpg" TargetMode="External"/><Relationship Id="rId167" Type="http://schemas.openxmlformats.org/officeDocument/2006/relationships/hyperlink" Target="http://example.com/carrelage2.jpg" TargetMode="External"/><Relationship Id="rId374" Type="http://schemas.openxmlformats.org/officeDocument/2006/relationships/hyperlink" Target="http://example.com/carrelage3.jpg" TargetMode="External"/><Relationship Id="rId581" Type="http://schemas.openxmlformats.org/officeDocument/2006/relationships/hyperlink" Target="http://example.com/carrelage3.jpg" TargetMode="External"/><Relationship Id="rId71" Type="http://schemas.openxmlformats.org/officeDocument/2006/relationships/hyperlink" Target="http://example.com/carrelage1.jpg" TargetMode="External"/><Relationship Id="rId234" Type="http://schemas.openxmlformats.org/officeDocument/2006/relationships/hyperlink" Target="http://example.com/carrelage3.jpg" TargetMode="External"/><Relationship Id="rId679" Type="http://schemas.openxmlformats.org/officeDocument/2006/relationships/hyperlink" Target="http://example.com/carrelage3.jpg" TargetMode="External"/><Relationship Id="rId802" Type="http://schemas.openxmlformats.org/officeDocument/2006/relationships/hyperlink" Target="http://example.com/carrelage1.jpg" TargetMode="External"/><Relationship Id="rId2" Type="http://schemas.openxmlformats.org/officeDocument/2006/relationships/hyperlink" Target="http://example.com/carrelage2.jpg" TargetMode="External"/><Relationship Id="rId29" Type="http://schemas.openxmlformats.org/officeDocument/2006/relationships/hyperlink" Target="http://example.com/carrelage2.jpg" TargetMode="External"/><Relationship Id="rId441" Type="http://schemas.openxmlformats.org/officeDocument/2006/relationships/hyperlink" Target="http://example.com/carrelage1.jpg" TargetMode="External"/><Relationship Id="rId539" Type="http://schemas.openxmlformats.org/officeDocument/2006/relationships/hyperlink" Target="http://example.com/carrelage2.jpg" TargetMode="External"/><Relationship Id="rId746" Type="http://schemas.openxmlformats.org/officeDocument/2006/relationships/hyperlink" Target="http://example.com/carrelage3.jpg" TargetMode="External"/><Relationship Id="rId178" Type="http://schemas.openxmlformats.org/officeDocument/2006/relationships/hyperlink" Target="http://example.com/carrelage3.jpg" TargetMode="External"/><Relationship Id="rId301" Type="http://schemas.openxmlformats.org/officeDocument/2006/relationships/hyperlink" Target="http://example.com/carrelage1.jpg" TargetMode="External"/><Relationship Id="rId82" Type="http://schemas.openxmlformats.org/officeDocument/2006/relationships/hyperlink" Target="http://example.com/carrelage1.jpg" TargetMode="External"/><Relationship Id="rId385" Type="http://schemas.openxmlformats.org/officeDocument/2006/relationships/hyperlink" Target="http://example.com/carrelage3.jpg" TargetMode="External"/><Relationship Id="rId592" Type="http://schemas.openxmlformats.org/officeDocument/2006/relationships/hyperlink" Target="http://example.com/carrelage3.jpg" TargetMode="External"/><Relationship Id="rId606" Type="http://schemas.openxmlformats.org/officeDocument/2006/relationships/hyperlink" Target="http://example.com/carrelage3.jpg" TargetMode="External"/><Relationship Id="rId813" Type="http://schemas.openxmlformats.org/officeDocument/2006/relationships/hyperlink" Target="http://example.com/carrelage3.jpg" TargetMode="External"/><Relationship Id="rId245" Type="http://schemas.openxmlformats.org/officeDocument/2006/relationships/hyperlink" Target="http://example.com/carrelage1.jpg" TargetMode="External"/><Relationship Id="rId452" Type="http://schemas.openxmlformats.org/officeDocument/2006/relationships/hyperlink" Target="http://example.com/carrelage1.jpg" TargetMode="External"/><Relationship Id="rId105" Type="http://schemas.openxmlformats.org/officeDocument/2006/relationships/hyperlink" Target="http://example.com/carrelage2.jpg" TargetMode="External"/><Relationship Id="rId312" Type="http://schemas.openxmlformats.org/officeDocument/2006/relationships/hyperlink" Target="http://example.com/carrelage2.jpg" TargetMode="External"/><Relationship Id="rId757" Type="http://schemas.openxmlformats.org/officeDocument/2006/relationships/hyperlink" Target="http://example.com/carrelage1.jpg" TargetMode="External"/><Relationship Id="rId93" Type="http://schemas.openxmlformats.org/officeDocument/2006/relationships/hyperlink" Target="http://example.com/carrelage1.jpg" TargetMode="External"/><Relationship Id="rId189" Type="http://schemas.openxmlformats.org/officeDocument/2006/relationships/hyperlink" Target="http://example.com/carrelage3.jpg" TargetMode="External"/><Relationship Id="rId396" Type="http://schemas.openxmlformats.org/officeDocument/2006/relationships/hyperlink" Target="http://example.com/carrelage3.jpg" TargetMode="External"/><Relationship Id="rId617" Type="http://schemas.openxmlformats.org/officeDocument/2006/relationships/hyperlink" Target="http://example.com/carrelage3.jpg" TargetMode="External"/><Relationship Id="rId256" Type="http://schemas.openxmlformats.org/officeDocument/2006/relationships/hyperlink" Target="http://example.com/carrelage1.jpg" TargetMode="External"/><Relationship Id="rId463" Type="http://schemas.openxmlformats.org/officeDocument/2006/relationships/hyperlink" Target="http://example.com/carrelage1.jpg" TargetMode="External"/><Relationship Id="rId670" Type="http://schemas.openxmlformats.org/officeDocument/2006/relationships/hyperlink" Target="http://example.com/carrelage1.jpg" TargetMode="External"/><Relationship Id="rId116" Type="http://schemas.openxmlformats.org/officeDocument/2006/relationships/hyperlink" Target="http://example.com/carrelage2.jpg" TargetMode="External"/><Relationship Id="rId323" Type="http://schemas.openxmlformats.org/officeDocument/2006/relationships/hyperlink" Target="http://example.com/carrelage2.jpg" TargetMode="External"/><Relationship Id="rId530" Type="http://schemas.openxmlformats.org/officeDocument/2006/relationships/hyperlink" Target="http://example.com/carrelage2.jpg" TargetMode="External"/><Relationship Id="rId768" Type="http://schemas.openxmlformats.org/officeDocument/2006/relationships/hyperlink" Target="http://example.com/carrelage1.jpg" TargetMode="External"/><Relationship Id="rId20" Type="http://schemas.openxmlformats.org/officeDocument/2006/relationships/hyperlink" Target="http://example.com/carrelage2.jpg" TargetMode="External"/><Relationship Id="rId628" Type="http://schemas.openxmlformats.org/officeDocument/2006/relationships/hyperlink" Target="http://example.com/carrelage3.jpg" TargetMode="External"/><Relationship Id="rId267" Type="http://schemas.openxmlformats.org/officeDocument/2006/relationships/hyperlink" Target="http://example.com/carrelage1.jpg" TargetMode="External"/><Relationship Id="rId474" Type="http://schemas.openxmlformats.org/officeDocument/2006/relationships/hyperlink" Target="http://example.com/carrelage1.jpg" TargetMode="External"/><Relationship Id="rId127" Type="http://schemas.openxmlformats.org/officeDocument/2006/relationships/hyperlink" Target="http://example.com/carrelage2.jpg" TargetMode="External"/><Relationship Id="rId681" Type="http://schemas.openxmlformats.org/officeDocument/2006/relationships/hyperlink" Target="http://example.com/carrelage3.jpg" TargetMode="External"/><Relationship Id="rId779" Type="http://schemas.openxmlformats.org/officeDocument/2006/relationships/hyperlink" Target="http://example.com/carrelage2.jpg" TargetMode="External"/><Relationship Id="rId31" Type="http://schemas.openxmlformats.org/officeDocument/2006/relationships/hyperlink" Target="http://example.com/carrelage1.jpg" TargetMode="External"/><Relationship Id="rId334" Type="http://schemas.openxmlformats.org/officeDocument/2006/relationships/hyperlink" Target="http://example.com/carrelage2.jpg" TargetMode="External"/><Relationship Id="rId541" Type="http://schemas.openxmlformats.org/officeDocument/2006/relationships/hyperlink" Target="http://example.com/carrelage2.jpg" TargetMode="External"/><Relationship Id="rId639" Type="http://schemas.openxmlformats.org/officeDocument/2006/relationships/hyperlink" Target="http://example.com/carrelage3.jpg" TargetMode="External"/><Relationship Id="rId180" Type="http://schemas.openxmlformats.org/officeDocument/2006/relationships/hyperlink" Target="http://example.com/carrelage3.jpg" TargetMode="External"/><Relationship Id="rId278" Type="http://schemas.openxmlformats.org/officeDocument/2006/relationships/hyperlink" Target="http://example.com/carrelage1.jpg" TargetMode="External"/><Relationship Id="rId401" Type="http://schemas.openxmlformats.org/officeDocument/2006/relationships/hyperlink" Target="http://example.com/carrelage3.jpg" TargetMode="External"/><Relationship Id="rId485" Type="http://schemas.openxmlformats.org/officeDocument/2006/relationships/hyperlink" Target="http://example.com/carrelage1.jpg" TargetMode="External"/><Relationship Id="rId692" Type="http://schemas.openxmlformats.org/officeDocument/2006/relationships/hyperlink" Target="http://example.com/carrelage1.jpg" TargetMode="External"/><Relationship Id="rId706" Type="http://schemas.openxmlformats.org/officeDocument/2006/relationships/hyperlink" Target="http://example.com/carrelage2.jpg" TargetMode="External"/><Relationship Id="rId42" Type="http://schemas.openxmlformats.org/officeDocument/2006/relationships/hyperlink" Target="http://example.com/carrelage1.jpg" TargetMode="External"/><Relationship Id="rId138" Type="http://schemas.openxmlformats.org/officeDocument/2006/relationships/hyperlink" Target="http://example.com/carrelage2.jpg" TargetMode="External"/><Relationship Id="rId345" Type="http://schemas.openxmlformats.org/officeDocument/2006/relationships/hyperlink" Target="http://example.com/carrelage2.jpg" TargetMode="External"/><Relationship Id="rId552" Type="http://schemas.openxmlformats.org/officeDocument/2006/relationships/hyperlink" Target="http://example.com/carrelage2.jpg" TargetMode="External"/><Relationship Id="rId191" Type="http://schemas.openxmlformats.org/officeDocument/2006/relationships/hyperlink" Target="http://example.com/carrelage3.jpg" TargetMode="External"/><Relationship Id="rId205" Type="http://schemas.openxmlformats.org/officeDocument/2006/relationships/hyperlink" Target="http://example.com/carrelage3.jpg" TargetMode="External"/><Relationship Id="rId412" Type="http://schemas.openxmlformats.org/officeDocument/2006/relationships/hyperlink" Target="http://example.com/carrelage3.jpg" TargetMode="External"/><Relationship Id="rId289" Type="http://schemas.openxmlformats.org/officeDocument/2006/relationships/hyperlink" Target="http://example.com/carrelage1.jpg" TargetMode="External"/><Relationship Id="rId496" Type="http://schemas.openxmlformats.org/officeDocument/2006/relationships/hyperlink" Target="http://example.com/carrelage1.jpg" TargetMode="External"/><Relationship Id="rId717" Type="http://schemas.openxmlformats.org/officeDocument/2006/relationships/hyperlink" Target="http://example.com/carrelage2.jpg" TargetMode="External"/><Relationship Id="rId53" Type="http://schemas.openxmlformats.org/officeDocument/2006/relationships/hyperlink" Target="http://example.com/carrelage1.jpg" TargetMode="External"/><Relationship Id="rId149" Type="http://schemas.openxmlformats.org/officeDocument/2006/relationships/hyperlink" Target="http://example.com/carrelage2.jpg" TargetMode="External"/><Relationship Id="rId356" Type="http://schemas.openxmlformats.org/officeDocument/2006/relationships/hyperlink" Target="http://example.com/carrelage2.jpg" TargetMode="External"/><Relationship Id="rId563" Type="http://schemas.openxmlformats.org/officeDocument/2006/relationships/hyperlink" Target="http://example.com/carrelage2.jpg" TargetMode="External"/><Relationship Id="rId770" Type="http://schemas.openxmlformats.org/officeDocument/2006/relationships/hyperlink" Target="http://example.com/carrelage1.jpg" TargetMode="External"/><Relationship Id="rId216" Type="http://schemas.openxmlformats.org/officeDocument/2006/relationships/hyperlink" Target="http://example.com/carrelage3.jpg" TargetMode="External"/><Relationship Id="rId423" Type="http://schemas.openxmlformats.org/officeDocument/2006/relationships/hyperlink" Target="http://example.com/carrelage3.jpg" TargetMode="External"/><Relationship Id="rId630" Type="http://schemas.openxmlformats.org/officeDocument/2006/relationships/hyperlink" Target="http://example.com/carrelage3.jpg" TargetMode="External"/><Relationship Id="rId728" Type="http://schemas.openxmlformats.org/officeDocument/2006/relationships/hyperlink" Target="http://example.com/carrelage2.jpg" TargetMode="External"/><Relationship Id="rId64" Type="http://schemas.openxmlformats.org/officeDocument/2006/relationships/hyperlink" Target="http://example.com/carrelage1.jpg" TargetMode="External"/><Relationship Id="rId367" Type="http://schemas.openxmlformats.org/officeDocument/2006/relationships/hyperlink" Target="http://example.com/carrelage2.jpg" TargetMode="External"/><Relationship Id="rId574" Type="http://schemas.openxmlformats.org/officeDocument/2006/relationships/hyperlink" Target="http://example.com/carrelage2.jpg" TargetMode="External"/><Relationship Id="rId227" Type="http://schemas.openxmlformats.org/officeDocument/2006/relationships/hyperlink" Target="http://example.com/carrelage3.jpg" TargetMode="External"/><Relationship Id="rId781" Type="http://schemas.openxmlformats.org/officeDocument/2006/relationships/hyperlink" Target="http://example.com/carrelage2.jpg" TargetMode="External"/><Relationship Id="rId434" Type="http://schemas.openxmlformats.org/officeDocument/2006/relationships/hyperlink" Target="http://example.com/carrelage3.jpg" TargetMode="External"/><Relationship Id="rId641" Type="http://schemas.openxmlformats.org/officeDocument/2006/relationships/hyperlink" Target="http://example.com/carrelage3.jpg" TargetMode="External"/><Relationship Id="rId739" Type="http://schemas.openxmlformats.org/officeDocument/2006/relationships/hyperlink" Target="http://example.com/carrelage3.jpg" TargetMode="External"/><Relationship Id="rId280" Type="http://schemas.openxmlformats.org/officeDocument/2006/relationships/hyperlink" Target="http://example.com/carrelage1.jpg" TargetMode="External"/><Relationship Id="rId501" Type="http://schemas.openxmlformats.org/officeDocument/2006/relationships/hyperlink" Target="http://example.com/carrelage1.jpg" TargetMode="External"/><Relationship Id="rId75" Type="http://schemas.openxmlformats.org/officeDocument/2006/relationships/hyperlink" Target="http://example.com/carrelage1.jpg" TargetMode="External"/><Relationship Id="rId140" Type="http://schemas.openxmlformats.org/officeDocument/2006/relationships/hyperlink" Target="http://example.com/carrelage2.jpg" TargetMode="External"/><Relationship Id="rId378" Type="http://schemas.openxmlformats.org/officeDocument/2006/relationships/hyperlink" Target="http://example.com/carrelage3.jpg" TargetMode="External"/><Relationship Id="rId585" Type="http://schemas.openxmlformats.org/officeDocument/2006/relationships/hyperlink" Target="http://example.com/carrelage3.jpg" TargetMode="External"/><Relationship Id="rId792" Type="http://schemas.openxmlformats.org/officeDocument/2006/relationships/hyperlink" Target="http://example.com/carrelage3.jpg" TargetMode="External"/><Relationship Id="rId806" Type="http://schemas.openxmlformats.org/officeDocument/2006/relationships/hyperlink" Target="http://example.com/carrelage2.jpg" TargetMode="External"/><Relationship Id="rId6" Type="http://schemas.openxmlformats.org/officeDocument/2006/relationships/hyperlink" Target="http://example.com/carrelage3.jpg" TargetMode="External"/><Relationship Id="rId238" Type="http://schemas.openxmlformats.org/officeDocument/2006/relationships/hyperlink" Target="http://example.com/carrelage1.jpg" TargetMode="External"/><Relationship Id="rId445" Type="http://schemas.openxmlformats.org/officeDocument/2006/relationships/hyperlink" Target="http://example.com/carrelage1.jpg" TargetMode="External"/><Relationship Id="rId487" Type="http://schemas.openxmlformats.org/officeDocument/2006/relationships/hyperlink" Target="http://example.com/carrelage1.jpg" TargetMode="External"/><Relationship Id="rId610" Type="http://schemas.openxmlformats.org/officeDocument/2006/relationships/hyperlink" Target="http://example.com/carrelage3.jpg" TargetMode="External"/><Relationship Id="rId652" Type="http://schemas.openxmlformats.org/officeDocument/2006/relationships/hyperlink" Target="http://example.com/carrelage1.jpg" TargetMode="External"/><Relationship Id="rId694" Type="http://schemas.openxmlformats.org/officeDocument/2006/relationships/hyperlink" Target="http://example.com/carrelage1.jpg" TargetMode="External"/><Relationship Id="rId708" Type="http://schemas.openxmlformats.org/officeDocument/2006/relationships/hyperlink" Target="http://example.com/carrelage2.jpg" TargetMode="External"/><Relationship Id="rId291" Type="http://schemas.openxmlformats.org/officeDocument/2006/relationships/hyperlink" Target="http://example.com/carrelage1.jpg" TargetMode="External"/><Relationship Id="rId305" Type="http://schemas.openxmlformats.org/officeDocument/2006/relationships/hyperlink" Target="http://example.com/carrelage2.jpg" TargetMode="External"/><Relationship Id="rId347" Type="http://schemas.openxmlformats.org/officeDocument/2006/relationships/hyperlink" Target="http://example.com/carrelage2.jpg" TargetMode="External"/><Relationship Id="rId512" Type="http://schemas.openxmlformats.org/officeDocument/2006/relationships/hyperlink" Target="http://example.com/carrelage2.jpg" TargetMode="External"/><Relationship Id="rId44" Type="http://schemas.openxmlformats.org/officeDocument/2006/relationships/hyperlink" Target="http://example.com/carrelage1.jpg" TargetMode="External"/><Relationship Id="rId86" Type="http://schemas.openxmlformats.org/officeDocument/2006/relationships/hyperlink" Target="http://example.com/carrelage1.jpg" TargetMode="External"/><Relationship Id="rId151" Type="http://schemas.openxmlformats.org/officeDocument/2006/relationships/hyperlink" Target="http://example.com/carrelage2.jpg" TargetMode="External"/><Relationship Id="rId389" Type="http://schemas.openxmlformats.org/officeDocument/2006/relationships/hyperlink" Target="http://example.com/carrelage3.jpg" TargetMode="External"/><Relationship Id="rId554" Type="http://schemas.openxmlformats.org/officeDocument/2006/relationships/hyperlink" Target="http://example.com/carrelage2.jpg" TargetMode="External"/><Relationship Id="rId596" Type="http://schemas.openxmlformats.org/officeDocument/2006/relationships/hyperlink" Target="http://example.com/carrelage3.jpg" TargetMode="External"/><Relationship Id="rId761" Type="http://schemas.openxmlformats.org/officeDocument/2006/relationships/hyperlink" Target="http://example.com/carrelage2.jpg" TargetMode="External"/><Relationship Id="rId193" Type="http://schemas.openxmlformats.org/officeDocument/2006/relationships/hyperlink" Target="http://example.com/carrelage3.jpg" TargetMode="External"/><Relationship Id="rId207" Type="http://schemas.openxmlformats.org/officeDocument/2006/relationships/hyperlink" Target="http://example.com/carrelage3.jpg" TargetMode="External"/><Relationship Id="rId249" Type="http://schemas.openxmlformats.org/officeDocument/2006/relationships/hyperlink" Target="http://example.com/carrelage1.jpg" TargetMode="External"/><Relationship Id="rId414" Type="http://schemas.openxmlformats.org/officeDocument/2006/relationships/hyperlink" Target="http://example.com/carrelage3.jpg" TargetMode="External"/><Relationship Id="rId456" Type="http://schemas.openxmlformats.org/officeDocument/2006/relationships/hyperlink" Target="http://example.com/carrelage1.jpg" TargetMode="External"/><Relationship Id="rId498" Type="http://schemas.openxmlformats.org/officeDocument/2006/relationships/hyperlink" Target="http://example.com/carrelage1.jpg" TargetMode="External"/><Relationship Id="rId621" Type="http://schemas.openxmlformats.org/officeDocument/2006/relationships/hyperlink" Target="http://example.com/carrelage3.jpg" TargetMode="External"/><Relationship Id="rId663" Type="http://schemas.openxmlformats.org/officeDocument/2006/relationships/hyperlink" Target="http://example.com/carrelage2.jpg" TargetMode="External"/><Relationship Id="rId13" Type="http://schemas.openxmlformats.org/officeDocument/2006/relationships/hyperlink" Target="http://example.com/carrelage1.jpg" TargetMode="External"/><Relationship Id="rId109" Type="http://schemas.openxmlformats.org/officeDocument/2006/relationships/hyperlink" Target="http://example.com/carrelage2.jpg" TargetMode="External"/><Relationship Id="rId260" Type="http://schemas.openxmlformats.org/officeDocument/2006/relationships/hyperlink" Target="http://example.com/carrelage1.jpg" TargetMode="External"/><Relationship Id="rId316" Type="http://schemas.openxmlformats.org/officeDocument/2006/relationships/hyperlink" Target="http://example.com/carrelage2.jpg" TargetMode="External"/><Relationship Id="rId523" Type="http://schemas.openxmlformats.org/officeDocument/2006/relationships/hyperlink" Target="http://example.com/carrelage2.jpg" TargetMode="External"/><Relationship Id="rId719" Type="http://schemas.openxmlformats.org/officeDocument/2006/relationships/hyperlink" Target="http://example.com/carrelage2.jpg" TargetMode="External"/><Relationship Id="rId55" Type="http://schemas.openxmlformats.org/officeDocument/2006/relationships/hyperlink" Target="http://example.com/carrelage1.jpg" TargetMode="External"/><Relationship Id="rId97" Type="http://schemas.openxmlformats.org/officeDocument/2006/relationships/hyperlink" Target="http://example.com/carrelage1.jpg" TargetMode="External"/><Relationship Id="rId120" Type="http://schemas.openxmlformats.org/officeDocument/2006/relationships/hyperlink" Target="http://example.com/carrelage2.jpg" TargetMode="External"/><Relationship Id="rId358" Type="http://schemas.openxmlformats.org/officeDocument/2006/relationships/hyperlink" Target="http://example.com/carrelage2.jpg" TargetMode="External"/><Relationship Id="rId565" Type="http://schemas.openxmlformats.org/officeDocument/2006/relationships/hyperlink" Target="http://example.com/carrelage2.jpg" TargetMode="External"/><Relationship Id="rId730" Type="http://schemas.openxmlformats.org/officeDocument/2006/relationships/hyperlink" Target="http://example.com/carrelage3.jpg" TargetMode="External"/><Relationship Id="rId772" Type="http://schemas.openxmlformats.org/officeDocument/2006/relationships/hyperlink" Target="http://example.com/carrelage1.jpg" TargetMode="External"/><Relationship Id="rId162" Type="http://schemas.openxmlformats.org/officeDocument/2006/relationships/hyperlink" Target="http://example.com/carrelage2.jpg" TargetMode="External"/><Relationship Id="rId218" Type="http://schemas.openxmlformats.org/officeDocument/2006/relationships/hyperlink" Target="http://example.com/carrelage3.jpg" TargetMode="External"/><Relationship Id="rId425" Type="http://schemas.openxmlformats.org/officeDocument/2006/relationships/hyperlink" Target="http://example.com/carrelage3.jpg" TargetMode="External"/><Relationship Id="rId467" Type="http://schemas.openxmlformats.org/officeDocument/2006/relationships/hyperlink" Target="http://example.com/carrelage1.jpg" TargetMode="External"/><Relationship Id="rId632" Type="http://schemas.openxmlformats.org/officeDocument/2006/relationships/hyperlink" Target="http://example.com/carrelage3.jpg" TargetMode="External"/><Relationship Id="rId271" Type="http://schemas.openxmlformats.org/officeDocument/2006/relationships/hyperlink" Target="http://example.com/carrelage1.jpg" TargetMode="External"/><Relationship Id="rId674" Type="http://schemas.openxmlformats.org/officeDocument/2006/relationships/hyperlink" Target="http://example.com/carrelage2.jpg" TargetMode="External"/><Relationship Id="rId24" Type="http://schemas.openxmlformats.org/officeDocument/2006/relationships/hyperlink" Target="http://example.com/carrelage3.jpg" TargetMode="External"/><Relationship Id="rId66" Type="http://schemas.openxmlformats.org/officeDocument/2006/relationships/hyperlink" Target="http://example.com/carrelage1.jpg" TargetMode="External"/><Relationship Id="rId131" Type="http://schemas.openxmlformats.org/officeDocument/2006/relationships/hyperlink" Target="http://example.com/carrelage2.jpg" TargetMode="External"/><Relationship Id="rId327" Type="http://schemas.openxmlformats.org/officeDocument/2006/relationships/hyperlink" Target="http://example.com/carrelage2.jpg" TargetMode="External"/><Relationship Id="rId369" Type="http://schemas.openxmlformats.org/officeDocument/2006/relationships/hyperlink" Target="http://example.com/carrelage3.jpg" TargetMode="External"/><Relationship Id="rId534" Type="http://schemas.openxmlformats.org/officeDocument/2006/relationships/hyperlink" Target="http://example.com/carrelage2.jpg" TargetMode="External"/><Relationship Id="rId576" Type="http://schemas.openxmlformats.org/officeDocument/2006/relationships/hyperlink" Target="http://example.com/carrelage3.jpg" TargetMode="External"/><Relationship Id="rId741" Type="http://schemas.openxmlformats.org/officeDocument/2006/relationships/hyperlink" Target="http://example.com/carrelage3.jpg" TargetMode="External"/><Relationship Id="rId783" Type="http://schemas.openxmlformats.org/officeDocument/2006/relationships/hyperlink" Target="http://example.com/carrelage2.jpg" TargetMode="External"/><Relationship Id="rId173" Type="http://schemas.openxmlformats.org/officeDocument/2006/relationships/hyperlink" Target="http://example.com/carrelage3.jpg" TargetMode="External"/><Relationship Id="rId229" Type="http://schemas.openxmlformats.org/officeDocument/2006/relationships/hyperlink" Target="http://example.com/carrelage3.jpg" TargetMode="External"/><Relationship Id="rId380" Type="http://schemas.openxmlformats.org/officeDocument/2006/relationships/hyperlink" Target="http://example.com/carrelage3.jpg" TargetMode="External"/><Relationship Id="rId436" Type="http://schemas.openxmlformats.org/officeDocument/2006/relationships/hyperlink" Target="http://example.com/carrelage1.jpg" TargetMode="External"/><Relationship Id="rId601" Type="http://schemas.openxmlformats.org/officeDocument/2006/relationships/hyperlink" Target="http://example.com/carrelage3.jpg" TargetMode="External"/><Relationship Id="rId643" Type="http://schemas.openxmlformats.org/officeDocument/2006/relationships/hyperlink" Target="http://example.com/carrelage3.jpg" TargetMode="External"/><Relationship Id="rId240" Type="http://schemas.openxmlformats.org/officeDocument/2006/relationships/hyperlink" Target="http://example.com/carrelage1.jpg" TargetMode="External"/><Relationship Id="rId478" Type="http://schemas.openxmlformats.org/officeDocument/2006/relationships/hyperlink" Target="http://example.com/carrelage1.jpg" TargetMode="External"/><Relationship Id="rId685" Type="http://schemas.openxmlformats.org/officeDocument/2006/relationships/hyperlink" Target="http://example.com/carrelage1.jpg" TargetMode="External"/><Relationship Id="rId35" Type="http://schemas.openxmlformats.org/officeDocument/2006/relationships/hyperlink" Target="http://example.com/carrelage2.jpg" TargetMode="External"/><Relationship Id="rId77" Type="http://schemas.openxmlformats.org/officeDocument/2006/relationships/hyperlink" Target="http://example.com/carrelage1.jpg" TargetMode="External"/><Relationship Id="rId100" Type="http://schemas.openxmlformats.org/officeDocument/2006/relationships/hyperlink" Target="http://example.com/carrelage1.jpg" TargetMode="External"/><Relationship Id="rId282" Type="http://schemas.openxmlformats.org/officeDocument/2006/relationships/hyperlink" Target="http://example.com/carrelage1.jpg" TargetMode="External"/><Relationship Id="rId338" Type="http://schemas.openxmlformats.org/officeDocument/2006/relationships/hyperlink" Target="http://example.com/carrelage2.jpg" TargetMode="External"/><Relationship Id="rId503" Type="http://schemas.openxmlformats.org/officeDocument/2006/relationships/hyperlink" Target="http://example.com/carrelage1.jpg" TargetMode="External"/><Relationship Id="rId545" Type="http://schemas.openxmlformats.org/officeDocument/2006/relationships/hyperlink" Target="http://example.com/carrelage2.jpg" TargetMode="External"/><Relationship Id="rId587" Type="http://schemas.openxmlformats.org/officeDocument/2006/relationships/hyperlink" Target="http://example.com/carrelage3.jpg" TargetMode="External"/><Relationship Id="rId710" Type="http://schemas.openxmlformats.org/officeDocument/2006/relationships/hyperlink" Target="http://example.com/carrelage2.jpg" TargetMode="External"/><Relationship Id="rId752" Type="http://schemas.openxmlformats.org/officeDocument/2006/relationships/hyperlink" Target="http://example.com/carrelage3.jpg" TargetMode="External"/><Relationship Id="rId808" Type="http://schemas.openxmlformats.org/officeDocument/2006/relationships/hyperlink" Target="http://example.com/carrelage2.jpg" TargetMode="External"/><Relationship Id="rId8" Type="http://schemas.openxmlformats.org/officeDocument/2006/relationships/hyperlink" Target="http://example.com/carrelage2.jpg" TargetMode="External"/><Relationship Id="rId142" Type="http://schemas.openxmlformats.org/officeDocument/2006/relationships/hyperlink" Target="http://example.com/carrelage2.jpg" TargetMode="External"/><Relationship Id="rId184" Type="http://schemas.openxmlformats.org/officeDocument/2006/relationships/hyperlink" Target="http://example.com/carrelage3.jpg" TargetMode="External"/><Relationship Id="rId391" Type="http://schemas.openxmlformats.org/officeDocument/2006/relationships/hyperlink" Target="http://example.com/carrelage3.jpg" TargetMode="External"/><Relationship Id="rId405" Type="http://schemas.openxmlformats.org/officeDocument/2006/relationships/hyperlink" Target="http://example.com/carrelage3.jpg" TargetMode="External"/><Relationship Id="rId447" Type="http://schemas.openxmlformats.org/officeDocument/2006/relationships/hyperlink" Target="http://example.com/carrelage1.jpg" TargetMode="External"/><Relationship Id="rId612" Type="http://schemas.openxmlformats.org/officeDocument/2006/relationships/hyperlink" Target="http://example.com/carrelage3.jpg" TargetMode="External"/><Relationship Id="rId794" Type="http://schemas.openxmlformats.org/officeDocument/2006/relationships/hyperlink" Target="http://example.com/carrelage3.jpg" TargetMode="External"/><Relationship Id="rId251" Type="http://schemas.openxmlformats.org/officeDocument/2006/relationships/hyperlink" Target="http://example.com/carrelage1.jpg" TargetMode="External"/><Relationship Id="rId489" Type="http://schemas.openxmlformats.org/officeDocument/2006/relationships/hyperlink" Target="http://example.com/carrelage1.jpg" TargetMode="External"/><Relationship Id="rId654" Type="http://schemas.openxmlformats.org/officeDocument/2006/relationships/hyperlink" Target="http://example.com/carrelage2.jpg" TargetMode="External"/><Relationship Id="rId696" Type="http://schemas.openxmlformats.org/officeDocument/2006/relationships/hyperlink" Target="http://example.com/carrelage1.jpg" TargetMode="External"/><Relationship Id="rId46" Type="http://schemas.openxmlformats.org/officeDocument/2006/relationships/hyperlink" Target="http://example.com/carrelage1.jpg" TargetMode="External"/><Relationship Id="rId293" Type="http://schemas.openxmlformats.org/officeDocument/2006/relationships/hyperlink" Target="http://example.com/carrelage1.jpg" TargetMode="External"/><Relationship Id="rId307" Type="http://schemas.openxmlformats.org/officeDocument/2006/relationships/hyperlink" Target="http://example.com/carrelage2.jpg" TargetMode="External"/><Relationship Id="rId349" Type="http://schemas.openxmlformats.org/officeDocument/2006/relationships/hyperlink" Target="http://example.com/carrelage2.jpg" TargetMode="External"/><Relationship Id="rId514" Type="http://schemas.openxmlformats.org/officeDocument/2006/relationships/hyperlink" Target="http://example.com/carrelage2.jpg" TargetMode="External"/><Relationship Id="rId556" Type="http://schemas.openxmlformats.org/officeDocument/2006/relationships/hyperlink" Target="http://example.com/carrelage2.jpg" TargetMode="External"/><Relationship Id="rId721" Type="http://schemas.openxmlformats.org/officeDocument/2006/relationships/hyperlink" Target="http://example.com/carrelage2.jpg" TargetMode="External"/><Relationship Id="rId763" Type="http://schemas.openxmlformats.org/officeDocument/2006/relationships/hyperlink" Target="http://example.com/carrelage3.jpg" TargetMode="External"/><Relationship Id="rId88" Type="http://schemas.openxmlformats.org/officeDocument/2006/relationships/hyperlink" Target="http://example.com/carrelage1.jpg" TargetMode="External"/><Relationship Id="rId111" Type="http://schemas.openxmlformats.org/officeDocument/2006/relationships/hyperlink" Target="http://example.com/carrelage2.jpg" TargetMode="External"/><Relationship Id="rId153" Type="http://schemas.openxmlformats.org/officeDocument/2006/relationships/hyperlink" Target="http://example.com/carrelage2.jpg" TargetMode="External"/><Relationship Id="rId195" Type="http://schemas.openxmlformats.org/officeDocument/2006/relationships/hyperlink" Target="http://example.com/carrelage3.jpg" TargetMode="External"/><Relationship Id="rId209" Type="http://schemas.openxmlformats.org/officeDocument/2006/relationships/hyperlink" Target="http://example.com/carrelage3.jpg" TargetMode="External"/><Relationship Id="rId360" Type="http://schemas.openxmlformats.org/officeDocument/2006/relationships/hyperlink" Target="http://example.com/carrelage2.jpg" TargetMode="External"/><Relationship Id="rId416" Type="http://schemas.openxmlformats.org/officeDocument/2006/relationships/hyperlink" Target="http://example.com/carrelage3.jpg" TargetMode="External"/><Relationship Id="rId598" Type="http://schemas.openxmlformats.org/officeDocument/2006/relationships/hyperlink" Target="http://example.com/carrelage3.jpg" TargetMode="External"/><Relationship Id="rId220" Type="http://schemas.openxmlformats.org/officeDocument/2006/relationships/hyperlink" Target="http://example.com/carrelage3.jpg" TargetMode="External"/><Relationship Id="rId458" Type="http://schemas.openxmlformats.org/officeDocument/2006/relationships/hyperlink" Target="http://example.com/carrelage1.jpg" TargetMode="External"/><Relationship Id="rId623" Type="http://schemas.openxmlformats.org/officeDocument/2006/relationships/hyperlink" Target="http://example.com/carrelage3.jpg" TargetMode="External"/><Relationship Id="rId665" Type="http://schemas.openxmlformats.org/officeDocument/2006/relationships/hyperlink" Target="http://example.com/carrelage2.jpg" TargetMode="External"/><Relationship Id="rId15" Type="http://schemas.openxmlformats.org/officeDocument/2006/relationships/hyperlink" Target="http://example.com/carrelage3.jpg" TargetMode="External"/><Relationship Id="rId57" Type="http://schemas.openxmlformats.org/officeDocument/2006/relationships/hyperlink" Target="http://example.com/carrelage1.jpg" TargetMode="External"/><Relationship Id="rId262" Type="http://schemas.openxmlformats.org/officeDocument/2006/relationships/hyperlink" Target="http://example.com/carrelage1.jpg" TargetMode="External"/><Relationship Id="rId318" Type="http://schemas.openxmlformats.org/officeDocument/2006/relationships/hyperlink" Target="http://example.com/carrelage2.jpg" TargetMode="External"/><Relationship Id="rId525" Type="http://schemas.openxmlformats.org/officeDocument/2006/relationships/hyperlink" Target="http://example.com/carrelage2.jpg" TargetMode="External"/><Relationship Id="rId567" Type="http://schemas.openxmlformats.org/officeDocument/2006/relationships/hyperlink" Target="http://example.com/carrelage2.jpg" TargetMode="External"/><Relationship Id="rId732" Type="http://schemas.openxmlformats.org/officeDocument/2006/relationships/hyperlink" Target="http://example.com/carrelage3.jpg" TargetMode="External"/><Relationship Id="rId99" Type="http://schemas.openxmlformats.org/officeDocument/2006/relationships/hyperlink" Target="http://example.com/carrelage1.jpg" TargetMode="External"/><Relationship Id="rId122" Type="http://schemas.openxmlformats.org/officeDocument/2006/relationships/hyperlink" Target="http://example.com/carrelage2.jpg" TargetMode="External"/><Relationship Id="rId164" Type="http://schemas.openxmlformats.org/officeDocument/2006/relationships/hyperlink" Target="http://example.com/carrelage2.jpg" TargetMode="External"/><Relationship Id="rId371" Type="http://schemas.openxmlformats.org/officeDocument/2006/relationships/hyperlink" Target="http://example.com/carrelage3.jpg" TargetMode="External"/><Relationship Id="rId774" Type="http://schemas.openxmlformats.org/officeDocument/2006/relationships/hyperlink" Target="http://example.com/carrelage1.jpg" TargetMode="External"/><Relationship Id="rId427" Type="http://schemas.openxmlformats.org/officeDocument/2006/relationships/hyperlink" Target="http://example.com/carrelage3.jpg" TargetMode="External"/><Relationship Id="rId469" Type="http://schemas.openxmlformats.org/officeDocument/2006/relationships/hyperlink" Target="http://example.com/carrelage1.jpg" TargetMode="External"/><Relationship Id="rId634" Type="http://schemas.openxmlformats.org/officeDocument/2006/relationships/hyperlink" Target="http://example.com/carrelage3.jpg" TargetMode="External"/><Relationship Id="rId676" Type="http://schemas.openxmlformats.org/officeDocument/2006/relationships/hyperlink" Target="http://example.com/carrelage2.jpg" TargetMode="External"/><Relationship Id="rId26" Type="http://schemas.openxmlformats.org/officeDocument/2006/relationships/hyperlink" Target="http://example.com/carrelage2.jpg" TargetMode="External"/><Relationship Id="rId231" Type="http://schemas.openxmlformats.org/officeDocument/2006/relationships/hyperlink" Target="http://example.com/carrelage3.jpg" TargetMode="External"/><Relationship Id="rId273" Type="http://schemas.openxmlformats.org/officeDocument/2006/relationships/hyperlink" Target="http://example.com/carrelage1.jpg" TargetMode="External"/><Relationship Id="rId329" Type="http://schemas.openxmlformats.org/officeDocument/2006/relationships/hyperlink" Target="http://example.com/carrelage2.jpg" TargetMode="External"/><Relationship Id="rId480" Type="http://schemas.openxmlformats.org/officeDocument/2006/relationships/hyperlink" Target="http://example.com/carrelage1.jpg" TargetMode="External"/><Relationship Id="rId536" Type="http://schemas.openxmlformats.org/officeDocument/2006/relationships/hyperlink" Target="http://example.com/carrelage2.jpg" TargetMode="External"/><Relationship Id="rId701" Type="http://schemas.openxmlformats.org/officeDocument/2006/relationships/hyperlink" Target="http://example.com/carrelage1.jpg" TargetMode="External"/><Relationship Id="rId68" Type="http://schemas.openxmlformats.org/officeDocument/2006/relationships/hyperlink" Target="http://example.com/carrelage1.jpg" TargetMode="External"/><Relationship Id="rId133" Type="http://schemas.openxmlformats.org/officeDocument/2006/relationships/hyperlink" Target="http://example.com/carrelage2.jpg" TargetMode="External"/><Relationship Id="rId175" Type="http://schemas.openxmlformats.org/officeDocument/2006/relationships/hyperlink" Target="http://example.com/carrelage3.jpg" TargetMode="External"/><Relationship Id="rId340" Type="http://schemas.openxmlformats.org/officeDocument/2006/relationships/hyperlink" Target="http://example.com/carrelage2.jpg" TargetMode="External"/><Relationship Id="rId578" Type="http://schemas.openxmlformats.org/officeDocument/2006/relationships/hyperlink" Target="http://example.com/carrelage3.jpg" TargetMode="External"/><Relationship Id="rId743" Type="http://schemas.openxmlformats.org/officeDocument/2006/relationships/hyperlink" Target="http://example.com/carrelage3.jpg" TargetMode="External"/><Relationship Id="rId785" Type="http://schemas.openxmlformats.org/officeDocument/2006/relationships/hyperlink" Target="http://example.com/carrelage2.jpg" TargetMode="External"/><Relationship Id="rId200" Type="http://schemas.openxmlformats.org/officeDocument/2006/relationships/hyperlink" Target="http://example.com/carrelage3.jpg" TargetMode="External"/><Relationship Id="rId382" Type="http://schemas.openxmlformats.org/officeDocument/2006/relationships/hyperlink" Target="http://example.com/carrelage3.jpg" TargetMode="External"/><Relationship Id="rId438" Type="http://schemas.openxmlformats.org/officeDocument/2006/relationships/hyperlink" Target="http://example.com/carrelage1.jpg" TargetMode="External"/><Relationship Id="rId603" Type="http://schemas.openxmlformats.org/officeDocument/2006/relationships/hyperlink" Target="http://example.com/carrelage3.jpg" TargetMode="External"/><Relationship Id="rId645" Type="http://schemas.openxmlformats.org/officeDocument/2006/relationships/hyperlink" Target="http://example.com/carrelage3.jpg" TargetMode="External"/><Relationship Id="rId687" Type="http://schemas.openxmlformats.org/officeDocument/2006/relationships/hyperlink" Target="http://example.com/carrelage1.jpg" TargetMode="External"/><Relationship Id="rId810" Type="http://schemas.openxmlformats.org/officeDocument/2006/relationships/hyperlink" Target="http://example.com/carrelage3.jpg" TargetMode="External"/><Relationship Id="rId242" Type="http://schemas.openxmlformats.org/officeDocument/2006/relationships/hyperlink" Target="http://example.com/carrelage1.jpg" TargetMode="External"/><Relationship Id="rId284" Type="http://schemas.openxmlformats.org/officeDocument/2006/relationships/hyperlink" Target="http://example.com/carrelage1.jpg" TargetMode="External"/><Relationship Id="rId491" Type="http://schemas.openxmlformats.org/officeDocument/2006/relationships/hyperlink" Target="http://example.com/carrelage1.jpg" TargetMode="External"/><Relationship Id="rId505" Type="http://schemas.openxmlformats.org/officeDocument/2006/relationships/hyperlink" Target="http://example.com/carrelage1.jpg" TargetMode="External"/><Relationship Id="rId712" Type="http://schemas.openxmlformats.org/officeDocument/2006/relationships/hyperlink" Target="http://example.com/carrelage2.jpg" TargetMode="External"/><Relationship Id="rId37" Type="http://schemas.openxmlformats.org/officeDocument/2006/relationships/hyperlink" Target="http://example.com/carrelage1.jpg" TargetMode="External"/><Relationship Id="rId79" Type="http://schemas.openxmlformats.org/officeDocument/2006/relationships/hyperlink" Target="http://example.com/carrelage1.jpg" TargetMode="External"/><Relationship Id="rId102" Type="http://schemas.openxmlformats.org/officeDocument/2006/relationships/hyperlink" Target="http://example.com/carrelage1.jpg" TargetMode="External"/><Relationship Id="rId144" Type="http://schemas.openxmlformats.org/officeDocument/2006/relationships/hyperlink" Target="http://example.com/carrelage2.jpg" TargetMode="External"/><Relationship Id="rId547" Type="http://schemas.openxmlformats.org/officeDocument/2006/relationships/hyperlink" Target="http://example.com/carrelage2.jpg" TargetMode="External"/><Relationship Id="rId589" Type="http://schemas.openxmlformats.org/officeDocument/2006/relationships/hyperlink" Target="http://example.com/carrelage3.jpg" TargetMode="External"/><Relationship Id="rId754" Type="http://schemas.openxmlformats.org/officeDocument/2006/relationships/hyperlink" Target="http://example.com/carrelage1.jpg" TargetMode="External"/><Relationship Id="rId796" Type="http://schemas.openxmlformats.org/officeDocument/2006/relationships/hyperlink" Target="http://example.com/carrelage3.jpg" TargetMode="External"/><Relationship Id="rId90" Type="http://schemas.openxmlformats.org/officeDocument/2006/relationships/hyperlink" Target="http://example.com/carrelage1.jpg" TargetMode="External"/><Relationship Id="rId186" Type="http://schemas.openxmlformats.org/officeDocument/2006/relationships/hyperlink" Target="http://example.com/carrelage3.jpg" TargetMode="External"/><Relationship Id="rId351" Type="http://schemas.openxmlformats.org/officeDocument/2006/relationships/hyperlink" Target="http://example.com/carrelage2.jpg" TargetMode="External"/><Relationship Id="rId393" Type="http://schemas.openxmlformats.org/officeDocument/2006/relationships/hyperlink" Target="http://example.com/carrelage3.jpg" TargetMode="External"/><Relationship Id="rId407" Type="http://schemas.openxmlformats.org/officeDocument/2006/relationships/hyperlink" Target="http://example.com/carrelage3.jpg" TargetMode="External"/><Relationship Id="rId449" Type="http://schemas.openxmlformats.org/officeDocument/2006/relationships/hyperlink" Target="http://example.com/carrelage1.jpg" TargetMode="External"/><Relationship Id="rId614" Type="http://schemas.openxmlformats.org/officeDocument/2006/relationships/hyperlink" Target="http://example.com/carrelage3.jpg" TargetMode="External"/><Relationship Id="rId656" Type="http://schemas.openxmlformats.org/officeDocument/2006/relationships/hyperlink" Target="http://example.com/carrelage3.jpg" TargetMode="External"/><Relationship Id="rId211" Type="http://schemas.openxmlformats.org/officeDocument/2006/relationships/hyperlink" Target="http://example.com/carrelage3.jpg" TargetMode="External"/><Relationship Id="rId253" Type="http://schemas.openxmlformats.org/officeDocument/2006/relationships/hyperlink" Target="http://example.com/carrelage1.jpg" TargetMode="External"/><Relationship Id="rId295" Type="http://schemas.openxmlformats.org/officeDocument/2006/relationships/hyperlink" Target="http://example.com/carrelage1.jpg" TargetMode="External"/><Relationship Id="rId309" Type="http://schemas.openxmlformats.org/officeDocument/2006/relationships/hyperlink" Target="http://example.com/carrelage2.jpg" TargetMode="External"/><Relationship Id="rId460" Type="http://schemas.openxmlformats.org/officeDocument/2006/relationships/hyperlink" Target="http://example.com/carrelage1.jpg" TargetMode="External"/><Relationship Id="rId516" Type="http://schemas.openxmlformats.org/officeDocument/2006/relationships/hyperlink" Target="http://example.com/carrelage2.jpg" TargetMode="External"/><Relationship Id="rId698" Type="http://schemas.openxmlformats.org/officeDocument/2006/relationships/hyperlink" Target="http://example.com/carrelage1.jpg" TargetMode="External"/><Relationship Id="rId48" Type="http://schemas.openxmlformats.org/officeDocument/2006/relationships/hyperlink" Target="http://example.com/carrelage1.jpg" TargetMode="External"/><Relationship Id="rId113" Type="http://schemas.openxmlformats.org/officeDocument/2006/relationships/hyperlink" Target="http://example.com/carrelage2.jpg" TargetMode="External"/><Relationship Id="rId320" Type="http://schemas.openxmlformats.org/officeDocument/2006/relationships/hyperlink" Target="http://example.com/carrelage2.jpg" TargetMode="External"/><Relationship Id="rId558" Type="http://schemas.openxmlformats.org/officeDocument/2006/relationships/hyperlink" Target="http://example.com/carrelage2.jpg" TargetMode="External"/><Relationship Id="rId723" Type="http://schemas.openxmlformats.org/officeDocument/2006/relationships/hyperlink" Target="http://example.com/carrelage2.jpg" TargetMode="External"/><Relationship Id="rId765" Type="http://schemas.openxmlformats.org/officeDocument/2006/relationships/hyperlink" Target="http://example.com/carrelage3.jpg" TargetMode="External"/><Relationship Id="rId155" Type="http://schemas.openxmlformats.org/officeDocument/2006/relationships/hyperlink" Target="http://example.com/carrelage2.jpg" TargetMode="External"/><Relationship Id="rId197" Type="http://schemas.openxmlformats.org/officeDocument/2006/relationships/hyperlink" Target="http://example.com/carrelage3.jpg" TargetMode="External"/><Relationship Id="rId362" Type="http://schemas.openxmlformats.org/officeDocument/2006/relationships/hyperlink" Target="http://example.com/carrelage2.jpg" TargetMode="External"/><Relationship Id="rId418" Type="http://schemas.openxmlformats.org/officeDocument/2006/relationships/hyperlink" Target="http://example.com/carrelage3.jpg" TargetMode="External"/><Relationship Id="rId625" Type="http://schemas.openxmlformats.org/officeDocument/2006/relationships/hyperlink" Target="http://example.com/carrelage3.jpg" TargetMode="External"/><Relationship Id="rId222" Type="http://schemas.openxmlformats.org/officeDocument/2006/relationships/hyperlink" Target="http://example.com/carrelage3.jpg" TargetMode="External"/><Relationship Id="rId264" Type="http://schemas.openxmlformats.org/officeDocument/2006/relationships/hyperlink" Target="http://example.com/carrelage1.jpg" TargetMode="External"/><Relationship Id="rId471" Type="http://schemas.openxmlformats.org/officeDocument/2006/relationships/hyperlink" Target="http://example.com/carrelage1.jpg" TargetMode="External"/><Relationship Id="rId667" Type="http://schemas.openxmlformats.org/officeDocument/2006/relationships/hyperlink" Target="http://example.com/carrelage3.jpg" TargetMode="External"/><Relationship Id="rId17" Type="http://schemas.openxmlformats.org/officeDocument/2006/relationships/hyperlink" Target="http://example.com/carrelage2.jpg" TargetMode="External"/><Relationship Id="rId59" Type="http://schemas.openxmlformats.org/officeDocument/2006/relationships/hyperlink" Target="http://example.com/carrelage1.jpg" TargetMode="External"/><Relationship Id="rId124" Type="http://schemas.openxmlformats.org/officeDocument/2006/relationships/hyperlink" Target="http://example.com/carrelage2.jpg" TargetMode="External"/><Relationship Id="rId527" Type="http://schemas.openxmlformats.org/officeDocument/2006/relationships/hyperlink" Target="http://example.com/carrelage2.jpg" TargetMode="External"/><Relationship Id="rId569" Type="http://schemas.openxmlformats.org/officeDocument/2006/relationships/hyperlink" Target="http://example.com/carrelage2.jpg" TargetMode="External"/><Relationship Id="rId734" Type="http://schemas.openxmlformats.org/officeDocument/2006/relationships/hyperlink" Target="http://example.com/carrelage3.jpg" TargetMode="External"/><Relationship Id="rId776" Type="http://schemas.openxmlformats.org/officeDocument/2006/relationships/hyperlink" Target="http://example.com/carrelage1.jpg" TargetMode="External"/><Relationship Id="rId70" Type="http://schemas.openxmlformats.org/officeDocument/2006/relationships/hyperlink" Target="http://example.com/carrelage1.jpg" TargetMode="External"/><Relationship Id="rId166" Type="http://schemas.openxmlformats.org/officeDocument/2006/relationships/hyperlink" Target="http://example.com/carrelage2.jpg" TargetMode="External"/><Relationship Id="rId331" Type="http://schemas.openxmlformats.org/officeDocument/2006/relationships/hyperlink" Target="http://example.com/carrelage2.jpg" TargetMode="External"/><Relationship Id="rId373" Type="http://schemas.openxmlformats.org/officeDocument/2006/relationships/hyperlink" Target="http://example.com/carrelage3.jpg" TargetMode="External"/><Relationship Id="rId429" Type="http://schemas.openxmlformats.org/officeDocument/2006/relationships/hyperlink" Target="http://example.com/carrelage3.jpg" TargetMode="External"/><Relationship Id="rId580" Type="http://schemas.openxmlformats.org/officeDocument/2006/relationships/hyperlink" Target="http://example.com/carrelage3.jpg" TargetMode="External"/><Relationship Id="rId636" Type="http://schemas.openxmlformats.org/officeDocument/2006/relationships/hyperlink" Target="http://example.com/carrelage3.jpg" TargetMode="External"/><Relationship Id="rId801" Type="http://schemas.openxmlformats.org/officeDocument/2006/relationships/hyperlink" Target="http://example.com/carrelage3.jpg" TargetMode="External"/><Relationship Id="rId1" Type="http://schemas.openxmlformats.org/officeDocument/2006/relationships/hyperlink" Target="http://example.com/carrelage1.jpg" TargetMode="External"/><Relationship Id="rId233" Type="http://schemas.openxmlformats.org/officeDocument/2006/relationships/hyperlink" Target="http://example.com/carrelage3.jpg" TargetMode="External"/><Relationship Id="rId440" Type="http://schemas.openxmlformats.org/officeDocument/2006/relationships/hyperlink" Target="http://example.com/carrelage1.jpg" TargetMode="External"/><Relationship Id="rId678" Type="http://schemas.openxmlformats.org/officeDocument/2006/relationships/hyperlink" Target="http://example.com/carrelage3.jpg" TargetMode="External"/><Relationship Id="rId28" Type="http://schemas.openxmlformats.org/officeDocument/2006/relationships/hyperlink" Target="http://example.com/carrelage1.jpg" TargetMode="External"/><Relationship Id="rId275" Type="http://schemas.openxmlformats.org/officeDocument/2006/relationships/hyperlink" Target="http://example.com/carrelage1.jpg" TargetMode="External"/><Relationship Id="rId300" Type="http://schemas.openxmlformats.org/officeDocument/2006/relationships/hyperlink" Target="http://example.com/carrelage1.jpg" TargetMode="External"/><Relationship Id="rId482" Type="http://schemas.openxmlformats.org/officeDocument/2006/relationships/hyperlink" Target="http://example.com/carrelage1.jpg" TargetMode="External"/><Relationship Id="rId538" Type="http://schemas.openxmlformats.org/officeDocument/2006/relationships/hyperlink" Target="http://example.com/carrelage2.jpg" TargetMode="External"/><Relationship Id="rId703" Type="http://schemas.openxmlformats.org/officeDocument/2006/relationships/hyperlink" Target="http://example.com/carrelage1.jpg" TargetMode="External"/><Relationship Id="rId745" Type="http://schemas.openxmlformats.org/officeDocument/2006/relationships/hyperlink" Target="http://example.com/carrelage3.jpg" TargetMode="External"/><Relationship Id="rId81" Type="http://schemas.openxmlformats.org/officeDocument/2006/relationships/hyperlink" Target="http://example.com/carrelage1.jpg" TargetMode="External"/><Relationship Id="rId135" Type="http://schemas.openxmlformats.org/officeDocument/2006/relationships/hyperlink" Target="http://example.com/carrelage2.jpg" TargetMode="External"/><Relationship Id="rId177" Type="http://schemas.openxmlformats.org/officeDocument/2006/relationships/hyperlink" Target="http://example.com/carrelage3.jpg" TargetMode="External"/><Relationship Id="rId342" Type="http://schemas.openxmlformats.org/officeDocument/2006/relationships/hyperlink" Target="http://example.com/carrelage2.jpg" TargetMode="External"/><Relationship Id="rId384" Type="http://schemas.openxmlformats.org/officeDocument/2006/relationships/hyperlink" Target="http://example.com/carrelage3.jpg" TargetMode="External"/><Relationship Id="rId591" Type="http://schemas.openxmlformats.org/officeDocument/2006/relationships/hyperlink" Target="http://example.com/carrelage3.jpg" TargetMode="External"/><Relationship Id="rId605" Type="http://schemas.openxmlformats.org/officeDocument/2006/relationships/hyperlink" Target="http://example.com/carrelage3.jpg" TargetMode="External"/><Relationship Id="rId787" Type="http://schemas.openxmlformats.org/officeDocument/2006/relationships/hyperlink" Target="http://example.com/carrelage2.jpg" TargetMode="External"/><Relationship Id="rId812" Type="http://schemas.openxmlformats.org/officeDocument/2006/relationships/hyperlink" Target="http://example.com/carrelage3.jpg" TargetMode="External"/><Relationship Id="rId202" Type="http://schemas.openxmlformats.org/officeDocument/2006/relationships/hyperlink" Target="http://example.com/carrelage3.jpg" TargetMode="External"/><Relationship Id="rId244" Type="http://schemas.openxmlformats.org/officeDocument/2006/relationships/hyperlink" Target="http://example.com/carrelage1.jpg" TargetMode="External"/><Relationship Id="rId647" Type="http://schemas.openxmlformats.org/officeDocument/2006/relationships/hyperlink" Target="http://example.com/carrelage1.jpg" TargetMode="External"/><Relationship Id="rId689" Type="http://schemas.openxmlformats.org/officeDocument/2006/relationships/hyperlink" Target="http://example.com/carrelage1.jpg" TargetMode="External"/><Relationship Id="rId39" Type="http://schemas.openxmlformats.org/officeDocument/2006/relationships/hyperlink" Target="http://example.com/carrelage1.jpg" TargetMode="External"/><Relationship Id="rId286" Type="http://schemas.openxmlformats.org/officeDocument/2006/relationships/hyperlink" Target="http://example.com/carrelage1.jpg" TargetMode="External"/><Relationship Id="rId451" Type="http://schemas.openxmlformats.org/officeDocument/2006/relationships/hyperlink" Target="http://example.com/carrelage1.jpg" TargetMode="External"/><Relationship Id="rId493" Type="http://schemas.openxmlformats.org/officeDocument/2006/relationships/hyperlink" Target="http://example.com/carrelage1.jpg" TargetMode="External"/><Relationship Id="rId507" Type="http://schemas.openxmlformats.org/officeDocument/2006/relationships/hyperlink" Target="http://example.com/carrelage2.jpg" TargetMode="External"/><Relationship Id="rId549" Type="http://schemas.openxmlformats.org/officeDocument/2006/relationships/hyperlink" Target="http://example.com/carrelage2.jpg" TargetMode="External"/><Relationship Id="rId714" Type="http://schemas.openxmlformats.org/officeDocument/2006/relationships/hyperlink" Target="http://example.com/carrelage2.jpg" TargetMode="External"/><Relationship Id="rId756" Type="http://schemas.openxmlformats.org/officeDocument/2006/relationships/hyperlink" Target="http://example.com/carrelage1.jpg" TargetMode="External"/><Relationship Id="rId50" Type="http://schemas.openxmlformats.org/officeDocument/2006/relationships/hyperlink" Target="http://example.com/carrelage1.jpg" TargetMode="External"/><Relationship Id="rId104" Type="http://schemas.openxmlformats.org/officeDocument/2006/relationships/hyperlink" Target="http://example.com/carrelage2.jpg" TargetMode="External"/><Relationship Id="rId146" Type="http://schemas.openxmlformats.org/officeDocument/2006/relationships/hyperlink" Target="http://example.com/carrelage2.jpg" TargetMode="External"/><Relationship Id="rId188" Type="http://schemas.openxmlformats.org/officeDocument/2006/relationships/hyperlink" Target="http://example.com/carrelage3.jpg" TargetMode="External"/><Relationship Id="rId311" Type="http://schemas.openxmlformats.org/officeDocument/2006/relationships/hyperlink" Target="http://example.com/carrelage2.jpg" TargetMode="External"/><Relationship Id="rId353" Type="http://schemas.openxmlformats.org/officeDocument/2006/relationships/hyperlink" Target="http://example.com/carrelage2.jpg" TargetMode="External"/><Relationship Id="rId395" Type="http://schemas.openxmlformats.org/officeDocument/2006/relationships/hyperlink" Target="http://example.com/carrelage3.jpg" TargetMode="External"/><Relationship Id="rId409" Type="http://schemas.openxmlformats.org/officeDocument/2006/relationships/hyperlink" Target="http://example.com/carrelage3.jpg" TargetMode="External"/><Relationship Id="rId560" Type="http://schemas.openxmlformats.org/officeDocument/2006/relationships/hyperlink" Target="http://example.com/carrelage2.jpg" TargetMode="External"/><Relationship Id="rId798" Type="http://schemas.openxmlformats.org/officeDocument/2006/relationships/hyperlink" Target="http://example.com/carrelage3.jpg" TargetMode="External"/><Relationship Id="rId92" Type="http://schemas.openxmlformats.org/officeDocument/2006/relationships/hyperlink" Target="http://example.com/carrelage1.jpg" TargetMode="External"/><Relationship Id="rId213" Type="http://schemas.openxmlformats.org/officeDocument/2006/relationships/hyperlink" Target="http://example.com/carrelage3.jpg" TargetMode="External"/><Relationship Id="rId420" Type="http://schemas.openxmlformats.org/officeDocument/2006/relationships/hyperlink" Target="http://example.com/carrelage3.jpg" TargetMode="External"/><Relationship Id="rId616" Type="http://schemas.openxmlformats.org/officeDocument/2006/relationships/hyperlink" Target="http://example.com/carrelage3.jpg" TargetMode="External"/><Relationship Id="rId658" Type="http://schemas.openxmlformats.org/officeDocument/2006/relationships/hyperlink" Target="http://example.com/carrelage1.jpg" TargetMode="External"/><Relationship Id="rId255" Type="http://schemas.openxmlformats.org/officeDocument/2006/relationships/hyperlink" Target="http://example.com/carrelage1.jpg" TargetMode="External"/><Relationship Id="rId297" Type="http://schemas.openxmlformats.org/officeDocument/2006/relationships/hyperlink" Target="http://example.com/carrelage1.jpg" TargetMode="External"/><Relationship Id="rId462" Type="http://schemas.openxmlformats.org/officeDocument/2006/relationships/hyperlink" Target="http://example.com/carrelage1.jpg" TargetMode="External"/><Relationship Id="rId518" Type="http://schemas.openxmlformats.org/officeDocument/2006/relationships/hyperlink" Target="http://example.com/carrelage2.jpg" TargetMode="External"/><Relationship Id="rId725" Type="http://schemas.openxmlformats.org/officeDocument/2006/relationships/hyperlink" Target="http://example.com/carrelage2.jpg" TargetMode="External"/><Relationship Id="rId115" Type="http://schemas.openxmlformats.org/officeDocument/2006/relationships/hyperlink" Target="http://example.com/carrelage2.jpg" TargetMode="External"/><Relationship Id="rId157" Type="http://schemas.openxmlformats.org/officeDocument/2006/relationships/hyperlink" Target="http://example.com/carrelage2.jpg" TargetMode="External"/><Relationship Id="rId322" Type="http://schemas.openxmlformats.org/officeDocument/2006/relationships/hyperlink" Target="http://example.com/carrelage2.jpg" TargetMode="External"/><Relationship Id="rId364" Type="http://schemas.openxmlformats.org/officeDocument/2006/relationships/hyperlink" Target="http://example.com/carrelage2.jpg" TargetMode="External"/><Relationship Id="rId767" Type="http://schemas.openxmlformats.org/officeDocument/2006/relationships/hyperlink" Target="http://example.com/carrelage1.jpg" TargetMode="External"/><Relationship Id="rId61" Type="http://schemas.openxmlformats.org/officeDocument/2006/relationships/hyperlink" Target="http://example.com/carrelage1.jpg" TargetMode="External"/><Relationship Id="rId199" Type="http://schemas.openxmlformats.org/officeDocument/2006/relationships/hyperlink" Target="http://example.com/carrelage3.jpg" TargetMode="External"/><Relationship Id="rId571" Type="http://schemas.openxmlformats.org/officeDocument/2006/relationships/hyperlink" Target="http://example.com/carrelage2.jpg" TargetMode="External"/><Relationship Id="rId627" Type="http://schemas.openxmlformats.org/officeDocument/2006/relationships/hyperlink" Target="http://example.com/carrelage3.jpg" TargetMode="External"/><Relationship Id="rId669" Type="http://schemas.openxmlformats.org/officeDocument/2006/relationships/hyperlink" Target="http://example.com/carrelage3.jpg" TargetMode="External"/><Relationship Id="rId19" Type="http://schemas.openxmlformats.org/officeDocument/2006/relationships/hyperlink" Target="http://example.com/carrelage1.jpg" TargetMode="External"/><Relationship Id="rId224" Type="http://schemas.openxmlformats.org/officeDocument/2006/relationships/hyperlink" Target="http://example.com/carrelage3.jpg" TargetMode="External"/><Relationship Id="rId266" Type="http://schemas.openxmlformats.org/officeDocument/2006/relationships/hyperlink" Target="http://example.com/carrelage1.jpg" TargetMode="External"/><Relationship Id="rId431" Type="http://schemas.openxmlformats.org/officeDocument/2006/relationships/hyperlink" Target="http://example.com/carrelage3.jpg" TargetMode="External"/><Relationship Id="rId473" Type="http://schemas.openxmlformats.org/officeDocument/2006/relationships/hyperlink" Target="http://example.com/carrelage1.jpg" TargetMode="External"/><Relationship Id="rId529" Type="http://schemas.openxmlformats.org/officeDocument/2006/relationships/hyperlink" Target="http://example.com/carrelage2.jpg" TargetMode="External"/><Relationship Id="rId680" Type="http://schemas.openxmlformats.org/officeDocument/2006/relationships/hyperlink" Target="http://example.com/carrelage3.jpg" TargetMode="External"/><Relationship Id="rId736" Type="http://schemas.openxmlformats.org/officeDocument/2006/relationships/hyperlink" Target="http://example.com/carrelage3.jpg" TargetMode="External"/><Relationship Id="rId30" Type="http://schemas.openxmlformats.org/officeDocument/2006/relationships/hyperlink" Target="http://example.com/carrelage3.jpg" TargetMode="External"/><Relationship Id="rId126" Type="http://schemas.openxmlformats.org/officeDocument/2006/relationships/hyperlink" Target="http://example.com/carrelage2.jpg" TargetMode="External"/><Relationship Id="rId168" Type="http://schemas.openxmlformats.org/officeDocument/2006/relationships/hyperlink" Target="http://example.com/carrelage2.jpg" TargetMode="External"/><Relationship Id="rId333" Type="http://schemas.openxmlformats.org/officeDocument/2006/relationships/hyperlink" Target="http://example.com/carrelage2.jpg" TargetMode="External"/><Relationship Id="rId540" Type="http://schemas.openxmlformats.org/officeDocument/2006/relationships/hyperlink" Target="http://example.com/carrelage2.jpg" TargetMode="External"/><Relationship Id="rId778" Type="http://schemas.openxmlformats.org/officeDocument/2006/relationships/hyperlink" Target="http://example.com/carrelage2.jpg" TargetMode="External"/><Relationship Id="rId72" Type="http://schemas.openxmlformats.org/officeDocument/2006/relationships/hyperlink" Target="http://example.com/carrelage1.jpg" TargetMode="External"/><Relationship Id="rId375" Type="http://schemas.openxmlformats.org/officeDocument/2006/relationships/hyperlink" Target="http://example.com/carrelage3.jpg" TargetMode="External"/><Relationship Id="rId582" Type="http://schemas.openxmlformats.org/officeDocument/2006/relationships/hyperlink" Target="http://example.com/carrelage3.jpg" TargetMode="External"/><Relationship Id="rId638" Type="http://schemas.openxmlformats.org/officeDocument/2006/relationships/hyperlink" Target="http://example.com/carrelage3.jpg" TargetMode="External"/><Relationship Id="rId803" Type="http://schemas.openxmlformats.org/officeDocument/2006/relationships/hyperlink" Target="http://example.com/carrelage1.jpg" TargetMode="External"/><Relationship Id="rId3" Type="http://schemas.openxmlformats.org/officeDocument/2006/relationships/hyperlink" Target="http://example.com/carrelage3.jpg" TargetMode="External"/><Relationship Id="rId235" Type="http://schemas.openxmlformats.org/officeDocument/2006/relationships/hyperlink" Target="http://example.com/carrelage1.jpg" TargetMode="External"/><Relationship Id="rId277" Type="http://schemas.openxmlformats.org/officeDocument/2006/relationships/hyperlink" Target="http://example.com/carrelage1.jpg" TargetMode="External"/><Relationship Id="rId400" Type="http://schemas.openxmlformats.org/officeDocument/2006/relationships/hyperlink" Target="http://example.com/carrelage3.jpg" TargetMode="External"/><Relationship Id="rId442" Type="http://schemas.openxmlformats.org/officeDocument/2006/relationships/hyperlink" Target="http://example.com/carrelage1.jpg" TargetMode="External"/><Relationship Id="rId484" Type="http://schemas.openxmlformats.org/officeDocument/2006/relationships/hyperlink" Target="http://example.com/carrelage1.jpg" TargetMode="External"/><Relationship Id="rId705" Type="http://schemas.openxmlformats.org/officeDocument/2006/relationships/hyperlink" Target="http://example.com/carrelage1.jpg" TargetMode="External"/><Relationship Id="rId137" Type="http://schemas.openxmlformats.org/officeDocument/2006/relationships/hyperlink" Target="http://example.com/carrelage2.jpg" TargetMode="External"/><Relationship Id="rId302" Type="http://schemas.openxmlformats.org/officeDocument/2006/relationships/hyperlink" Target="http://example.com/carrelage2.jpg" TargetMode="External"/><Relationship Id="rId344" Type="http://schemas.openxmlformats.org/officeDocument/2006/relationships/hyperlink" Target="http://example.com/carrelage2.jpg" TargetMode="External"/><Relationship Id="rId691" Type="http://schemas.openxmlformats.org/officeDocument/2006/relationships/hyperlink" Target="http://example.com/carrelage1.jpg" TargetMode="External"/><Relationship Id="rId747" Type="http://schemas.openxmlformats.org/officeDocument/2006/relationships/hyperlink" Target="http://example.com/carrelage3.jpg" TargetMode="External"/><Relationship Id="rId789" Type="http://schemas.openxmlformats.org/officeDocument/2006/relationships/hyperlink" Target="http://example.com/carrelage2.jpg" TargetMode="External"/><Relationship Id="rId41" Type="http://schemas.openxmlformats.org/officeDocument/2006/relationships/hyperlink" Target="http://example.com/carrelage1.jpg" TargetMode="External"/><Relationship Id="rId83" Type="http://schemas.openxmlformats.org/officeDocument/2006/relationships/hyperlink" Target="http://example.com/carrelage1.jpg" TargetMode="External"/><Relationship Id="rId179" Type="http://schemas.openxmlformats.org/officeDocument/2006/relationships/hyperlink" Target="http://example.com/carrelage3.jpg" TargetMode="External"/><Relationship Id="rId386" Type="http://schemas.openxmlformats.org/officeDocument/2006/relationships/hyperlink" Target="http://example.com/carrelage3.jpg" TargetMode="External"/><Relationship Id="rId551" Type="http://schemas.openxmlformats.org/officeDocument/2006/relationships/hyperlink" Target="http://example.com/carrelage2.jpg" TargetMode="External"/><Relationship Id="rId593" Type="http://schemas.openxmlformats.org/officeDocument/2006/relationships/hyperlink" Target="http://example.com/carrelage3.jpg" TargetMode="External"/><Relationship Id="rId607" Type="http://schemas.openxmlformats.org/officeDocument/2006/relationships/hyperlink" Target="http://example.com/carrelage3.jpg" TargetMode="External"/><Relationship Id="rId649" Type="http://schemas.openxmlformats.org/officeDocument/2006/relationships/hyperlink" Target="http://example.com/carrelage2.jpg" TargetMode="External"/><Relationship Id="rId814" Type="http://schemas.openxmlformats.org/officeDocument/2006/relationships/printerSettings" Target="../printerSettings/printerSettings2.bin"/><Relationship Id="rId190" Type="http://schemas.openxmlformats.org/officeDocument/2006/relationships/hyperlink" Target="http://example.com/carrelage3.jpg" TargetMode="External"/><Relationship Id="rId204" Type="http://schemas.openxmlformats.org/officeDocument/2006/relationships/hyperlink" Target="http://example.com/carrelage3.jpg" TargetMode="External"/><Relationship Id="rId246" Type="http://schemas.openxmlformats.org/officeDocument/2006/relationships/hyperlink" Target="http://example.com/carrelage1.jpg" TargetMode="External"/><Relationship Id="rId288" Type="http://schemas.openxmlformats.org/officeDocument/2006/relationships/hyperlink" Target="http://example.com/carrelage1.jpg" TargetMode="External"/><Relationship Id="rId411" Type="http://schemas.openxmlformats.org/officeDocument/2006/relationships/hyperlink" Target="http://example.com/carrelage3.jpg" TargetMode="External"/><Relationship Id="rId453" Type="http://schemas.openxmlformats.org/officeDocument/2006/relationships/hyperlink" Target="http://example.com/carrelage1.jpg" TargetMode="External"/><Relationship Id="rId509" Type="http://schemas.openxmlformats.org/officeDocument/2006/relationships/hyperlink" Target="http://example.com/carrelage2.jpg" TargetMode="External"/><Relationship Id="rId660" Type="http://schemas.openxmlformats.org/officeDocument/2006/relationships/hyperlink" Target="http://example.com/carrelage1.jpg" TargetMode="External"/><Relationship Id="rId106" Type="http://schemas.openxmlformats.org/officeDocument/2006/relationships/hyperlink" Target="http://example.com/carrelage2.jpg" TargetMode="External"/><Relationship Id="rId313" Type="http://schemas.openxmlformats.org/officeDocument/2006/relationships/hyperlink" Target="http://example.com/carrelage2.jpg" TargetMode="External"/><Relationship Id="rId495" Type="http://schemas.openxmlformats.org/officeDocument/2006/relationships/hyperlink" Target="http://example.com/carrelage1.jpg" TargetMode="External"/><Relationship Id="rId716" Type="http://schemas.openxmlformats.org/officeDocument/2006/relationships/hyperlink" Target="http://example.com/carrelage2.jpg" TargetMode="External"/><Relationship Id="rId758" Type="http://schemas.openxmlformats.org/officeDocument/2006/relationships/hyperlink" Target="http://example.com/carrelage2.jpg" TargetMode="External"/><Relationship Id="rId10" Type="http://schemas.openxmlformats.org/officeDocument/2006/relationships/hyperlink" Target="http://example.com/carrelage1.jpg" TargetMode="External"/><Relationship Id="rId52" Type="http://schemas.openxmlformats.org/officeDocument/2006/relationships/hyperlink" Target="http://example.com/carrelage1.jpg" TargetMode="External"/><Relationship Id="rId94" Type="http://schemas.openxmlformats.org/officeDocument/2006/relationships/hyperlink" Target="http://example.com/carrelage1.jpg" TargetMode="External"/><Relationship Id="rId148" Type="http://schemas.openxmlformats.org/officeDocument/2006/relationships/hyperlink" Target="http://example.com/carrelage2.jpg" TargetMode="External"/><Relationship Id="rId355" Type="http://schemas.openxmlformats.org/officeDocument/2006/relationships/hyperlink" Target="http://example.com/carrelage2.jpg" TargetMode="External"/><Relationship Id="rId397" Type="http://schemas.openxmlformats.org/officeDocument/2006/relationships/hyperlink" Target="http://example.com/carrelage3.jpg" TargetMode="External"/><Relationship Id="rId520" Type="http://schemas.openxmlformats.org/officeDocument/2006/relationships/hyperlink" Target="http://example.com/carrelage2.jpg" TargetMode="External"/><Relationship Id="rId562" Type="http://schemas.openxmlformats.org/officeDocument/2006/relationships/hyperlink" Target="http://example.com/carrelage2.jpg" TargetMode="External"/><Relationship Id="rId618" Type="http://schemas.openxmlformats.org/officeDocument/2006/relationships/hyperlink" Target="http://example.com/carrelage3.jpg" TargetMode="External"/><Relationship Id="rId215" Type="http://schemas.openxmlformats.org/officeDocument/2006/relationships/hyperlink" Target="http://example.com/carrelage3.jpg" TargetMode="External"/><Relationship Id="rId257" Type="http://schemas.openxmlformats.org/officeDocument/2006/relationships/hyperlink" Target="http://example.com/carrelage1.jpg" TargetMode="External"/><Relationship Id="rId422" Type="http://schemas.openxmlformats.org/officeDocument/2006/relationships/hyperlink" Target="http://example.com/carrelage3.jpg" TargetMode="External"/><Relationship Id="rId464" Type="http://schemas.openxmlformats.org/officeDocument/2006/relationships/hyperlink" Target="http://example.com/carrelage1.jpg" TargetMode="External"/><Relationship Id="rId299" Type="http://schemas.openxmlformats.org/officeDocument/2006/relationships/hyperlink" Target="http://example.com/carrelage1.jpg" TargetMode="External"/><Relationship Id="rId727" Type="http://schemas.openxmlformats.org/officeDocument/2006/relationships/hyperlink" Target="http://example.com/carrelage2.jpg" TargetMode="External"/><Relationship Id="rId63" Type="http://schemas.openxmlformats.org/officeDocument/2006/relationships/hyperlink" Target="http://example.com/carrelage1.jpg" TargetMode="External"/><Relationship Id="rId159" Type="http://schemas.openxmlformats.org/officeDocument/2006/relationships/hyperlink" Target="http://example.com/carrelage2.jpg" TargetMode="External"/><Relationship Id="rId366" Type="http://schemas.openxmlformats.org/officeDocument/2006/relationships/hyperlink" Target="http://example.com/carrelage2.jpg" TargetMode="External"/><Relationship Id="rId573" Type="http://schemas.openxmlformats.org/officeDocument/2006/relationships/hyperlink" Target="http://example.com/carrelage2.jpg" TargetMode="External"/><Relationship Id="rId780" Type="http://schemas.openxmlformats.org/officeDocument/2006/relationships/hyperlink" Target="http://example.com/carrelage2.jpg" TargetMode="External"/><Relationship Id="rId226" Type="http://schemas.openxmlformats.org/officeDocument/2006/relationships/hyperlink" Target="http://example.com/carrelage3.jpg" TargetMode="External"/><Relationship Id="rId433" Type="http://schemas.openxmlformats.org/officeDocument/2006/relationships/hyperlink" Target="http://example.com/carrelage3.jpg" TargetMode="External"/><Relationship Id="rId640" Type="http://schemas.openxmlformats.org/officeDocument/2006/relationships/hyperlink" Target="http://example.com/carrelage3.jpg" TargetMode="External"/><Relationship Id="rId738" Type="http://schemas.openxmlformats.org/officeDocument/2006/relationships/hyperlink" Target="http://example.com/carrelage3.jpg" TargetMode="External"/><Relationship Id="rId74" Type="http://schemas.openxmlformats.org/officeDocument/2006/relationships/hyperlink" Target="http://example.com/carrelage1.jpg" TargetMode="External"/><Relationship Id="rId377" Type="http://schemas.openxmlformats.org/officeDocument/2006/relationships/hyperlink" Target="http://example.com/carrelage3.jpg" TargetMode="External"/><Relationship Id="rId500" Type="http://schemas.openxmlformats.org/officeDocument/2006/relationships/hyperlink" Target="http://example.com/carrelage1.jpg" TargetMode="External"/><Relationship Id="rId584" Type="http://schemas.openxmlformats.org/officeDocument/2006/relationships/hyperlink" Target="http://example.com/carrelage3.jpg" TargetMode="External"/><Relationship Id="rId805" Type="http://schemas.openxmlformats.org/officeDocument/2006/relationships/hyperlink" Target="http://example.com/carrelage1.jpg" TargetMode="External"/><Relationship Id="rId5" Type="http://schemas.openxmlformats.org/officeDocument/2006/relationships/hyperlink" Target="http://example.com/carrelage2.jpg" TargetMode="External"/><Relationship Id="rId237" Type="http://schemas.openxmlformats.org/officeDocument/2006/relationships/hyperlink" Target="http://example.com/carrelage1.jpg" TargetMode="External"/><Relationship Id="rId791" Type="http://schemas.openxmlformats.org/officeDocument/2006/relationships/hyperlink" Target="http://example.com/carrelage3.jpg" TargetMode="External"/><Relationship Id="rId444" Type="http://schemas.openxmlformats.org/officeDocument/2006/relationships/hyperlink" Target="http://example.com/carrelage1.jpg" TargetMode="External"/><Relationship Id="rId651" Type="http://schemas.openxmlformats.org/officeDocument/2006/relationships/hyperlink" Target="http://example.com/carrelage3.jpg" TargetMode="External"/><Relationship Id="rId749" Type="http://schemas.openxmlformats.org/officeDocument/2006/relationships/hyperlink" Target="http://example.com/carrelage3.jpg" TargetMode="External"/><Relationship Id="rId290" Type="http://schemas.openxmlformats.org/officeDocument/2006/relationships/hyperlink" Target="http://example.com/carrelage1.jpg" TargetMode="External"/><Relationship Id="rId304" Type="http://schemas.openxmlformats.org/officeDocument/2006/relationships/hyperlink" Target="http://example.com/carrelage2.jpg" TargetMode="External"/><Relationship Id="rId388" Type="http://schemas.openxmlformats.org/officeDocument/2006/relationships/hyperlink" Target="http://example.com/carrelage3.jpg" TargetMode="External"/><Relationship Id="rId511" Type="http://schemas.openxmlformats.org/officeDocument/2006/relationships/hyperlink" Target="http://example.com/carrelage2.jpg" TargetMode="External"/><Relationship Id="rId609" Type="http://schemas.openxmlformats.org/officeDocument/2006/relationships/hyperlink" Target="http://example.com/carrelage3.jpg" TargetMode="External"/><Relationship Id="rId85" Type="http://schemas.openxmlformats.org/officeDocument/2006/relationships/hyperlink" Target="http://example.com/carrelage1.jpg" TargetMode="External"/><Relationship Id="rId150" Type="http://schemas.openxmlformats.org/officeDocument/2006/relationships/hyperlink" Target="http://example.com/carrelage2.jpg" TargetMode="External"/><Relationship Id="rId595" Type="http://schemas.openxmlformats.org/officeDocument/2006/relationships/hyperlink" Target="http://example.com/carrelage3.jpg" TargetMode="External"/><Relationship Id="rId248" Type="http://schemas.openxmlformats.org/officeDocument/2006/relationships/hyperlink" Target="http://example.com/carrelage1.jpg" TargetMode="External"/><Relationship Id="rId455" Type="http://schemas.openxmlformats.org/officeDocument/2006/relationships/hyperlink" Target="http://example.com/carrelage1.jpg" TargetMode="External"/><Relationship Id="rId662" Type="http://schemas.openxmlformats.org/officeDocument/2006/relationships/hyperlink" Target="http://example.com/carrelage2.jpg" TargetMode="External"/><Relationship Id="rId12" Type="http://schemas.openxmlformats.org/officeDocument/2006/relationships/hyperlink" Target="http://example.com/carrelage3.jpg" TargetMode="External"/><Relationship Id="rId108" Type="http://schemas.openxmlformats.org/officeDocument/2006/relationships/hyperlink" Target="http://example.com/carrelage2.jpg" TargetMode="External"/><Relationship Id="rId315" Type="http://schemas.openxmlformats.org/officeDocument/2006/relationships/hyperlink" Target="http://example.com/carrelage2.jpg" TargetMode="External"/><Relationship Id="rId522" Type="http://schemas.openxmlformats.org/officeDocument/2006/relationships/hyperlink" Target="http://example.com/carrelage2.jpg" TargetMode="External"/><Relationship Id="rId96" Type="http://schemas.openxmlformats.org/officeDocument/2006/relationships/hyperlink" Target="http://example.com/carrelage1.jpg" TargetMode="External"/><Relationship Id="rId161" Type="http://schemas.openxmlformats.org/officeDocument/2006/relationships/hyperlink" Target="http://example.com/carrelage2.jpg" TargetMode="External"/><Relationship Id="rId399" Type="http://schemas.openxmlformats.org/officeDocument/2006/relationships/hyperlink" Target="http://example.com/carrelage3.jpg" TargetMode="External"/><Relationship Id="rId259" Type="http://schemas.openxmlformats.org/officeDocument/2006/relationships/hyperlink" Target="http://example.com/carrelage1.jpg" TargetMode="External"/><Relationship Id="rId466" Type="http://schemas.openxmlformats.org/officeDocument/2006/relationships/hyperlink" Target="http://example.com/carrelage1.jpg" TargetMode="External"/><Relationship Id="rId673" Type="http://schemas.openxmlformats.org/officeDocument/2006/relationships/hyperlink" Target="http://example.com/carrelage1.jpg" TargetMode="External"/><Relationship Id="rId23" Type="http://schemas.openxmlformats.org/officeDocument/2006/relationships/hyperlink" Target="http://example.com/carrelage2.jpg" TargetMode="External"/><Relationship Id="rId119" Type="http://schemas.openxmlformats.org/officeDocument/2006/relationships/hyperlink" Target="http://example.com/carrelage2.jpg" TargetMode="External"/><Relationship Id="rId326" Type="http://schemas.openxmlformats.org/officeDocument/2006/relationships/hyperlink" Target="http://example.com/carrelage2.jpg" TargetMode="External"/><Relationship Id="rId533" Type="http://schemas.openxmlformats.org/officeDocument/2006/relationships/hyperlink" Target="http://example.com/carrelage2.jpg" TargetMode="External"/><Relationship Id="rId740" Type="http://schemas.openxmlformats.org/officeDocument/2006/relationships/hyperlink" Target="http://example.com/carrelage3.jpg" TargetMode="External"/><Relationship Id="rId172" Type="http://schemas.openxmlformats.org/officeDocument/2006/relationships/hyperlink" Target="http://example.com/carrelage3.jpg" TargetMode="External"/><Relationship Id="rId477" Type="http://schemas.openxmlformats.org/officeDocument/2006/relationships/hyperlink" Target="http://example.com/carrelage1.jpg" TargetMode="External"/><Relationship Id="rId600" Type="http://schemas.openxmlformats.org/officeDocument/2006/relationships/hyperlink" Target="http://example.com/carrelage3.jpg" TargetMode="External"/><Relationship Id="rId684" Type="http://schemas.openxmlformats.org/officeDocument/2006/relationships/hyperlink" Target="http://example.com/carrelage1.jpg" TargetMode="External"/><Relationship Id="rId337" Type="http://schemas.openxmlformats.org/officeDocument/2006/relationships/hyperlink" Target="http://example.com/carrelage2.jpg" TargetMode="External"/><Relationship Id="rId34" Type="http://schemas.openxmlformats.org/officeDocument/2006/relationships/hyperlink" Target="http://example.com/carrelage1.jpg" TargetMode="External"/><Relationship Id="rId544" Type="http://schemas.openxmlformats.org/officeDocument/2006/relationships/hyperlink" Target="http://example.com/carrelage2.jpg" TargetMode="External"/><Relationship Id="rId751" Type="http://schemas.openxmlformats.org/officeDocument/2006/relationships/hyperlink" Target="http://example.com/carrelage3.jpg" TargetMode="External"/><Relationship Id="rId183" Type="http://schemas.openxmlformats.org/officeDocument/2006/relationships/hyperlink" Target="http://example.com/carrelage3.jpg" TargetMode="External"/><Relationship Id="rId390" Type="http://schemas.openxmlformats.org/officeDocument/2006/relationships/hyperlink" Target="http://example.com/carrelage3.jpg" TargetMode="External"/><Relationship Id="rId404" Type="http://schemas.openxmlformats.org/officeDocument/2006/relationships/hyperlink" Target="http://example.com/carrelage3.jpg" TargetMode="External"/><Relationship Id="rId611" Type="http://schemas.openxmlformats.org/officeDocument/2006/relationships/hyperlink" Target="http://example.com/carrelage3.jpg" TargetMode="External"/><Relationship Id="rId250" Type="http://schemas.openxmlformats.org/officeDocument/2006/relationships/hyperlink" Target="http://example.com/carrelage1.jpg" TargetMode="External"/><Relationship Id="rId488" Type="http://schemas.openxmlformats.org/officeDocument/2006/relationships/hyperlink" Target="http://example.com/carrelage1.jpg" TargetMode="External"/><Relationship Id="rId695" Type="http://schemas.openxmlformats.org/officeDocument/2006/relationships/hyperlink" Target="http://example.com/carrelage1.jpg" TargetMode="External"/><Relationship Id="rId709" Type="http://schemas.openxmlformats.org/officeDocument/2006/relationships/hyperlink" Target="http://example.com/carrelage2.jpg" TargetMode="External"/><Relationship Id="rId45" Type="http://schemas.openxmlformats.org/officeDocument/2006/relationships/hyperlink" Target="http://example.com/carrelage1.jpg" TargetMode="External"/><Relationship Id="rId110" Type="http://schemas.openxmlformats.org/officeDocument/2006/relationships/hyperlink" Target="http://example.com/carrelage2.jpg" TargetMode="External"/><Relationship Id="rId348" Type="http://schemas.openxmlformats.org/officeDocument/2006/relationships/hyperlink" Target="http://example.com/carrelage2.jpg" TargetMode="External"/><Relationship Id="rId555" Type="http://schemas.openxmlformats.org/officeDocument/2006/relationships/hyperlink" Target="http://example.com/carrelage2.jpg" TargetMode="External"/><Relationship Id="rId762" Type="http://schemas.openxmlformats.org/officeDocument/2006/relationships/hyperlink" Target="http://example.com/carrelage3.jpg" TargetMode="External"/><Relationship Id="rId194" Type="http://schemas.openxmlformats.org/officeDocument/2006/relationships/hyperlink" Target="http://example.com/carrelage3.jpg" TargetMode="External"/><Relationship Id="rId208" Type="http://schemas.openxmlformats.org/officeDocument/2006/relationships/hyperlink" Target="http://example.com/carrelage3.jpg" TargetMode="External"/><Relationship Id="rId415" Type="http://schemas.openxmlformats.org/officeDocument/2006/relationships/hyperlink" Target="http://example.com/carrelage3.jpg" TargetMode="External"/><Relationship Id="rId622" Type="http://schemas.openxmlformats.org/officeDocument/2006/relationships/hyperlink" Target="http://example.com/carrelage3.jpg" TargetMode="External"/><Relationship Id="rId261" Type="http://schemas.openxmlformats.org/officeDocument/2006/relationships/hyperlink" Target="http://example.com/carrelage1.jpg" TargetMode="External"/><Relationship Id="rId499" Type="http://schemas.openxmlformats.org/officeDocument/2006/relationships/hyperlink" Target="http://example.com/carrelage1.jpg" TargetMode="External"/><Relationship Id="rId56" Type="http://schemas.openxmlformats.org/officeDocument/2006/relationships/hyperlink" Target="http://example.com/carrelage1.jpg" TargetMode="External"/><Relationship Id="rId359" Type="http://schemas.openxmlformats.org/officeDocument/2006/relationships/hyperlink" Target="http://example.com/carrelage2.jpg" TargetMode="External"/><Relationship Id="rId566" Type="http://schemas.openxmlformats.org/officeDocument/2006/relationships/hyperlink" Target="http://example.com/carrelage2.jpg" TargetMode="External"/><Relationship Id="rId773" Type="http://schemas.openxmlformats.org/officeDocument/2006/relationships/hyperlink" Target="http://example.com/carrelage1.jpg" TargetMode="External"/><Relationship Id="rId121" Type="http://schemas.openxmlformats.org/officeDocument/2006/relationships/hyperlink" Target="http://example.com/carrelage2.jpg" TargetMode="External"/><Relationship Id="rId219" Type="http://schemas.openxmlformats.org/officeDocument/2006/relationships/hyperlink" Target="http://example.com/carrelage3.jpg" TargetMode="External"/><Relationship Id="rId426" Type="http://schemas.openxmlformats.org/officeDocument/2006/relationships/hyperlink" Target="http://example.com/carrelage3.jpg" TargetMode="External"/><Relationship Id="rId633" Type="http://schemas.openxmlformats.org/officeDocument/2006/relationships/hyperlink" Target="http://example.com/carrelage3.jpg" TargetMode="External"/><Relationship Id="rId67" Type="http://schemas.openxmlformats.org/officeDocument/2006/relationships/hyperlink" Target="http://example.com/carrelage1.jpg" TargetMode="External"/><Relationship Id="rId272" Type="http://schemas.openxmlformats.org/officeDocument/2006/relationships/hyperlink" Target="http://example.com/carrelage1.jpg" TargetMode="External"/><Relationship Id="rId577" Type="http://schemas.openxmlformats.org/officeDocument/2006/relationships/hyperlink" Target="http://example.com/carrelage3.jpg" TargetMode="External"/><Relationship Id="rId700" Type="http://schemas.openxmlformats.org/officeDocument/2006/relationships/hyperlink" Target="http://example.com/carrelage1.jpg" TargetMode="External"/><Relationship Id="rId132" Type="http://schemas.openxmlformats.org/officeDocument/2006/relationships/hyperlink" Target="http://example.com/carrelage2.jpg" TargetMode="External"/><Relationship Id="rId784" Type="http://schemas.openxmlformats.org/officeDocument/2006/relationships/hyperlink" Target="http://example.com/carrelage2.jpg" TargetMode="External"/><Relationship Id="rId437" Type="http://schemas.openxmlformats.org/officeDocument/2006/relationships/hyperlink" Target="http://example.com/carrelage1.jpg" TargetMode="External"/><Relationship Id="rId644" Type="http://schemas.openxmlformats.org/officeDocument/2006/relationships/hyperlink" Target="http://example.com/carrelage3.jpg" TargetMode="External"/><Relationship Id="rId283" Type="http://schemas.openxmlformats.org/officeDocument/2006/relationships/hyperlink" Target="http://example.com/carrelage1.jpg" TargetMode="External"/><Relationship Id="rId490" Type="http://schemas.openxmlformats.org/officeDocument/2006/relationships/hyperlink" Target="http://example.com/carrelage1.jpg" TargetMode="External"/><Relationship Id="rId504" Type="http://schemas.openxmlformats.org/officeDocument/2006/relationships/hyperlink" Target="http://example.com/carrelage1.jpg" TargetMode="External"/><Relationship Id="rId711" Type="http://schemas.openxmlformats.org/officeDocument/2006/relationships/hyperlink" Target="http://example.com/carrelage2.jpg" TargetMode="External"/><Relationship Id="rId78" Type="http://schemas.openxmlformats.org/officeDocument/2006/relationships/hyperlink" Target="http://example.com/carrelage1.jpg" TargetMode="External"/><Relationship Id="rId143" Type="http://schemas.openxmlformats.org/officeDocument/2006/relationships/hyperlink" Target="http://example.com/carrelage2.jpg" TargetMode="External"/><Relationship Id="rId350" Type="http://schemas.openxmlformats.org/officeDocument/2006/relationships/hyperlink" Target="http://example.com/carrelage2.jpg" TargetMode="External"/><Relationship Id="rId588" Type="http://schemas.openxmlformats.org/officeDocument/2006/relationships/hyperlink" Target="http://example.com/carrelage3.jpg" TargetMode="External"/><Relationship Id="rId795" Type="http://schemas.openxmlformats.org/officeDocument/2006/relationships/hyperlink" Target="http://example.com/carrelage3.jpg" TargetMode="External"/><Relationship Id="rId809" Type="http://schemas.openxmlformats.org/officeDocument/2006/relationships/hyperlink" Target="http://example.com/carrelage2.jpg" TargetMode="External"/><Relationship Id="rId9" Type="http://schemas.openxmlformats.org/officeDocument/2006/relationships/hyperlink" Target="http://example.com/carrelage3.jpg" TargetMode="External"/><Relationship Id="rId210" Type="http://schemas.openxmlformats.org/officeDocument/2006/relationships/hyperlink" Target="http://example.com/carrelage3.jpg" TargetMode="External"/><Relationship Id="rId448" Type="http://schemas.openxmlformats.org/officeDocument/2006/relationships/hyperlink" Target="http://example.com/carrelage1.jpg" TargetMode="External"/><Relationship Id="rId655" Type="http://schemas.openxmlformats.org/officeDocument/2006/relationships/hyperlink" Target="http://example.com/carrelage2.jpg" TargetMode="External"/><Relationship Id="rId294" Type="http://schemas.openxmlformats.org/officeDocument/2006/relationships/hyperlink" Target="http://example.com/carrelage1.jpg" TargetMode="External"/><Relationship Id="rId308" Type="http://schemas.openxmlformats.org/officeDocument/2006/relationships/hyperlink" Target="http://example.com/carrelage2.jpg" TargetMode="External"/><Relationship Id="rId515" Type="http://schemas.openxmlformats.org/officeDocument/2006/relationships/hyperlink" Target="http://example.com/carrelage2.jpg" TargetMode="External"/><Relationship Id="rId722" Type="http://schemas.openxmlformats.org/officeDocument/2006/relationships/hyperlink" Target="http://example.com/carrelage2.jpg" TargetMode="External"/><Relationship Id="rId89" Type="http://schemas.openxmlformats.org/officeDocument/2006/relationships/hyperlink" Target="http://example.com/carrelage1.jpg" TargetMode="External"/><Relationship Id="rId154" Type="http://schemas.openxmlformats.org/officeDocument/2006/relationships/hyperlink" Target="http://example.com/carrelage2.jpg" TargetMode="External"/><Relationship Id="rId361" Type="http://schemas.openxmlformats.org/officeDocument/2006/relationships/hyperlink" Target="http://example.com/carrelage2.jpg" TargetMode="External"/><Relationship Id="rId599" Type="http://schemas.openxmlformats.org/officeDocument/2006/relationships/hyperlink" Target="http://example.com/carrelage3.jpg" TargetMode="External"/><Relationship Id="rId459" Type="http://schemas.openxmlformats.org/officeDocument/2006/relationships/hyperlink" Target="http://example.com/carrelage1.jpg" TargetMode="External"/><Relationship Id="rId666" Type="http://schemas.openxmlformats.org/officeDocument/2006/relationships/hyperlink" Target="http://example.com/carrelage3.jpg" TargetMode="External"/><Relationship Id="rId16" Type="http://schemas.openxmlformats.org/officeDocument/2006/relationships/hyperlink" Target="http://example.com/carrelage1.jpg" TargetMode="External"/><Relationship Id="rId221" Type="http://schemas.openxmlformats.org/officeDocument/2006/relationships/hyperlink" Target="http://example.com/carrelage3.jpg" TargetMode="External"/><Relationship Id="rId319" Type="http://schemas.openxmlformats.org/officeDocument/2006/relationships/hyperlink" Target="http://example.com/carrelage2.jpg" TargetMode="External"/><Relationship Id="rId526" Type="http://schemas.openxmlformats.org/officeDocument/2006/relationships/hyperlink" Target="http://example.com/carrelage2.jpg" TargetMode="External"/><Relationship Id="rId733" Type="http://schemas.openxmlformats.org/officeDocument/2006/relationships/hyperlink" Target="http://example.com/carrelage3.jpg" TargetMode="External"/><Relationship Id="rId165" Type="http://schemas.openxmlformats.org/officeDocument/2006/relationships/hyperlink" Target="http://example.com/carrelage2.jpg" TargetMode="External"/><Relationship Id="rId372" Type="http://schemas.openxmlformats.org/officeDocument/2006/relationships/hyperlink" Target="http://example.com/carrelage3.jpg" TargetMode="External"/><Relationship Id="rId677" Type="http://schemas.openxmlformats.org/officeDocument/2006/relationships/hyperlink" Target="http://example.com/carrelage2.jpg" TargetMode="External"/><Relationship Id="rId800" Type="http://schemas.openxmlformats.org/officeDocument/2006/relationships/hyperlink" Target="http://example.com/carrelage3.jpg" TargetMode="External"/><Relationship Id="rId232" Type="http://schemas.openxmlformats.org/officeDocument/2006/relationships/hyperlink" Target="http://example.com/carrelage3.jpg" TargetMode="External"/><Relationship Id="rId27" Type="http://schemas.openxmlformats.org/officeDocument/2006/relationships/hyperlink" Target="http://example.com/carrelage3.jpg" TargetMode="External"/><Relationship Id="rId537" Type="http://schemas.openxmlformats.org/officeDocument/2006/relationships/hyperlink" Target="http://example.com/carrelage2.jpg" TargetMode="External"/><Relationship Id="rId744" Type="http://schemas.openxmlformats.org/officeDocument/2006/relationships/hyperlink" Target="http://example.com/carrelage3.jpg" TargetMode="External"/><Relationship Id="rId80" Type="http://schemas.openxmlformats.org/officeDocument/2006/relationships/hyperlink" Target="http://example.com/carrelage1.jpg" TargetMode="External"/><Relationship Id="rId176" Type="http://schemas.openxmlformats.org/officeDocument/2006/relationships/hyperlink" Target="http://example.com/carrelage3.jpg" TargetMode="External"/><Relationship Id="rId383" Type="http://schemas.openxmlformats.org/officeDocument/2006/relationships/hyperlink" Target="http://example.com/carrelage3.jpg" TargetMode="External"/><Relationship Id="rId590" Type="http://schemas.openxmlformats.org/officeDocument/2006/relationships/hyperlink" Target="http://example.com/carrelage3.jpg" TargetMode="External"/><Relationship Id="rId604" Type="http://schemas.openxmlformats.org/officeDocument/2006/relationships/hyperlink" Target="http://example.com/carrelage3.jpg" TargetMode="External"/><Relationship Id="rId811" Type="http://schemas.openxmlformats.org/officeDocument/2006/relationships/hyperlink" Target="http://example.com/carrelage3.jpg" TargetMode="External"/><Relationship Id="rId243" Type="http://schemas.openxmlformats.org/officeDocument/2006/relationships/hyperlink" Target="http://example.com/carrelage1.jpg" TargetMode="External"/><Relationship Id="rId450" Type="http://schemas.openxmlformats.org/officeDocument/2006/relationships/hyperlink" Target="http://example.com/carrelage1.jpg" TargetMode="External"/><Relationship Id="rId688" Type="http://schemas.openxmlformats.org/officeDocument/2006/relationships/hyperlink" Target="http://example.com/carrelage1.jpg" TargetMode="External"/><Relationship Id="rId38" Type="http://schemas.openxmlformats.org/officeDocument/2006/relationships/hyperlink" Target="http://example.com/carrelage1.jpg" TargetMode="External"/><Relationship Id="rId103" Type="http://schemas.openxmlformats.org/officeDocument/2006/relationships/hyperlink" Target="http://example.com/carrelage2.jpg" TargetMode="External"/><Relationship Id="rId310" Type="http://schemas.openxmlformats.org/officeDocument/2006/relationships/hyperlink" Target="http://example.com/carrelage2.jpg" TargetMode="External"/><Relationship Id="rId548" Type="http://schemas.openxmlformats.org/officeDocument/2006/relationships/hyperlink" Target="http://example.com/carrelage2.jpg" TargetMode="External"/><Relationship Id="rId755" Type="http://schemas.openxmlformats.org/officeDocument/2006/relationships/hyperlink" Target="http://example.com/carrelage1.jpg" TargetMode="External"/><Relationship Id="rId91" Type="http://schemas.openxmlformats.org/officeDocument/2006/relationships/hyperlink" Target="http://example.com/carrelage1.jpg" TargetMode="External"/><Relationship Id="rId187" Type="http://schemas.openxmlformats.org/officeDocument/2006/relationships/hyperlink" Target="http://example.com/carrelage3.jpg" TargetMode="External"/><Relationship Id="rId394" Type="http://schemas.openxmlformats.org/officeDocument/2006/relationships/hyperlink" Target="http://example.com/carrelage3.jpg" TargetMode="External"/><Relationship Id="rId408" Type="http://schemas.openxmlformats.org/officeDocument/2006/relationships/hyperlink" Target="http://example.com/carrelage3.jpg" TargetMode="External"/><Relationship Id="rId615" Type="http://schemas.openxmlformats.org/officeDocument/2006/relationships/hyperlink" Target="http://example.com/carrelage3.jpg" TargetMode="External"/><Relationship Id="rId254" Type="http://schemas.openxmlformats.org/officeDocument/2006/relationships/hyperlink" Target="http://example.com/carrelage1.jpg" TargetMode="External"/><Relationship Id="rId699" Type="http://schemas.openxmlformats.org/officeDocument/2006/relationships/hyperlink" Target="http://example.com/carrelage1.jpg" TargetMode="External"/><Relationship Id="rId49" Type="http://schemas.openxmlformats.org/officeDocument/2006/relationships/hyperlink" Target="http://example.com/carrelage1.jpg" TargetMode="External"/><Relationship Id="rId114" Type="http://schemas.openxmlformats.org/officeDocument/2006/relationships/hyperlink" Target="http://example.com/carrelage2.jpg" TargetMode="External"/><Relationship Id="rId461" Type="http://schemas.openxmlformats.org/officeDocument/2006/relationships/hyperlink" Target="http://example.com/carrelage1.jpg" TargetMode="External"/><Relationship Id="rId559" Type="http://schemas.openxmlformats.org/officeDocument/2006/relationships/hyperlink" Target="http://example.com/carrelage2.jpg" TargetMode="External"/><Relationship Id="rId766" Type="http://schemas.openxmlformats.org/officeDocument/2006/relationships/hyperlink" Target="http://example.com/carrelage1.jpg" TargetMode="External"/><Relationship Id="rId198" Type="http://schemas.openxmlformats.org/officeDocument/2006/relationships/hyperlink" Target="http://example.com/carrelage3.jpg" TargetMode="External"/><Relationship Id="rId321" Type="http://schemas.openxmlformats.org/officeDocument/2006/relationships/hyperlink" Target="http://example.com/carrelage2.jpg" TargetMode="External"/><Relationship Id="rId419" Type="http://schemas.openxmlformats.org/officeDocument/2006/relationships/hyperlink" Target="http://example.com/carrelage3.jpg" TargetMode="External"/><Relationship Id="rId626" Type="http://schemas.openxmlformats.org/officeDocument/2006/relationships/hyperlink" Target="http://example.com/carrelage3.jpg" TargetMode="External"/><Relationship Id="rId265" Type="http://schemas.openxmlformats.org/officeDocument/2006/relationships/hyperlink" Target="http://example.com/carrelage1.jpg" TargetMode="External"/><Relationship Id="rId472" Type="http://schemas.openxmlformats.org/officeDocument/2006/relationships/hyperlink" Target="http://example.com/carrelage1.jpg" TargetMode="External"/><Relationship Id="rId125" Type="http://schemas.openxmlformats.org/officeDocument/2006/relationships/hyperlink" Target="http://example.com/carrelage2.jpg" TargetMode="External"/><Relationship Id="rId332" Type="http://schemas.openxmlformats.org/officeDocument/2006/relationships/hyperlink" Target="http://example.com/carrelage2.jpg" TargetMode="External"/><Relationship Id="rId777" Type="http://schemas.openxmlformats.org/officeDocument/2006/relationships/hyperlink" Target="http://example.com/carrelage1.jpg" TargetMode="External"/><Relationship Id="rId637" Type="http://schemas.openxmlformats.org/officeDocument/2006/relationships/hyperlink" Target="http://example.com/carrelage3.jpg" TargetMode="External"/><Relationship Id="rId276" Type="http://schemas.openxmlformats.org/officeDocument/2006/relationships/hyperlink" Target="http://example.com/carrelage1.jpg" TargetMode="External"/><Relationship Id="rId483" Type="http://schemas.openxmlformats.org/officeDocument/2006/relationships/hyperlink" Target="http://example.com/carrelage1.jpg" TargetMode="External"/><Relationship Id="rId690" Type="http://schemas.openxmlformats.org/officeDocument/2006/relationships/hyperlink" Target="http://example.com/carrelage1.jpg" TargetMode="External"/><Relationship Id="rId704" Type="http://schemas.openxmlformats.org/officeDocument/2006/relationships/hyperlink" Target="http://example.com/carrelage1.jpg" TargetMode="External"/><Relationship Id="rId40" Type="http://schemas.openxmlformats.org/officeDocument/2006/relationships/hyperlink" Target="http://example.com/carrelage1.jpg" TargetMode="External"/><Relationship Id="rId136" Type="http://schemas.openxmlformats.org/officeDocument/2006/relationships/hyperlink" Target="http://example.com/carrelage2.jpg" TargetMode="External"/><Relationship Id="rId343" Type="http://schemas.openxmlformats.org/officeDocument/2006/relationships/hyperlink" Target="http://example.com/carrelage2.jpg" TargetMode="External"/><Relationship Id="rId550" Type="http://schemas.openxmlformats.org/officeDocument/2006/relationships/hyperlink" Target="http://example.com/carrelage2.jpg" TargetMode="External"/><Relationship Id="rId788" Type="http://schemas.openxmlformats.org/officeDocument/2006/relationships/hyperlink" Target="http://example.com/carrelage2.jpg" TargetMode="External"/><Relationship Id="rId203" Type="http://schemas.openxmlformats.org/officeDocument/2006/relationships/hyperlink" Target="http://example.com/carrelage3.jpg" TargetMode="External"/><Relationship Id="rId648" Type="http://schemas.openxmlformats.org/officeDocument/2006/relationships/hyperlink" Target="http://example.com/carrelage2.jpg" TargetMode="External"/><Relationship Id="rId287" Type="http://schemas.openxmlformats.org/officeDocument/2006/relationships/hyperlink" Target="http://example.com/carrelage1.jpg" TargetMode="External"/><Relationship Id="rId410" Type="http://schemas.openxmlformats.org/officeDocument/2006/relationships/hyperlink" Target="http://example.com/carrelage3.jpg" TargetMode="External"/><Relationship Id="rId494" Type="http://schemas.openxmlformats.org/officeDocument/2006/relationships/hyperlink" Target="http://example.com/carrelage1.jpg" TargetMode="External"/><Relationship Id="rId508" Type="http://schemas.openxmlformats.org/officeDocument/2006/relationships/hyperlink" Target="http://example.com/carrelage2.jpg" TargetMode="External"/><Relationship Id="rId715" Type="http://schemas.openxmlformats.org/officeDocument/2006/relationships/hyperlink" Target="http://example.com/carrelage2.jpg" TargetMode="External"/><Relationship Id="rId147" Type="http://schemas.openxmlformats.org/officeDocument/2006/relationships/hyperlink" Target="http://example.com/carrelage2.jpg" TargetMode="External"/><Relationship Id="rId354" Type="http://schemas.openxmlformats.org/officeDocument/2006/relationships/hyperlink" Target="http://example.com/carrelage2.jpg" TargetMode="External"/><Relationship Id="rId799" Type="http://schemas.openxmlformats.org/officeDocument/2006/relationships/hyperlink" Target="http://example.com/carrelage3.jpg" TargetMode="External"/><Relationship Id="rId51" Type="http://schemas.openxmlformats.org/officeDocument/2006/relationships/hyperlink" Target="http://example.com/carrelage1.jpg" TargetMode="External"/><Relationship Id="rId561" Type="http://schemas.openxmlformats.org/officeDocument/2006/relationships/hyperlink" Target="http://example.com/carrelage2.jpg" TargetMode="External"/><Relationship Id="rId659" Type="http://schemas.openxmlformats.org/officeDocument/2006/relationships/hyperlink" Target="http://example.com/carrelage1.jpg" TargetMode="External"/><Relationship Id="rId214" Type="http://schemas.openxmlformats.org/officeDocument/2006/relationships/hyperlink" Target="http://example.com/carrelage3.jpg" TargetMode="External"/><Relationship Id="rId298" Type="http://schemas.openxmlformats.org/officeDocument/2006/relationships/hyperlink" Target="http://example.com/carrelage1.jpg" TargetMode="External"/><Relationship Id="rId421" Type="http://schemas.openxmlformats.org/officeDocument/2006/relationships/hyperlink" Target="http://example.com/carrelage3.jpg" TargetMode="External"/><Relationship Id="rId519" Type="http://schemas.openxmlformats.org/officeDocument/2006/relationships/hyperlink" Target="http://example.com/carrelage2.jpg" TargetMode="External"/><Relationship Id="rId158" Type="http://schemas.openxmlformats.org/officeDocument/2006/relationships/hyperlink" Target="http://example.com/carrelage2.jpg" TargetMode="External"/><Relationship Id="rId726" Type="http://schemas.openxmlformats.org/officeDocument/2006/relationships/hyperlink" Target="http://example.com/carrelage2.jpg" TargetMode="External"/><Relationship Id="rId62" Type="http://schemas.openxmlformats.org/officeDocument/2006/relationships/hyperlink" Target="http://example.com/carrelage1.jpg" TargetMode="External"/><Relationship Id="rId365" Type="http://schemas.openxmlformats.org/officeDocument/2006/relationships/hyperlink" Target="http://example.com/carrelage2.jpg" TargetMode="External"/><Relationship Id="rId572" Type="http://schemas.openxmlformats.org/officeDocument/2006/relationships/hyperlink" Target="http://example.com/carrelage2.jpg" TargetMode="External"/><Relationship Id="rId225" Type="http://schemas.openxmlformats.org/officeDocument/2006/relationships/hyperlink" Target="http://example.com/carrelage3.jpg" TargetMode="External"/><Relationship Id="rId432" Type="http://schemas.openxmlformats.org/officeDocument/2006/relationships/hyperlink" Target="http://example.com/carrelage3.jpg" TargetMode="External"/><Relationship Id="rId737" Type="http://schemas.openxmlformats.org/officeDocument/2006/relationships/hyperlink" Target="http://example.com/carrelage3.jpg" TargetMode="External"/><Relationship Id="rId73" Type="http://schemas.openxmlformats.org/officeDocument/2006/relationships/hyperlink" Target="http://example.com/carrelage1.jpg" TargetMode="External"/><Relationship Id="rId169" Type="http://schemas.openxmlformats.org/officeDocument/2006/relationships/hyperlink" Target="http://example.com/carrelage3.jpg" TargetMode="External"/><Relationship Id="rId376" Type="http://schemas.openxmlformats.org/officeDocument/2006/relationships/hyperlink" Target="http://example.com/carrelage3.jpg" TargetMode="External"/><Relationship Id="rId583" Type="http://schemas.openxmlformats.org/officeDocument/2006/relationships/hyperlink" Target="http://example.com/carrelage3.jpg" TargetMode="External"/><Relationship Id="rId790" Type="http://schemas.openxmlformats.org/officeDocument/2006/relationships/hyperlink" Target="http://example.com/carrelage3.jpg" TargetMode="External"/><Relationship Id="rId804" Type="http://schemas.openxmlformats.org/officeDocument/2006/relationships/hyperlink" Target="http://example.com/carrelage1.jpg" TargetMode="External"/><Relationship Id="rId4" Type="http://schemas.openxmlformats.org/officeDocument/2006/relationships/hyperlink" Target="http://example.com/carrelage1.jpg" TargetMode="External"/><Relationship Id="rId236" Type="http://schemas.openxmlformats.org/officeDocument/2006/relationships/hyperlink" Target="http://example.com/carrelage1.jpg" TargetMode="External"/><Relationship Id="rId443" Type="http://schemas.openxmlformats.org/officeDocument/2006/relationships/hyperlink" Target="http://example.com/carrelage1.jpg" TargetMode="External"/><Relationship Id="rId650" Type="http://schemas.openxmlformats.org/officeDocument/2006/relationships/hyperlink" Target="http://example.com/carrelage3.jpg" TargetMode="External"/><Relationship Id="rId303" Type="http://schemas.openxmlformats.org/officeDocument/2006/relationships/hyperlink" Target="http://example.com/carrelage2.jpg" TargetMode="External"/><Relationship Id="rId748" Type="http://schemas.openxmlformats.org/officeDocument/2006/relationships/hyperlink" Target="http://example.com/carrelage3.jpg" TargetMode="External"/><Relationship Id="rId84" Type="http://schemas.openxmlformats.org/officeDocument/2006/relationships/hyperlink" Target="http://example.com/carrelage1.jpg" TargetMode="External"/><Relationship Id="rId387" Type="http://schemas.openxmlformats.org/officeDocument/2006/relationships/hyperlink" Target="http://example.com/carrelage3.jpg" TargetMode="External"/><Relationship Id="rId510" Type="http://schemas.openxmlformats.org/officeDocument/2006/relationships/hyperlink" Target="http://example.com/carrelage2.jpg" TargetMode="External"/><Relationship Id="rId594" Type="http://schemas.openxmlformats.org/officeDocument/2006/relationships/hyperlink" Target="http://example.com/carrelage3.jpg" TargetMode="External"/><Relationship Id="rId608" Type="http://schemas.openxmlformats.org/officeDocument/2006/relationships/hyperlink" Target="http://example.com/carrelage3.jpg" TargetMode="External"/><Relationship Id="rId247" Type="http://schemas.openxmlformats.org/officeDocument/2006/relationships/hyperlink" Target="http://example.com/carrelage1.jpg" TargetMode="External"/><Relationship Id="rId107" Type="http://schemas.openxmlformats.org/officeDocument/2006/relationships/hyperlink" Target="http://example.com/carrelage2.jpg" TargetMode="External"/><Relationship Id="rId454" Type="http://schemas.openxmlformats.org/officeDocument/2006/relationships/hyperlink" Target="http://example.com/carrelage1.jpg" TargetMode="External"/><Relationship Id="rId661" Type="http://schemas.openxmlformats.org/officeDocument/2006/relationships/hyperlink" Target="http://example.com/carrelage1.jpg" TargetMode="External"/><Relationship Id="rId759" Type="http://schemas.openxmlformats.org/officeDocument/2006/relationships/hyperlink" Target="http://example.com/carrelage2.jpg" TargetMode="External"/><Relationship Id="rId11" Type="http://schemas.openxmlformats.org/officeDocument/2006/relationships/hyperlink" Target="http://example.com/carrelage2.jpg" TargetMode="External"/><Relationship Id="rId314" Type="http://schemas.openxmlformats.org/officeDocument/2006/relationships/hyperlink" Target="http://example.com/carrelage2.jpg" TargetMode="External"/><Relationship Id="rId398" Type="http://schemas.openxmlformats.org/officeDocument/2006/relationships/hyperlink" Target="http://example.com/carrelage3.jpg" TargetMode="External"/><Relationship Id="rId521" Type="http://schemas.openxmlformats.org/officeDocument/2006/relationships/hyperlink" Target="http://example.com/carrelage2.jpg" TargetMode="External"/><Relationship Id="rId619" Type="http://schemas.openxmlformats.org/officeDocument/2006/relationships/hyperlink" Target="http://example.com/carrelage3.jpg" TargetMode="External"/><Relationship Id="rId95" Type="http://schemas.openxmlformats.org/officeDocument/2006/relationships/hyperlink" Target="http://example.com/carrelage1.jpg" TargetMode="External"/><Relationship Id="rId160" Type="http://schemas.openxmlformats.org/officeDocument/2006/relationships/hyperlink" Target="http://example.com/carrelage2.jpg" TargetMode="External"/><Relationship Id="rId258" Type="http://schemas.openxmlformats.org/officeDocument/2006/relationships/hyperlink" Target="http://example.com/carrelage1.jpg" TargetMode="External"/><Relationship Id="rId465" Type="http://schemas.openxmlformats.org/officeDocument/2006/relationships/hyperlink" Target="http://example.com/carrelage1.jpg" TargetMode="External"/><Relationship Id="rId672" Type="http://schemas.openxmlformats.org/officeDocument/2006/relationships/hyperlink" Target="http://example.com/carrelage1.jpg" TargetMode="External"/><Relationship Id="rId22" Type="http://schemas.openxmlformats.org/officeDocument/2006/relationships/hyperlink" Target="http://example.com/carrelage1.jpg" TargetMode="External"/><Relationship Id="rId118" Type="http://schemas.openxmlformats.org/officeDocument/2006/relationships/hyperlink" Target="http://example.com/carrelage2.jpg" TargetMode="External"/><Relationship Id="rId325" Type="http://schemas.openxmlformats.org/officeDocument/2006/relationships/hyperlink" Target="http://example.com/carrelage2.jpg" TargetMode="External"/><Relationship Id="rId532" Type="http://schemas.openxmlformats.org/officeDocument/2006/relationships/hyperlink" Target="http://example.com/carrelage2.jpg" TargetMode="External"/><Relationship Id="rId171" Type="http://schemas.openxmlformats.org/officeDocument/2006/relationships/hyperlink" Target="http://example.com/carrelage3.jpg" TargetMode="External"/><Relationship Id="rId269" Type="http://schemas.openxmlformats.org/officeDocument/2006/relationships/hyperlink" Target="http://example.com/carrelage1.jpg" TargetMode="External"/><Relationship Id="rId476" Type="http://schemas.openxmlformats.org/officeDocument/2006/relationships/hyperlink" Target="http://example.com/carrelage1.jpg" TargetMode="External"/><Relationship Id="rId683" Type="http://schemas.openxmlformats.org/officeDocument/2006/relationships/hyperlink" Target="http://example.com/carrelage1.jpg" TargetMode="External"/><Relationship Id="rId33" Type="http://schemas.openxmlformats.org/officeDocument/2006/relationships/hyperlink" Target="http://example.com/carrelage3.jpg" TargetMode="External"/><Relationship Id="rId129" Type="http://schemas.openxmlformats.org/officeDocument/2006/relationships/hyperlink" Target="http://example.com/carrelage2.jpg" TargetMode="External"/><Relationship Id="rId336" Type="http://schemas.openxmlformats.org/officeDocument/2006/relationships/hyperlink" Target="http://example.com/carrelage2.jpg" TargetMode="External"/><Relationship Id="rId543" Type="http://schemas.openxmlformats.org/officeDocument/2006/relationships/hyperlink" Target="http://example.com/carrelage2.jpg" TargetMode="External"/><Relationship Id="rId182" Type="http://schemas.openxmlformats.org/officeDocument/2006/relationships/hyperlink" Target="http://example.com/carrelage3.jpg" TargetMode="External"/><Relationship Id="rId403" Type="http://schemas.openxmlformats.org/officeDocument/2006/relationships/hyperlink" Target="http://example.com/carrelage3.jpg" TargetMode="External"/><Relationship Id="rId750" Type="http://schemas.openxmlformats.org/officeDocument/2006/relationships/hyperlink" Target="http://example.com/carrelage3.jp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hyperlink" Target="https://imexproducts.es/producto/BTD038-B-NG" TargetMode="External"/><Relationship Id="rId21" Type="http://schemas.openxmlformats.org/officeDocument/2006/relationships/hyperlink" Target="https://imexproducts.es/producto/GTM039-NG" TargetMode="External"/><Relationship Id="rId42" Type="http://schemas.openxmlformats.org/officeDocument/2006/relationships/hyperlink" Target="https://imexproducts.es/producto/GLD038-NQ" TargetMode="External"/><Relationship Id="rId47" Type="http://schemas.openxmlformats.org/officeDocument/2006/relationships/hyperlink" Target="https://imexproducts.es/producto/GLD038-BGM" TargetMode="External"/><Relationship Id="rId63" Type="http://schemas.openxmlformats.org/officeDocument/2006/relationships/hyperlink" Target="https://imexproducts.es/producto/GPQ038-ORC" TargetMode="External"/><Relationship Id="rId68" Type="http://schemas.openxmlformats.org/officeDocument/2006/relationships/hyperlink" Target="https://imexproducts.es/producto/BBEC32-NG" TargetMode="External"/><Relationship Id="rId16" Type="http://schemas.openxmlformats.org/officeDocument/2006/relationships/hyperlink" Target="https://imexproducts.es/producto/GPM039-BGM" TargetMode="External"/><Relationship Id="rId11" Type="http://schemas.openxmlformats.org/officeDocument/2006/relationships/hyperlink" Target="https://imexproducts.es/producto/BTM039-ORC" TargetMode="External"/><Relationship Id="rId24" Type="http://schemas.openxmlformats.org/officeDocument/2006/relationships/hyperlink" Target="https://imexproducts.es/wp-content/uploads/2023/10/BTD038_ORC.png" TargetMode="External"/><Relationship Id="rId32" Type="http://schemas.openxmlformats.org/officeDocument/2006/relationships/hyperlink" Target="https://imexproducts.es/producto/GLD038-NG" TargetMode="External"/><Relationship Id="rId37" Type="http://schemas.openxmlformats.org/officeDocument/2006/relationships/hyperlink" Target="https://imexproducts.es/producto/GLD038-GC" TargetMode="External"/><Relationship Id="rId40" Type="http://schemas.openxmlformats.org/officeDocument/2006/relationships/hyperlink" Target="https://imexproducts.es/producto/GTD038-NQ" TargetMode="External"/><Relationship Id="rId45" Type="http://schemas.openxmlformats.org/officeDocument/2006/relationships/hyperlink" Target="https://imexproducts.es/producto/GTD038-BGM" TargetMode="External"/><Relationship Id="rId53" Type="http://schemas.openxmlformats.org/officeDocument/2006/relationships/hyperlink" Target="https://imexproducts.es/producto/GLD038-OC" TargetMode="External"/><Relationship Id="rId58" Type="http://schemas.openxmlformats.org/officeDocument/2006/relationships/hyperlink" Target="https://imexproducts.es/producto/BDD038-BGM" TargetMode="External"/><Relationship Id="rId66" Type="http://schemas.openxmlformats.org/officeDocument/2006/relationships/hyperlink" Target="https://imexproducts.es/producto/BDC032-NOR" TargetMode="External"/><Relationship Id="rId74" Type="http://schemas.openxmlformats.org/officeDocument/2006/relationships/hyperlink" Target="https://imexproducts.es/producto/BDM039-5" TargetMode="External"/><Relationship Id="rId5" Type="http://schemas.openxmlformats.org/officeDocument/2006/relationships/hyperlink" Target="https://imexproducts.es/producto/barra-de-ducha-monomando-cromada-serie-monza/" TargetMode="External"/><Relationship Id="rId61" Type="http://schemas.openxmlformats.org/officeDocument/2006/relationships/hyperlink" Target="https://imexproducts.es/producto/GPD038-ORC" TargetMode="External"/><Relationship Id="rId19" Type="http://schemas.openxmlformats.org/officeDocument/2006/relationships/hyperlink" Target="https://imexproducts.es/producto/GPM039-ORC" TargetMode="External"/><Relationship Id="rId14" Type="http://schemas.openxmlformats.org/officeDocument/2006/relationships/hyperlink" Target="https://imexproducts.es/producto/GLM039-OC" TargetMode="External"/><Relationship Id="rId22" Type="http://schemas.openxmlformats.org/officeDocument/2006/relationships/hyperlink" Target="https://imexproducts.es/producto/GTM039-OC" TargetMode="External"/><Relationship Id="rId27" Type="http://schemas.openxmlformats.org/officeDocument/2006/relationships/hyperlink" Target="https://imexproducts.es/producto/BTD038-NG" TargetMode="External"/><Relationship Id="rId30" Type="http://schemas.openxmlformats.org/officeDocument/2006/relationships/hyperlink" Target="https://imexproducts.es/producto/GTD038-NG" TargetMode="External"/><Relationship Id="rId35" Type="http://schemas.openxmlformats.org/officeDocument/2006/relationships/hyperlink" Target="https://imexproducts.es/producto/GTD038-GC" TargetMode="External"/><Relationship Id="rId43" Type="http://schemas.openxmlformats.org/officeDocument/2006/relationships/hyperlink" Target="https://imexproducts.es/producto/GPD038-BGM" TargetMode="External"/><Relationship Id="rId48" Type="http://schemas.openxmlformats.org/officeDocument/2006/relationships/hyperlink" Target="https://imexproducts.es/producto/BTD038-OC" TargetMode="External"/><Relationship Id="rId56" Type="http://schemas.openxmlformats.org/officeDocument/2006/relationships/hyperlink" Target="https://imexproducts.es/producto/BDD038-ORC" TargetMode="External"/><Relationship Id="rId64" Type="http://schemas.openxmlformats.org/officeDocument/2006/relationships/hyperlink" Target="https://imexproducts.es/producto/GTQ038-ORC" TargetMode="External"/><Relationship Id="rId69" Type="http://schemas.openxmlformats.org/officeDocument/2006/relationships/hyperlink" Target="https://imexproducts.es/producto/BBEC32-NOR" TargetMode="External"/><Relationship Id="rId77" Type="http://schemas.openxmlformats.org/officeDocument/2006/relationships/hyperlink" Target="https://imexproducts.es/wp-content/uploads/2022/12/1CDC001-2-scaled.jpg" TargetMode="External"/><Relationship Id="rId8" Type="http://schemas.openxmlformats.org/officeDocument/2006/relationships/hyperlink" Target="https://imexproducts.es/producto/BTM039-BGM" TargetMode="External"/><Relationship Id="rId51" Type="http://schemas.openxmlformats.org/officeDocument/2006/relationships/hyperlink" Target="https://imexproducts.es/producto/GTD038-OC" TargetMode="External"/><Relationship Id="rId72" Type="http://schemas.openxmlformats.org/officeDocument/2006/relationships/hyperlink" Target="https://imexproducts.es/producto/BDM039-1BGM" TargetMode="External"/><Relationship Id="rId3" Type="http://schemas.openxmlformats.org/officeDocument/2006/relationships/hyperlink" Target="https://imexproducts.es/producto/BDM039-OC" TargetMode="External"/><Relationship Id="rId12" Type="http://schemas.openxmlformats.org/officeDocument/2006/relationships/hyperlink" Target="https://imexproducts.es/producto/GLM039-BGM" TargetMode="External"/><Relationship Id="rId17" Type="http://schemas.openxmlformats.org/officeDocument/2006/relationships/hyperlink" Target="https://imexproducts.es/producto/GPM039-NG" TargetMode="External"/><Relationship Id="rId25" Type="http://schemas.openxmlformats.org/officeDocument/2006/relationships/hyperlink" Target="https://imexproducts.es/producto/BDD038-NG" TargetMode="External"/><Relationship Id="rId33" Type="http://schemas.openxmlformats.org/officeDocument/2006/relationships/hyperlink" Target="https://imexproducts.es/producto/GPD038-GC" TargetMode="External"/><Relationship Id="rId38" Type="http://schemas.openxmlformats.org/officeDocument/2006/relationships/hyperlink" Target="https://imexproducts.es/producto/GPD038-NQ" TargetMode="External"/><Relationship Id="rId46" Type="http://schemas.openxmlformats.org/officeDocument/2006/relationships/hyperlink" Target="https://imexproducts.es/producto/GTQ038-BGM" TargetMode="External"/><Relationship Id="rId59" Type="http://schemas.openxmlformats.org/officeDocument/2006/relationships/hyperlink" Target="https://imexproducts.es/producto/BTD038-BGM" TargetMode="External"/><Relationship Id="rId67" Type="http://schemas.openxmlformats.org/officeDocument/2006/relationships/hyperlink" Target="https://imexproducts.es/producto/BDC032-NGOLD" TargetMode="External"/><Relationship Id="rId20" Type="http://schemas.openxmlformats.org/officeDocument/2006/relationships/hyperlink" Target="https://imexproducts.es/producto/GTM039-BGM" TargetMode="External"/><Relationship Id="rId41" Type="http://schemas.openxmlformats.org/officeDocument/2006/relationships/hyperlink" Target="https://imexproducts.es/producto/GTQ038-NQ" TargetMode="External"/><Relationship Id="rId54" Type="http://schemas.openxmlformats.org/officeDocument/2006/relationships/hyperlink" Target="https://imexproducts.es/producto/BDD038-OC" TargetMode="External"/><Relationship Id="rId62" Type="http://schemas.openxmlformats.org/officeDocument/2006/relationships/hyperlink" Target="https://imexproducts.es/producto/GTD038-ORC" TargetMode="External"/><Relationship Id="rId70" Type="http://schemas.openxmlformats.org/officeDocument/2006/relationships/hyperlink" Target="https://imexproducts.es/producto/BBEC32-NGOLD" TargetMode="External"/><Relationship Id="rId75" Type="http://schemas.openxmlformats.org/officeDocument/2006/relationships/hyperlink" Target="https://imexproducts.es/wp-content/uploads/2022/12/DSC7003-scaled.jpg" TargetMode="External"/><Relationship Id="rId1" Type="http://schemas.openxmlformats.org/officeDocument/2006/relationships/hyperlink" Target="https://imexproducts.es/producto/BDM039-BGM" TargetMode="External"/><Relationship Id="rId6" Type="http://schemas.openxmlformats.org/officeDocument/2006/relationships/hyperlink" Target="https://imexproducts.es/wp-content/uploads/2022/12/DSC_1319-scaled.jpg" TargetMode="External"/><Relationship Id="rId15" Type="http://schemas.openxmlformats.org/officeDocument/2006/relationships/hyperlink" Target="https://imexproducts.es/producto/GLM039-ORC" TargetMode="External"/><Relationship Id="rId23" Type="http://schemas.openxmlformats.org/officeDocument/2006/relationships/hyperlink" Target="https://imexproducts.es/producto/GTM039-ORC" TargetMode="External"/><Relationship Id="rId28" Type="http://schemas.openxmlformats.org/officeDocument/2006/relationships/hyperlink" Target="https://imexproducts.es/producto/GPD038-NG" TargetMode="External"/><Relationship Id="rId36" Type="http://schemas.openxmlformats.org/officeDocument/2006/relationships/hyperlink" Target="https://imexproducts.es/producto/GTQ038-GC" TargetMode="External"/><Relationship Id="rId49" Type="http://schemas.openxmlformats.org/officeDocument/2006/relationships/hyperlink" Target="https://imexproducts.es/producto/GPD038-OC" TargetMode="External"/><Relationship Id="rId57" Type="http://schemas.openxmlformats.org/officeDocument/2006/relationships/hyperlink" Target="https://imexproducts.es/producto/BTD038-ORC" TargetMode="External"/><Relationship Id="rId10" Type="http://schemas.openxmlformats.org/officeDocument/2006/relationships/hyperlink" Target="https://imexproducts.es/producto/BTM039-OC" TargetMode="External"/><Relationship Id="rId31" Type="http://schemas.openxmlformats.org/officeDocument/2006/relationships/hyperlink" Target="https://imexproducts.es/producto/GTQ038-NG" TargetMode="External"/><Relationship Id="rId44" Type="http://schemas.openxmlformats.org/officeDocument/2006/relationships/hyperlink" Target="https://imexproducts.es/producto/GPQ038-BGM" TargetMode="External"/><Relationship Id="rId52" Type="http://schemas.openxmlformats.org/officeDocument/2006/relationships/hyperlink" Target="https://imexproducts.es/producto/GTQ038-OC" TargetMode="External"/><Relationship Id="rId60" Type="http://schemas.openxmlformats.org/officeDocument/2006/relationships/hyperlink" Target="https://imexproducts.es/producto/GLD038-ORC" TargetMode="External"/><Relationship Id="rId65" Type="http://schemas.openxmlformats.org/officeDocument/2006/relationships/hyperlink" Target="https://imexproducts.es/producto/BDC032-NG" TargetMode="External"/><Relationship Id="rId73" Type="http://schemas.openxmlformats.org/officeDocument/2006/relationships/hyperlink" Target="https://imexproducts.es/producto/BDM039-3" TargetMode="External"/><Relationship Id="rId4" Type="http://schemas.openxmlformats.org/officeDocument/2006/relationships/hyperlink" Target="https://imexproducts.es/producto/BDM039-ORC" TargetMode="External"/><Relationship Id="rId9" Type="http://schemas.openxmlformats.org/officeDocument/2006/relationships/hyperlink" Target="https://imexproducts.es/producto/BTM039-NG" TargetMode="External"/><Relationship Id="rId13" Type="http://schemas.openxmlformats.org/officeDocument/2006/relationships/hyperlink" Target="https://imexproducts.es/producto/GLM039-NG" TargetMode="External"/><Relationship Id="rId18" Type="http://schemas.openxmlformats.org/officeDocument/2006/relationships/hyperlink" Target="https://imexproducts.es/producto/GPM039-OC" TargetMode="External"/><Relationship Id="rId39" Type="http://schemas.openxmlformats.org/officeDocument/2006/relationships/hyperlink" Target="https://imexproducts.es/producto/GPQ038-NQ" TargetMode="External"/><Relationship Id="rId34" Type="http://schemas.openxmlformats.org/officeDocument/2006/relationships/hyperlink" Target="https://imexproducts.es/producto/GPQ038-GC" TargetMode="External"/><Relationship Id="rId50" Type="http://schemas.openxmlformats.org/officeDocument/2006/relationships/hyperlink" Target="https://imexproducts.es/producto/GPQ038-OC" TargetMode="External"/><Relationship Id="rId55" Type="http://schemas.openxmlformats.org/officeDocument/2006/relationships/hyperlink" Target="https://imexproducts.es/producto/BTD038-OC" TargetMode="External"/><Relationship Id="rId76" Type="http://schemas.openxmlformats.org/officeDocument/2006/relationships/hyperlink" Target="https://imexproducts.es/wp-content/uploads/2022/12/DSC6345-scaled.jpg" TargetMode="External"/><Relationship Id="rId7" Type="http://schemas.openxmlformats.org/officeDocument/2006/relationships/hyperlink" Target="https://imexproducts.es/producto/BDM039" TargetMode="External"/><Relationship Id="rId71" Type="http://schemas.openxmlformats.org/officeDocument/2006/relationships/hyperlink" Target="https://imexproducts.es/articulos/A-BBEC32-NG.jpg" TargetMode="External"/><Relationship Id="rId2" Type="http://schemas.openxmlformats.org/officeDocument/2006/relationships/hyperlink" Target="https://imexproducts.es/producto/BDM039-NG" TargetMode="External"/><Relationship Id="rId29" Type="http://schemas.openxmlformats.org/officeDocument/2006/relationships/hyperlink" Target="https://imexproducts.es/producto/GPQ038-N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0"/>
  <sheetViews>
    <sheetView zoomScaleNormal="100" workbookViewId="0">
      <pane ySplit="1" topLeftCell="A2" activePane="bottomLeft" state="frozen"/>
      <selection activeCell="Z1" sqref="Z1"/>
      <selection pane="bottomLeft" activeCell="E13" sqref="E13"/>
    </sheetView>
  </sheetViews>
  <sheetFormatPr baseColWidth="10" defaultColWidth="14.44140625" defaultRowHeight="15" customHeight="1" x14ac:dyDescent="0.3"/>
  <cols>
    <col min="1" max="1" width="36.6640625" customWidth="1"/>
    <col min="2" max="2" width="15" bestFit="1" customWidth="1"/>
    <col min="3" max="3" width="18.44140625" bestFit="1" customWidth="1"/>
    <col min="4" max="4" width="17" bestFit="1" customWidth="1"/>
    <col min="5" max="5" width="23.5546875" customWidth="1"/>
    <col min="6" max="6" width="24.33203125" bestFit="1" customWidth="1"/>
    <col min="7" max="7" width="10.44140625" hidden="1" customWidth="1"/>
    <col min="8" max="9" width="7" hidden="1" customWidth="1"/>
    <col min="10" max="10" width="17.44140625" customWidth="1"/>
    <col min="11" max="11" width="8.6640625" customWidth="1"/>
    <col min="12" max="12" width="22.6640625" bestFit="1" customWidth="1"/>
    <col min="13" max="13" width="17.33203125" customWidth="1"/>
    <col min="14" max="14" width="16.5546875" customWidth="1"/>
    <col min="15" max="15" width="16.5546875" style="74" customWidth="1"/>
    <col min="16" max="16" width="15.21875" bestFit="1" customWidth="1"/>
    <col min="17" max="17" width="12.5546875" bestFit="1" customWidth="1"/>
    <col min="18" max="18" width="16.33203125" customWidth="1"/>
    <col min="19" max="19" width="22.33203125" customWidth="1"/>
    <col min="20" max="20" width="15.33203125" customWidth="1"/>
    <col min="21" max="21" width="13.6640625" bestFit="1" customWidth="1"/>
    <col min="22" max="22" width="27.44140625" hidden="1" customWidth="1"/>
    <col min="23" max="23" width="19.33203125" customWidth="1"/>
    <col min="24" max="24" width="24.44140625" customWidth="1"/>
    <col min="25" max="25" width="30.6640625" customWidth="1"/>
    <col min="26" max="26" width="23.33203125" customWidth="1"/>
    <col min="27" max="27" width="34" customWidth="1"/>
    <col min="28" max="28" width="33.5546875" customWidth="1"/>
    <col min="29" max="29" width="15.6640625" customWidth="1"/>
    <col min="30" max="30" width="17.6640625" customWidth="1"/>
    <col min="31" max="32" width="15.6640625" customWidth="1"/>
    <col min="33" max="33" width="15.109375" customWidth="1"/>
    <col min="34" max="34" width="17.33203125" bestFit="1" customWidth="1"/>
    <col min="35" max="35" width="19.5546875" bestFit="1" customWidth="1"/>
    <col min="36" max="36" width="20.77734375" style="92" bestFit="1" customWidth="1"/>
    <col min="37" max="37" width="16" customWidth="1"/>
    <col min="38" max="38" width="19.6640625" customWidth="1"/>
    <col min="39" max="39" width="14.44140625" customWidth="1"/>
    <col min="40" max="40" width="31.44140625" bestFit="1" customWidth="1"/>
    <col min="41" max="41" width="40" style="74" bestFit="1" customWidth="1"/>
  </cols>
  <sheetData>
    <row r="1" spans="1:41"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66" t="s">
        <v>5616</v>
      </c>
      <c r="P1" s="1" t="s">
        <v>14</v>
      </c>
      <c r="Q1" s="1" t="s">
        <v>11</v>
      </c>
      <c r="R1" s="1" t="s">
        <v>15</v>
      </c>
      <c r="S1" s="1" t="s">
        <v>16</v>
      </c>
      <c r="T1" s="1" t="s">
        <v>17</v>
      </c>
      <c r="U1" s="1" t="s">
        <v>18</v>
      </c>
      <c r="V1" s="2" t="s">
        <v>19</v>
      </c>
      <c r="W1" s="2" t="s">
        <v>20</v>
      </c>
      <c r="X1" s="2" t="s">
        <v>21</v>
      </c>
      <c r="Y1" s="2" t="s">
        <v>22</v>
      </c>
      <c r="Z1" s="1" t="s">
        <v>23</v>
      </c>
      <c r="AA1" s="1" t="s">
        <v>24</v>
      </c>
      <c r="AB1" s="1" t="s">
        <v>25</v>
      </c>
      <c r="AC1" s="1" t="s">
        <v>26</v>
      </c>
      <c r="AD1" s="1" t="s">
        <v>27</v>
      </c>
      <c r="AE1" s="1" t="s">
        <v>28</v>
      </c>
      <c r="AF1" s="1" t="s">
        <v>29</v>
      </c>
      <c r="AG1" s="1" t="s">
        <v>30</v>
      </c>
      <c r="AH1" s="1" t="s">
        <v>31</v>
      </c>
      <c r="AI1" s="1" t="s">
        <v>32</v>
      </c>
      <c r="AJ1" s="87" t="s">
        <v>33</v>
      </c>
      <c r="AK1" s="1" t="s">
        <v>34</v>
      </c>
      <c r="AL1" s="1" t="s">
        <v>35</v>
      </c>
      <c r="AM1" s="34" t="s">
        <v>5480</v>
      </c>
      <c r="AN1" s="51" t="s">
        <v>5517</v>
      </c>
      <c r="AO1" s="81" t="s">
        <v>5625</v>
      </c>
    </row>
    <row r="2" spans="1:41" ht="14.25" customHeight="1" x14ac:dyDescent="0.3">
      <c r="A2" s="3" t="s">
        <v>179</v>
      </c>
      <c r="B2" s="3" t="s">
        <v>226</v>
      </c>
      <c r="C2" s="3" t="s">
        <v>181</v>
      </c>
      <c r="D2" s="3" t="s">
        <v>227</v>
      </c>
      <c r="E2" s="3" t="s">
        <v>183</v>
      </c>
      <c r="F2" s="3" t="s">
        <v>41</v>
      </c>
      <c r="G2" s="5" t="s">
        <v>42</v>
      </c>
      <c r="H2" s="5" t="s">
        <v>43</v>
      </c>
      <c r="I2" s="5" t="s">
        <v>44</v>
      </c>
      <c r="J2" s="3" t="s">
        <v>45</v>
      </c>
      <c r="K2" s="3" t="s">
        <v>46</v>
      </c>
      <c r="L2" s="3" t="s">
        <v>67</v>
      </c>
      <c r="M2" s="3" t="s">
        <v>48</v>
      </c>
      <c r="N2" s="3" t="s">
        <v>184</v>
      </c>
      <c r="O2" s="69" t="s">
        <v>61</v>
      </c>
      <c r="P2" s="3" t="s">
        <v>50</v>
      </c>
      <c r="Q2" s="3" t="s">
        <v>68</v>
      </c>
      <c r="R2" s="3">
        <v>3</v>
      </c>
      <c r="S2" s="3" t="s">
        <v>52</v>
      </c>
      <c r="T2" s="3" t="s">
        <v>53</v>
      </c>
      <c r="U2" s="3" t="s">
        <v>54</v>
      </c>
      <c r="V2" s="7"/>
      <c r="W2" s="7"/>
      <c r="X2" s="7"/>
      <c r="Y2" s="7"/>
      <c r="Z2" s="3" t="s">
        <v>55</v>
      </c>
      <c r="AA2" s="3" t="s">
        <v>88</v>
      </c>
      <c r="AB2" s="3" t="s">
        <v>57</v>
      </c>
      <c r="AD2" s="3">
        <v>21.61</v>
      </c>
      <c r="AE2" s="3">
        <v>21.61</v>
      </c>
      <c r="AG2" s="3">
        <v>1.08</v>
      </c>
      <c r="AH2" s="3">
        <v>43.2</v>
      </c>
      <c r="AI2" s="3">
        <v>16</v>
      </c>
      <c r="AJ2" s="88">
        <v>41.582999999999998</v>
      </c>
      <c r="AK2" s="3" t="s">
        <v>58</v>
      </c>
      <c r="AL2" s="9">
        <f t="shared" ref="AL2:AL65" si="0">AJ2*1.2</f>
        <v>49.8996</v>
      </c>
      <c r="AN2" t="s">
        <v>5519</v>
      </c>
      <c r="AO2" s="74" t="s">
        <v>5633</v>
      </c>
    </row>
    <row r="3" spans="1:41" ht="14.25" customHeight="1" x14ac:dyDescent="0.3">
      <c r="A3" s="3" t="s">
        <v>179</v>
      </c>
      <c r="B3" s="3" t="s">
        <v>228</v>
      </c>
      <c r="C3" s="3" t="s">
        <v>181</v>
      </c>
      <c r="D3" s="3" t="s">
        <v>229</v>
      </c>
      <c r="E3" s="3" t="s">
        <v>183</v>
      </c>
      <c r="F3" s="3" t="s">
        <v>41</v>
      </c>
      <c r="G3" s="5" t="s">
        <v>42</v>
      </c>
      <c r="H3" s="5" t="s">
        <v>43</v>
      </c>
      <c r="I3" s="5" t="s">
        <v>44</v>
      </c>
      <c r="J3" s="3" t="s">
        <v>45</v>
      </c>
      <c r="K3" s="3" t="s">
        <v>46</v>
      </c>
      <c r="L3" s="3" t="s">
        <v>67</v>
      </c>
      <c r="M3" s="3" t="s">
        <v>48</v>
      </c>
      <c r="N3" s="3" t="s">
        <v>187</v>
      </c>
      <c r="O3" s="69" t="s">
        <v>61</v>
      </c>
      <c r="P3" s="3" t="s">
        <v>50</v>
      </c>
      <c r="Q3" s="3" t="s">
        <v>68</v>
      </c>
      <c r="R3" s="3">
        <v>3</v>
      </c>
      <c r="S3" s="3" t="s">
        <v>52</v>
      </c>
      <c r="T3" s="3" t="s">
        <v>53</v>
      </c>
      <c r="U3" s="3" t="s">
        <v>54</v>
      </c>
      <c r="V3" s="7"/>
      <c r="W3" s="7"/>
      <c r="X3" s="7"/>
      <c r="Y3" s="7"/>
      <c r="Z3" s="3" t="s">
        <v>55</v>
      </c>
      <c r="AA3" s="3" t="s">
        <v>88</v>
      </c>
      <c r="AB3" s="3" t="s">
        <v>57</v>
      </c>
      <c r="AD3" s="3">
        <v>21.82</v>
      </c>
      <c r="AE3" s="3">
        <v>21.82</v>
      </c>
      <c r="AG3" s="3">
        <v>1.08</v>
      </c>
      <c r="AH3" s="3">
        <v>43.2</v>
      </c>
      <c r="AI3" s="3">
        <v>16</v>
      </c>
      <c r="AJ3" s="88">
        <v>41.582999999999998</v>
      </c>
      <c r="AK3" s="3" t="s">
        <v>58</v>
      </c>
      <c r="AL3" s="9">
        <f t="shared" si="0"/>
        <v>49.8996</v>
      </c>
      <c r="AN3" t="s">
        <v>5519</v>
      </c>
      <c r="AO3" s="74" t="s">
        <v>5633</v>
      </c>
    </row>
    <row r="4" spans="1:41" ht="14.25" customHeight="1" x14ac:dyDescent="0.3">
      <c r="A4" s="3" t="s">
        <v>179</v>
      </c>
      <c r="B4" s="3" t="s">
        <v>230</v>
      </c>
      <c r="C4" s="3" t="s">
        <v>181</v>
      </c>
      <c r="D4" s="3" t="s">
        <v>231</v>
      </c>
      <c r="E4" s="3" t="s">
        <v>183</v>
      </c>
      <c r="F4" s="3" t="s">
        <v>41</v>
      </c>
      <c r="G4" s="5" t="s">
        <v>42</v>
      </c>
      <c r="H4" s="5" t="s">
        <v>43</v>
      </c>
      <c r="I4" s="5" t="s">
        <v>44</v>
      </c>
      <c r="J4" s="3" t="s">
        <v>45</v>
      </c>
      <c r="K4" s="3" t="s">
        <v>46</v>
      </c>
      <c r="L4" s="3" t="s">
        <v>67</v>
      </c>
      <c r="M4" s="3" t="s">
        <v>48</v>
      </c>
      <c r="N4" s="3" t="s">
        <v>190</v>
      </c>
      <c r="O4" s="69" t="s">
        <v>61</v>
      </c>
      <c r="P4" s="3" t="s">
        <v>50</v>
      </c>
      <c r="Q4" s="3" t="s">
        <v>68</v>
      </c>
      <c r="R4" s="3">
        <v>3</v>
      </c>
      <c r="S4" s="3" t="s">
        <v>52</v>
      </c>
      <c r="T4" s="3" t="s">
        <v>53</v>
      </c>
      <c r="U4" s="3" t="s">
        <v>54</v>
      </c>
      <c r="V4" s="7"/>
      <c r="W4" s="7"/>
      <c r="X4" s="7"/>
      <c r="Y4" s="7"/>
      <c r="Z4" s="3" t="s">
        <v>55</v>
      </c>
      <c r="AA4" s="3" t="s">
        <v>88</v>
      </c>
      <c r="AB4" s="3" t="s">
        <v>57</v>
      </c>
      <c r="AD4" s="3">
        <v>21.82</v>
      </c>
      <c r="AE4" s="3">
        <v>21.82</v>
      </c>
      <c r="AG4" s="3">
        <v>1.08</v>
      </c>
      <c r="AH4" s="3">
        <v>43.2</v>
      </c>
      <c r="AI4" s="3">
        <v>16</v>
      </c>
      <c r="AJ4" s="88">
        <v>41.582999999999998</v>
      </c>
      <c r="AK4" s="3" t="s">
        <v>58</v>
      </c>
      <c r="AL4" s="9">
        <f t="shared" si="0"/>
        <v>49.8996</v>
      </c>
      <c r="AN4" t="s">
        <v>5519</v>
      </c>
      <c r="AO4" s="74" t="s">
        <v>5633</v>
      </c>
    </row>
    <row r="5" spans="1:41" ht="14.25" customHeight="1" x14ac:dyDescent="0.3">
      <c r="A5" s="3" t="s">
        <v>179</v>
      </c>
      <c r="B5" s="3" t="s">
        <v>232</v>
      </c>
      <c r="C5" s="3" t="s">
        <v>181</v>
      </c>
      <c r="D5" s="3" t="s">
        <v>233</v>
      </c>
      <c r="E5" s="3" t="s">
        <v>183</v>
      </c>
      <c r="F5" s="3" t="s">
        <v>41</v>
      </c>
      <c r="G5" s="5" t="s">
        <v>42</v>
      </c>
      <c r="H5" s="5" t="s">
        <v>43</v>
      </c>
      <c r="I5" s="5" t="s">
        <v>44</v>
      </c>
      <c r="J5" s="3" t="s">
        <v>45</v>
      </c>
      <c r="K5" s="3" t="s">
        <v>46</v>
      </c>
      <c r="L5" s="3" t="s">
        <v>67</v>
      </c>
      <c r="M5" s="3" t="s">
        <v>48</v>
      </c>
      <c r="N5" s="3" t="s">
        <v>193</v>
      </c>
      <c r="O5" s="69" t="s">
        <v>61</v>
      </c>
      <c r="P5" s="3" t="s">
        <v>50</v>
      </c>
      <c r="Q5" s="3" t="s">
        <v>68</v>
      </c>
      <c r="R5" s="3">
        <v>3</v>
      </c>
      <c r="S5" s="3" t="s">
        <v>52</v>
      </c>
      <c r="T5" s="3" t="s">
        <v>53</v>
      </c>
      <c r="U5" s="3" t="s">
        <v>54</v>
      </c>
      <c r="V5" s="7"/>
      <c r="W5" s="7"/>
      <c r="X5" s="7"/>
      <c r="Y5" s="7"/>
      <c r="Z5" s="3" t="s">
        <v>55</v>
      </c>
      <c r="AA5" s="3" t="s">
        <v>88</v>
      </c>
      <c r="AB5" s="3" t="s">
        <v>57</v>
      </c>
      <c r="AD5" s="3">
        <v>22.13</v>
      </c>
      <c r="AE5" s="3">
        <v>22.13</v>
      </c>
      <c r="AG5" s="3">
        <v>1.08</v>
      </c>
      <c r="AH5" s="3">
        <v>43.2</v>
      </c>
      <c r="AI5" s="3">
        <v>16</v>
      </c>
      <c r="AJ5" s="88">
        <v>41.582999999999998</v>
      </c>
      <c r="AK5" s="3" t="s">
        <v>58</v>
      </c>
      <c r="AL5" s="9">
        <f t="shared" si="0"/>
        <v>49.8996</v>
      </c>
      <c r="AN5" t="s">
        <v>5519</v>
      </c>
      <c r="AO5" s="74" t="s">
        <v>5633</v>
      </c>
    </row>
    <row r="6" spans="1:41" ht="14.25" customHeight="1" x14ac:dyDescent="0.3">
      <c r="A6" s="3" t="s">
        <v>179</v>
      </c>
      <c r="B6" s="3" t="s">
        <v>234</v>
      </c>
      <c r="C6" s="3" t="s">
        <v>181</v>
      </c>
      <c r="D6" s="3" t="s">
        <v>235</v>
      </c>
      <c r="E6" s="3" t="s">
        <v>183</v>
      </c>
      <c r="F6" s="3" t="s">
        <v>41</v>
      </c>
      <c r="G6" s="5" t="s">
        <v>42</v>
      </c>
      <c r="H6" s="5" t="s">
        <v>43</v>
      </c>
      <c r="I6" s="5" t="s">
        <v>44</v>
      </c>
      <c r="J6" s="3" t="s">
        <v>45</v>
      </c>
      <c r="K6" s="3" t="s">
        <v>46</v>
      </c>
      <c r="L6" s="3" t="s">
        <v>67</v>
      </c>
      <c r="M6" s="3" t="s">
        <v>48</v>
      </c>
      <c r="N6" s="3" t="s">
        <v>196</v>
      </c>
      <c r="O6" s="69" t="s">
        <v>328</v>
      </c>
      <c r="P6" s="3" t="s">
        <v>50</v>
      </c>
      <c r="Q6" s="3" t="s">
        <v>68</v>
      </c>
      <c r="R6" s="3">
        <v>3</v>
      </c>
      <c r="S6" s="3" t="s">
        <v>52</v>
      </c>
      <c r="T6" s="3" t="s">
        <v>53</v>
      </c>
      <c r="U6" s="3" t="s">
        <v>54</v>
      </c>
      <c r="V6" s="7"/>
      <c r="W6" s="7"/>
      <c r="X6" s="7"/>
      <c r="Y6" s="7"/>
      <c r="Z6" s="3" t="s">
        <v>55</v>
      </c>
      <c r="AA6" s="3" t="s">
        <v>88</v>
      </c>
      <c r="AB6" s="3" t="s">
        <v>57</v>
      </c>
      <c r="AD6" s="3">
        <v>21.8</v>
      </c>
      <c r="AE6" s="3">
        <v>21.8</v>
      </c>
      <c r="AG6" s="3">
        <v>1.08</v>
      </c>
      <c r="AH6" s="3">
        <v>43.2</v>
      </c>
      <c r="AI6" s="3">
        <v>16</v>
      </c>
      <c r="AJ6" s="88">
        <v>41.582999999999998</v>
      </c>
      <c r="AK6" s="3" t="s">
        <v>58</v>
      </c>
      <c r="AL6" s="9">
        <f t="shared" si="0"/>
        <v>49.8996</v>
      </c>
      <c r="AN6" t="s">
        <v>5519</v>
      </c>
      <c r="AO6" s="74" t="s">
        <v>5633</v>
      </c>
    </row>
    <row r="7" spans="1:41" ht="14.25" customHeight="1" x14ac:dyDescent="0.3">
      <c r="A7" s="3" t="s">
        <v>179</v>
      </c>
      <c r="B7" s="3" t="s">
        <v>236</v>
      </c>
      <c r="C7" s="3" t="s">
        <v>181</v>
      </c>
      <c r="D7" s="3" t="s">
        <v>237</v>
      </c>
      <c r="E7" s="3" t="s">
        <v>183</v>
      </c>
      <c r="F7" s="3" t="s">
        <v>41</v>
      </c>
      <c r="G7" s="5" t="s">
        <v>42</v>
      </c>
      <c r="H7" s="5" t="s">
        <v>43</v>
      </c>
      <c r="I7" s="5" t="s">
        <v>44</v>
      </c>
      <c r="J7" s="3" t="s">
        <v>45</v>
      </c>
      <c r="K7" s="3" t="s">
        <v>46</v>
      </c>
      <c r="L7" s="3" t="s">
        <v>67</v>
      </c>
      <c r="M7" s="3" t="s">
        <v>48</v>
      </c>
      <c r="N7" s="3" t="s">
        <v>199</v>
      </c>
      <c r="O7" s="69" t="s">
        <v>586</v>
      </c>
      <c r="P7" s="3" t="s">
        <v>50</v>
      </c>
      <c r="Q7" s="3" t="s">
        <v>68</v>
      </c>
      <c r="R7" s="3">
        <v>3</v>
      </c>
      <c r="S7" s="3" t="s">
        <v>52</v>
      </c>
      <c r="T7" s="3" t="s">
        <v>53</v>
      </c>
      <c r="U7" s="3" t="s">
        <v>54</v>
      </c>
      <c r="V7" s="7"/>
      <c r="W7" s="7"/>
      <c r="X7" s="7"/>
      <c r="Y7" s="7"/>
      <c r="Z7" s="3" t="s">
        <v>55</v>
      </c>
      <c r="AA7" s="3" t="s">
        <v>88</v>
      </c>
      <c r="AB7" s="3" t="s">
        <v>57</v>
      </c>
      <c r="AD7" s="3">
        <v>21.77</v>
      </c>
      <c r="AE7" s="3">
        <v>21.77</v>
      </c>
      <c r="AG7" s="3">
        <v>1.08</v>
      </c>
      <c r="AH7" s="3">
        <v>43.2</v>
      </c>
      <c r="AI7" s="3">
        <v>16</v>
      </c>
      <c r="AJ7" s="88">
        <v>41.582999999999998</v>
      </c>
      <c r="AK7" s="3" t="s">
        <v>58</v>
      </c>
      <c r="AL7" s="9">
        <f t="shared" si="0"/>
        <v>49.8996</v>
      </c>
      <c r="AN7" t="s">
        <v>5519</v>
      </c>
      <c r="AO7" s="74" t="s">
        <v>5633</v>
      </c>
    </row>
    <row r="8" spans="1:41" ht="14.25" customHeight="1" x14ac:dyDescent="0.3">
      <c r="A8" s="3" t="s">
        <v>179</v>
      </c>
      <c r="B8" s="3" t="s">
        <v>238</v>
      </c>
      <c r="C8" s="3" t="s">
        <v>181</v>
      </c>
      <c r="D8" s="3" t="s">
        <v>239</v>
      </c>
      <c r="E8" s="3" t="s">
        <v>183</v>
      </c>
      <c r="F8" s="3" t="s">
        <v>41</v>
      </c>
      <c r="G8" s="5" t="s">
        <v>42</v>
      </c>
      <c r="H8" s="5" t="s">
        <v>43</v>
      </c>
      <c r="I8" s="5" t="s">
        <v>44</v>
      </c>
      <c r="J8" s="3" t="s">
        <v>45</v>
      </c>
      <c r="K8" s="3" t="s">
        <v>46</v>
      </c>
      <c r="L8" s="3" t="s">
        <v>67</v>
      </c>
      <c r="M8" s="3" t="s">
        <v>48</v>
      </c>
      <c r="N8" s="3" t="s">
        <v>202</v>
      </c>
      <c r="O8" s="69" t="s">
        <v>599</v>
      </c>
      <c r="P8" s="3" t="s">
        <v>50</v>
      </c>
      <c r="Q8" s="3" t="s">
        <v>68</v>
      </c>
      <c r="R8" s="3">
        <v>3</v>
      </c>
      <c r="S8" s="3" t="s">
        <v>52</v>
      </c>
      <c r="T8" s="3" t="s">
        <v>53</v>
      </c>
      <c r="U8" s="3" t="s">
        <v>54</v>
      </c>
      <c r="V8" s="7"/>
      <c r="W8" s="7"/>
      <c r="X8" s="7"/>
      <c r="Y8" s="7"/>
      <c r="Z8" s="3" t="s">
        <v>55</v>
      </c>
      <c r="AA8" s="3" t="s">
        <v>88</v>
      </c>
      <c r="AB8" s="3" t="s">
        <v>57</v>
      </c>
      <c r="AD8" s="3">
        <v>22.13</v>
      </c>
      <c r="AE8" s="3">
        <v>22.13</v>
      </c>
      <c r="AG8" s="3">
        <v>1.08</v>
      </c>
      <c r="AH8" s="3">
        <v>43.2</v>
      </c>
      <c r="AI8" s="3">
        <v>16</v>
      </c>
      <c r="AJ8" s="88">
        <v>41.582999999999998</v>
      </c>
      <c r="AK8" s="3" t="s">
        <v>58</v>
      </c>
      <c r="AL8" s="9">
        <f t="shared" si="0"/>
        <v>49.8996</v>
      </c>
      <c r="AN8" t="s">
        <v>5519</v>
      </c>
      <c r="AO8" s="74" t="s">
        <v>5633</v>
      </c>
    </row>
    <row r="9" spans="1:41" ht="14.25" customHeight="1" x14ac:dyDescent="0.3">
      <c r="A9" s="3" t="s">
        <v>179</v>
      </c>
      <c r="B9" s="3" t="s">
        <v>240</v>
      </c>
      <c r="C9" s="3" t="s">
        <v>181</v>
      </c>
      <c r="D9" s="3" t="s">
        <v>241</v>
      </c>
      <c r="E9" s="3" t="s">
        <v>183</v>
      </c>
      <c r="F9" s="3" t="s">
        <v>41</v>
      </c>
      <c r="G9" s="5" t="s">
        <v>42</v>
      </c>
      <c r="H9" s="5" t="s">
        <v>43</v>
      </c>
      <c r="I9" s="5" t="s">
        <v>44</v>
      </c>
      <c r="J9" s="3" t="s">
        <v>45</v>
      </c>
      <c r="K9" s="3" t="s">
        <v>46</v>
      </c>
      <c r="L9" s="3" t="s">
        <v>242</v>
      </c>
      <c r="M9" s="3" t="s">
        <v>48</v>
      </c>
      <c r="N9" s="3" t="s">
        <v>184</v>
      </c>
      <c r="O9" s="69" t="s">
        <v>61</v>
      </c>
      <c r="P9" s="3" t="s">
        <v>50</v>
      </c>
      <c r="Q9" s="3" t="s">
        <v>68</v>
      </c>
      <c r="R9" s="3">
        <v>2</v>
      </c>
      <c r="S9" s="3" t="s">
        <v>52</v>
      </c>
      <c r="T9" s="3" t="s">
        <v>53</v>
      </c>
      <c r="U9" s="3" t="s">
        <v>54</v>
      </c>
      <c r="V9" s="7"/>
      <c r="W9" s="7"/>
      <c r="X9" s="7"/>
      <c r="Y9" s="7"/>
      <c r="Z9" s="3" t="s">
        <v>55</v>
      </c>
      <c r="AA9" s="3" t="s">
        <v>88</v>
      </c>
      <c r="AB9" s="3" t="s">
        <v>57</v>
      </c>
      <c r="AD9" s="3">
        <v>26.18</v>
      </c>
      <c r="AE9" s="3">
        <v>26.18</v>
      </c>
      <c r="AG9" s="3">
        <v>1.28</v>
      </c>
      <c r="AH9" s="3">
        <v>61.44</v>
      </c>
      <c r="AI9" s="8">
        <v>17.600000000000001</v>
      </c>
      <c r="AJ9" s="88">
        <v>49.915999999999997</v>
      </c>
      <c r="AK9" s="3" t="s">
        <v>58</v>
      </c>
      <c r="AL9" s="9">
        <f t="shared" si="0"/>
        <v>59.899199999999993</v>
      </c>
      <c r="AN9" t="s">
        <v>5519</v>
      </c>
      <c r="AO9" s="74" t="s">
        <v>5633</v>
      </c>
    </row>
    <row r="10" spans="1:41" ht="14.25" customHeight="1" x14ac:dyDescent="0.3">
      <c r="A10" s="3" t="s">
        <v>179</v>
      </c>
      <c r="B10" s="3" t="s">
        <v>243</v>
      </c>
      <c r="C10" s="3" t="s">
        <v>181</v>
      </c>
      <c r="D10" s="3" t="s">
        <v>244</v>
      </c>
      <c r="E10" s="3" t="s">
        <v>183</v>
      </c>
      <c r="F10" s="3" t="s">
        <v>41</v>
      </c>
      <c r="G10" s="5" t="s">
        <v>42</v>
      </c>
      <c r="H10" s="5" t="s">
        <v>43</v>
      </c>
      <c r="I10" s="5" t="s">
        <v>44</v>
      </c>
      <c r="J10" s="3" t="s">
        <v>45</v>
      </c>
      <c r="K10" s="3" t="s">
        <v>46</v>
      </c>
      <c r="L10" s="3" t="s">
        <v>242</v>
      </c>
      <c r="M10" s="3" t="s">
        <v>48</v>
      </c>
      <c r="N10" s="3" t="s">
        <v>187</v>
      </c>
      <c r="O10" s="69" t="s">
        <v>61</v>
      </c>
      <c r="P10" s="3" t="s">
        <v>50</v>
      </c>
      <c r="Q10" s="3" t="s">
        <v>68</v>
      </c>
      <c r="R10" s="3">
        <v>2</v>
      </c>
      <c r="S10" s="3" t="s">
        <v>52</v>
      </c>
      <c r="T10" s="3" t="s">
        <v>53</v>
      </c>
      <c r="U10" s="3" t="s">
        <v>54</v>
      </c>
      <c r="V10" s="7"/>
      <c r="W10" s="7"/>
      <c r="X10" s="7"/>
      <c r="Y10" s="7"/>
      <c r="Z10" s="3" t="s">
        <v>55</v>
      </c>
      <c r="AA10" s="3" t="s">
        <v>88</v>
      </c>
      <c r="AB10" s="3" t="s">
        <v>57</v>
      </c>
      <c r="AD10" s="3">
        <v>26.39</v>
      </c>
      <c r="AE10" s="3">
        <v>26.39</v>
      </c>
      <c r="AG10" s="3">
        <v>1.28</v>
      </c>
      <c r="AH10" s="3">
        <v>61.44</v>
      </c>
      <c r="AI10" s="8">
        <v>17.600000000000001</v>
      </c>
      <c r="AJ10" s="88">
        <v>49.915999999999997</v>
      </c>
      <c r="AK10" s="3" t="s">
        <v>58</v>
      </c>
      <c r="AL10" s="9">
        <f t="shared" si="0"/>
        <v>59.899199999999993</v>
      </c>
      <c r="AN10" t="s">
        <v>5519</v>
      </c>
      <c r="AO10" s="74" t="s">
        <v>5633</v>
      </c>
    </row>
    <row r="11" spans="1:41" ht="14.25" customHeight="1" x14ac:dyDescent="0.3">
      <c r="A11" s="3" t="s">
        <v>179</v>
      </c>
      <c r="B11" s="3" t="s">
        <v>245</v>
      </c>
      <c r="C11" s="3" t="s">
        <v>181</v>
      </c>
      <c r="D11" s="3" t="s">
        <v>246</v>
      </c>
      <c r="E11" s="3" t="s">
        <v>183</v>
      </c>
      <c r="F11" s="3" t="s">
        <v>41</v>
      </c>
      <c r="G11" s="5" t="s">
        <v>42</v>
      </c>
      <c r="H11" s="5" t="s">
        <v>43</v>
      </c>
      <c r="I11" s="5" t="s">
        <v>44</v>
      </c>
      <c r="J11" s="3" t="s">
        <v>45</v>
      </c>
      <c r="K11" s="3" t="s">
        <v>46</v>
      </c>
      <c r="L11" s="3" t="s">
        <v>242</v>
      </c>
      <c r="M11" s="3" t="s">
        <v>48</v>
      </c>
      <c r="N11" s="3" t="s">
        <v>190</v>
      </c>
      <c r="O11" s="69" t="s">
        <v>61</v>
      </c>
      <c r="P11" s="3" t="s">
        <v>50</v>
      </c>
      <c r="Q11" s="3" t="s">
        <v>68</v>
      </c>
      <c r="R11" s="3">
        <v>2</v>
      </c>
      <c r="S11" s="3" t="s">
        <v>52</v>
      </c>
      <c r="T11" s="3" t="s">
        <v>53</v>
      </c>
      <c r="U11" s="3" t="s">
        <v>54</v>
      </c>
      <c r="V11" s="7"/>
      <c r="W11" s="7"/>
      <c r="X11" s="7"/>
      <c r="Y11" s="7"/>
      <c r="Z11" s="3" t="s">
        <v>55</v>
      </c>
      <c r="AA11" s="3" t="s">
        <v>88</v>
      </c>
      <c r="AB11" s="3" t="s">
        <v>57</v>
      </c>
      <c r="AD11" s="3">
        <v>26.75</v>
      </c>
      <c r="AE11" s="3">
        <v>26.75</v>
      </c>
      <c r="AG11" s="3">
        <v>1.28</v>
      </c>
      <c r="AH11" s="3">
        <v>61.44</v>
      </c>
      <c r="AI11" s="8">
        <v>17.600000000000001</v>
      </c>
      <c r="AJ11" s="88">
        <v>49.915999999999997</v>
      </c>
      <c r="AK11" s="3" t="s">
        <v>58</v>
      </c>
      <c r="AL11" s="9">
        <f t="shared" si="0"/>
        <v>59.899199999999993</v>
      </c>
      <c r="AN11" t="s">
        <v>5519</v>
      </c>
      <c r="AO11" s="74" t="s">
        <v>5633</v>
      </c>
    </row>
    <row r="12" spans="1:41" ht="14.25" customHeight="1" x14ac:dyDescent="0.3">
      <c r="A12" s="3" t="s">
        <v>179</v>
      </c>
      <c r="B12" s="3" t="s">
        <v>247</v>
      </c>
      <c r="C12" s="3" t="s">
        <v>181</v>
      </c>
      <c r="D12" s="3" t="s">
        <v>248</v>
      </c>
      <c r="E12" s="3" t="s">
        <v>183</v>
      </c>
      <c r="F12" s="3" t="s">
        <v>41</v>
      </c>
      <c r="G12" s="5" t="s">
        <v>42</v>
      </c>
      <c r="H12" s="5" t="s">
        <v>43</v>
      </c>
      <c r="I12" s="5" t="s">
        <v>44</v>
      </c>
      <c r="J12" s="3" t="s">
        <v>45</v>
      </c>
      <c r="K12" s="3" t="s">
        <v>46</v>
      </c>
      <c r="L12" s="3" t="s">
        <v>242</v>
      </c>
      <c r="M12" s="3" t="s">
        <v>48</v>
      </c>
      <c r="N12" s="3" t="s">
        <v>193</v>
      </c>
      <c r="O12" s="70" t="s">
        <v>61</v>
      </c>
      <c r="P12" s="3" t="s">
        <v>50</v>
      </c>
      <c r="Q12" s="3" t="s">
        <v>68</v>
      </c>
      <c r="R12" s="3">
        <v>2</v>
      </c>
      <c r="S12" s="3" t="s">
        <v>52</v>
      </c>
      <c r="T12" s="3" t="s">
        <v>53</v>
      </c>
      <c r="U12" s="3" t="s">
        <v>54</v>
      </c>
      <c r="V12" s="7"/>
      <c r="W12" s="7"/>
      <c r="X12" s="7"/>
      <c r="Y12" s="7"/>
      <c r="Z12" s="3" t="s">
        <v>55</v>
      </c>
      <c r="AA12" s="3" t="s">
        <v>88</v>
      </c>
      <c r="AB12" s="3" t="s">
        <v>57</v>
      </c>
      <c r="AD12" s="3">
        <v>26.46</v>
      </c>
      <c r="AE12" s="3">
        <v>26.46</v>
      </c>
      <c r="AG12" s="3">
        <v>1.28</v>
      </c>
      <c r="AH12" s="3">
        <v>61.44</v>
      </c>
      <c r="AI12" s="8">
        <v>17.600000000000001</v>
      </c>
      <c r="AJ12" s="88">
        <v>49.915999999999997</v>
      </c>
      <c r="AK12" s="3" t="s">
        <v>58</v>
      </c>
      <c r="AL12" s="9">
        <f t="shared" si="0"/>
        <v>59.899199999999993</v>
      </c>
      <c r="AN12" t="s">
        <v>5519</v>
      </c>
      <c r="AO12" s="74" t="s">
        <v>5633</v>
      </c>
    </row>
    <row r="13" spans="1:41" ht="14.25" customHeight="1" x14ac:dyDescent="0.3">
      <c r="A13" s="3" t="s">
        <v>179</v>
      </c>
      <c r="B13" s="3" t="s">
        <v>249</v>
      </c>
      <c r="C13" s="3" t="s">
        <v>181</v>
      </c>
      <c r="D13" s="3" t="s">
        <v>250</v>
      </c>
      <c r="E13" s="3" t="s">
        <v>183</v>
      </c>
      <c r="F13" s="3" t="s">
        <v>41</v>
      </c>
      <c r="G13" s="5" t="s">
        <v>42</v>
      </c>
      <c r="H13" s="5" t="s">
        <v>43</v>
      </c>
      <c r="I13" s="5" t="s">
        <v>44</v>
      </c>
      <c r="J13" s="3" t="s">
        <v>45</v>
      </c>
      <c r="K13" s="3" t="s">
        <v>46</v>
      </c>
      <c r="L13" s="3" t="s">
        <v>242</v>
      </c>
      <c r="M13" s="3" t="s">
        <v>48</v>
      </c>
      <c r="N13" s="3" t="s">
        <v>196</v>
      </c>
      <c r="O13" s="69" t="s">
        <v>328</v>
      </c>
      <c r="P13" s="3" t="s">
        <v>50</v>
      </c>
      <c r="Q13" s="3" t="s">
        <v>68</v>
      </c>
      <c r="R13" s="3">
        <v>2</v>
      </c>
      <c r="S13" s="3" t="s">
        <v>52</v>
      </c>
      <c r="T13" s="3" t="s">
        <v>53</v>
      </c>
      <c r="U13" s="3" t="s">
        <v>54</v>
      </c>
      <c r="V13" s="7"/>
      <c r="W13" s="7"/>
      <c r="X13" s="7"/>
      <c r="Y13" s="7"/>
      <c r="Z13" s="3" t="s">
        <v>55</v>
      </c>
      <c r="AA13" s="3" t="s">
        <v>88</v>
      </c>
      <c r="AB13" s="3" t="s">
        <v>57</v>
      </c>
      <c r="AD13" s="3">
        <v>27.03</v>
      </c>
      <c r="AE13" s="3">
        <v>27.03</v>
      </c>
      <c r="AG13" s="3">
        <v>1.28</v>
      </c>
      <c r="AH13" s="3">
        <v>61.44</v>
      </c>
      <c r="AI13" s="8">
        <v>17.600000000000001</v>
      </c>
      <c r="AJ13" s="88">
        <v>49.915999999999997</v>
      </c>
      <c r="AK13" s="3" t="s">
        <v>58</v>
      </c>
      <c r="AL13" s="9">
        <f t="shared" si="0"/>
        <v>59.899199999999993</v>
      </c>
      <c r="AN13" t="s">
        <v>5519</v>
      </c>
      <c r="AO13" s="74" t="s">
        <v>5633</v>
      </c>
    </row>
    <row r="14" spans="1:41" ht="14.25" customHeight="1" x14ac:dyDescent="0.3">
      <c r="A14" s="3" t="s">
        <v>179</v>
      </c>
      <c r="B14" s="3" t="s">
        <v>251</v>
      </c>
      <c r="C14" s="3" t="s">
        <v>181</v>
      </c>
      <c r="D14" s="3" t="s">
        <v>252</v>
      </c>
      <c r="E14" s="3" t="s">
        <v>183</v>
      </c>
      <c r="F14" s="3" t="s">
        <v>41</v>
      </c>
      <c r="G14" s="5" t="s">
        <v>42</v>
      </c>
      <c r="H14" s="5" t="s">
        <v>43</v>
      </c>
      <c r="I14" s="5" t="s">
        <v>44</v>
      </c>
      <c r="J14" s="3" t="s">
        <v>45</v>
      </c>
      <c r="K14" s="3" t="s">
        <v>46</v>
      </c>
      <c r="L14" s="3" t="s">
        <v>242</v>
      </c>
      <c r="M14" s="3" t="s">
        <v>48</v>
      </c>
      <c r="N14" s="3" t="s">
        <v>199</v>
      </c>
      <c r="O14" s="69" t="s">
        <v>586</v>
      </c>
      <c r="P14" s="3" t="s">
        <v>50</v>
      </c>
      <c r="Q14" s="3" t="s">
        <v>68</v>
      </c>
      <c r="R14" s="3">
        <v>2</v>
      </c>
      <c r="S14" s="3" t="s">
        <v>52</v>
      </c>
      <c r="T14" s="3" t="s">
        <v>53</v>
      </c>
      <c r="U14" s="3" t="s">
        <v>54</v>
      </c>
      <c r="V14" s="7"/>
      <c r="W14" s="7"/>
      <c r="X14" s="7"/>
      <c r="Y14" s="7"/>
      <c r="Z14" s="3" t="s">
        <v>55</v>
      </c>
      <c r="AA14" s="3" t="s">
        <v>88</v>
      </c>
      <c r="AB14" s="3" t="s">
        <v>57</v>
      </c>
      <c r="AD14" s="3">
        <v>26.89</v>
      </c>
      <c r="AE14" s="3">
        <v>26.89</v>
      </c>
      <c r="AG14" s="3">
        <v>1.28</v>
      </c>
      <c r="AH14" s="3">
        <v>61.44</v>
      </c>
      <c r="AI14" s="8">
        <v>17.600000000000001</v>
      </c>
      <c r="AJ14" s="88">
        <v>49.915999999999997</v>
      </c>
      <c r="AK14" s="3" t="s">
        <v>58</v>
      </c>
      <c r="AL14" s="9">
        <f t="shared" si="0"/>
        <v>59.899199999999993</v>
      </c>
      <c r="AN14" t="s">
        <v>5519</v>
      </c>
      <c r="AO14" s="74" t="s">
        <v>5633</v>
      </c>
    </row>
    <row r="15" spans="1:41" ht="14.25" customHeight="1" x14ac:dyDescent="0.3">
      <c r="A15" s="3" t="s">
        <v>179</v>
      </c>
      <c r="B15" s="3" t="s">
        <v>253</v>
      </c>
      <c r="C15" s="3" t="s">
        <v>181</v>
      </c>
      <c r="D15" s="3" t="s">
        <v>254</v>
      </c>
      <c r="E15" s="3" t="s">
        <v>183</v>
      </c>
      <c r="F15" s="3" t="s">
        <v>41</v>
      </c>
      <c r="G15" s="5" t="s">
        <v>42</v>
      </c>
      <c r="H15" s="5" t="s">
        <v>43</v>
      </c>
      <c r="I15" s="5" t="s">
        <v>44</v>
      </c>
      <c r="J15" s="3" t="s">
        <v>45</v>
      </c>
      <c r="K15" s="3" t="s">
        <v>46</v>
      </c>
      <c r="L15" s="3" t="s">
        <v>242</v>
      </c>
      <c r="M15" s="3" t="s">
        <v>48</v>
      </c>
      <c r="N15" s="3" t="s">
        <v>202</v>
      </c>
      <c r="O15" s="69" t="s">
        <v>599</v>
      </c>
      <c r="P15" s="3" t="s">
        <v>50</v>
      </c>
      <c r="Q15" s="3" t="s">
        <v>68</v>
      </c>
      <c r="R15" s="3">
        <v>2</v>
      </c>
      <c r="S15" s="3" t="s">
        <v>52</v>
      </c>
      <c r="T15" s="3" t="s">
        <v>53</v>
      </c>
      <c r="U15" s="3" t="s">
        <v>54</v>
      </c>
      <c r="V15" s="7"/>
      <c r="W15" s="7"/>
      <c r="X15" s="7"/>
      <c r="Y15" s="7"/>
      <c r="Z15" s="3" t="s">
        <v>55</v>
      </c>
      <c r="AA15" s="3" t="s">
        <v>88</v>
      </c>
      <c r="AB15" s="3" t="s">
        <v>57</v>
      </c>
      <c r="AD15" s="3">
        <v>26.94</v>
      </c>
      <c r="AE15" s="3">
        <v>26.94</v>
      </c>
      <c r="AG15" s="3">
        <v>1.28</v>
      </c>
      <c r="AH15" s="3">
        <v>61.44</v>
      </c>
      <c r="AI15" s="8">
        <v>17.600000000000001</v>
      </c>
      <c r="AJ15" s="88">
        <v>49.915999999999997</v>
      </c>
      <c r="AK15" s="3" t="s">
        <v>58</v>
      </c>
      <c r="AL15" s="9">
        <f t="shared" si="0"/>
        <v>59.899199999999993</v>
      </c>
      <c r="AN15" t="s">
        <v>5519</v>
      </c>
      <c r="AO15" s="74" t="s">
        <v>5633</v>
      </c>
    </row>
    <row r="16" spans="1:41" ht="14.25" customHeight="1" x14ac:dyDescent="0.3">
      <c r="A16" s="3" t="s">
        <v>179</v>
      </c>
      <c r="B16" s="3" t="s">
        <v>203</v>
      </c>
      <c r="C16" s="3" t="s">
        <v>181</v>
      </c>
      <c r="D16" s="3" t="s">
        <v>204</v>
      </c>
      <c r="E16" s="3" t="s">
        <v>183</v>
      </c>
      <c r="F16" s="3" t="s">
        <v>41</v>
      </c>
      <c r="G16" s="5" t="s">
        <v>42</v>
      </c>
      <c r="H16" s="5" t="s">
        <v>43</v>
      </c>
      <c r="I16" s="5" t="s">
        <v>44</v>
      </c>
      <c r="J16" s="3" t="s">
        <v>45</v>
      </c>
      <c r="K16" s="3" t="s">
        <v>46</v>
      </c>
      <c r="L16" s="3" t="s">
        <v>47</v>
      </c>
      <c r="M16" s="3" t="s">
        <v>48</v>
      </c>
      <c r="N16" s="3" t="s">
        <v>205</v>
      </c>
      <c r="O16" s="69" t="s">
        <v>1802</v>
      </c>
      <c r="P16" s="3" t="s">
        <v>50</v>
      </c>
      <c r="Q16" s="3" t="s">
        <v>51</v>
      </c>
      <c r="R16" s="3">
        <v>2</v>
      </c>
      <c r="S16" s="3" t="s">
        <v>52</v>
      </c>
      <c r="T16" s="3" t="s">
        <v>53</v>
      </c>
      <c r="U16" s="3" t="s">
        <v>54</v>
      </c>
      <c r="V16" s="7"/>
      <c r="W16" s="7"/>
      <c r="X16" s="7"/>
      <c r="Y16" s="7"/>
      <c r="Z16" s="3" t="s">
        <v>55</v>
      </c>
      <c r="AA16" s="3" t="s">
        <v>88</v>
      </c>
      <c r="AB16" s="3" t="s">
        <v>57</v>
      </c>
      <c r="AD16" s="3">
        <v>29.66</v>
      </c>
      <c r="AE16" s="3">
        <v>29.66</v>
      </c>
      <c r="AG16" s="3">
        <v>1.44</v>
      </c>
      <c r="AH16" s="3">
        <v>50.4</v>
      </c>
      <c r="AI16" s="3">
        <v>21.1</v>
      </c>
      <c r="AJ16" s="88">
        <v>49.915999999999997</v>
      </c>
      <c r="AK16" s="3" t="s">
        <v>58</v>
      </c>
      <c r="AL16" s="9">
        <f t="shared" si="0"/>
        <v>59.899199999999993</v>
      </c>
      <c r="AN16" t="s">
        <v>5519</v>
      </c>
      <c r="AO16" s="74" t="s">
        <v>5633</v>
      </c>
    </row>
    <row r="17" spans="1:41" ht="14.25" customHeight="1" x14ac:dyDescent="0.3">
      <c r="A17" s="3" t="s">
        <v>179</v>
      </c>
      <c r="B17" s="3" t="s">
        <v>206</v>
      </c>
      <c r="C17" s="3" t="s">
        <v>181</v>
      </c>
      <c r="D17" s="3" t="s">
        <v>207</v>
      </c>
      <c r="E17" s="3" t="s">
        <v>183</v>
      </c>
      <c r="F17" s="3" t="s">
        <v>41</v>
      </c>
      <c r="G17" s="5" t="s">
        <v>42</v>
      </c>
      <c r="H17" s="5" t="s">
        <v>43</v>
      </c>
      <c r="I17" s="5" t="s">
        <v>44</v>
      </c>
      <c r="J17" s="3" t="s">
        <v>45</v>
      </c>
      <c r="K17" s="3" t="s">
        <v>46</v>
      </c>
      <c r="L17" s="3" t="s">
        <v>47</v>
      </c>
      <c r="M17" s="3" t="s">
        <v>48</v>
      </c>
      <c r="N17" s="3" t="s">
        <v>208</v>
      </c>
      <c r="O17" s="69" t="s">
        <v>1463</v>
      </c>
      <c r="P17" s="3" t="s">
        <v>50</v>
      </c>
      <c r="Q17" s="3" t="s">
        <v>51</v>
      </c>
      <c r="R17" s="3">
        <v>2</v>
      </c>
      <c r="S17" s="3" t="s">
        <v>52</v>
      </c>
      <c r="T17" s="3" t="s">
        <v>53</v>
      </c>
      <c r="U17" s="3" t="s">
        <v>54</v>
      </c>
      <c r="V17" s="7"/>
      <c r="W17" s="7"/>
      <c r="X17" s="7"/>
      <c r="Y17" s="7"/>
      <c r="Z17" s="3" t="s">
        <v>55</v>
      </c>
      <c r="AA17" s="3" t="s">
        <v>88</v>
      </c>
      <c r="AB17" s="3" t="s">
        <v>57</v>
      </c>
      <c r="AD17" s="3">
        <v>29.84</v>
      </c>
      <c r="AE17" s="3">
        <v>29.84</v>
      </c>
      <c r="AG17" s="3">
        <v>1.44</v>
      </c>
      <c r="AH17" s="3">
        <v>50.4</v>
      </c>
      <c r="AI17" s="3">
        <v>21.1</v>
      </c>
      <c r="AJ17" s="88">
        <v>49.915999999999997</v>
      </c>
      <c r="AK17" s="3" t="s">
        <v>58</v>
      </c>
      <c r="AL17" s="9">
        <f t="shared" si="0"/>
        <v>59.899199999999993</v>
      </c>
      <c r="AN17" t="s">
        <v>5519</v>
      </c>
      <c r="AO17" s="74" t="s">
        <v>5633</v>
      </c>
    </row>
    <row r="18" spans="1:41" ht="14.25" customHeight="1" x14ac:dyDescent="0.3">
      <c r="A18" s="3" t="s">
        <v>179</v>
      </c>
      <c r="B18" s="3" t="s">
        <v>209</v>
      </c>
      <c r="C18" s="3" t="s">
        <v>181</v>
      </c>
      <c r="D18" s="3" t="s">
        <v>210</v>
      </c>
      <c r="E18" s="3" t="s">
        <v>183</v>
      </c>
      <c r="F18" s="3" t="s">
        <v>41</v>
      </c>
      <c r="G18" s="5" t="s">
        <v>42</v>
      </c>
      <c r="H18" s="5" t="s">
        <v>43</v>
      </c>
      <c r="I18" s="5" t="s">
        <v>44</v>
      </c>
      <c r="J18" s="3" t="s">
        <v>45</v>
      </c>
      <c r="K18" s="3" t="s">
        <v>46</v>
      </c>
      <c r="L18" s="3" t="s">
        <v>47</v>
      </c>
      <c r="M18" s="3" t="s">
        <v>48</v>
      </c>
      <c r="N18" s="3" t="s">
        <v>211</v>
      </c>
      <c r="O18" s="69" t="s">
        <v>5617</v>
      </c>
      <c r="P18" s="3" t="s">
        <v>50</v>
      </c>
      <c r="Q18" s="3" t="s">
        <v>51</v>
      </c>
      <c r="R18" s="3">
        <v>2</v>
      </c>
      <c r="S18" s="3" t="s">
        <v>52</v>
      </c>
      <c r="T18" s="3" t="s">
        <v>53</v>
      </c>
      <c r="U18" s="3" t="s">
        <v>54</v>
      </c>
      <c r="V18" s="7"/>
      <c r="W18" s="7"/>
      <c r="X18" s="7"/>
      <c r="Y18" s="7"/>
      <c r="Z18" s="3" t="s">
        <v>55</v>
      </c>
      <c r="AA18" s="3" t="s">
        <v>88</v>
      </c>
      <c r="AB18" s="3" t="s">
        <v>57</v>
      </c>
      <c r="AD18" s="3">
        <v>29.6</v>
      </c>
      <c r="AE18" s="3">
        <v>29.6</v>
      </c>
      <c r="AG18" s="3">
        <v>1.44</v>
      </c>
      <c r="AH18" s="3">
        <v>50.4</v>
      </c>
      <c r="AI18" s="3">
        <v>21.1</v>
      </c>
      <c r="AJ18" s="88">
        <v>49.915999999999997</v>
      </c>
      <c r="AK18" s="3" t="s">
        <v>58</v>
      </c>
      <c r="AL18" s="9">
        <f t="shared" si="0"/>
        <v>59.899199999999993</v>
      </c>
      <c r="AN18" t="s">
        <v>5519</v>
      </c>
      <c r="AO18" s="74" t="s">
        <v>5633</v>
      </c>
    </row>
    <row r="19" spans="1:41" ht="14.25" customHeight="1" x14ac:dyDescent="0.3">
      <c r="A19" s="3" t="s">
        <v>179</v>
      </c>
      <c r="B19" s="3" t="s">
        <v>212</v>
      </c>
      <c r="C19" s="3" t="s">
        <v>181</v>
      </c>
      <c r="D19" s="3" t="s">
        <v>213</v>
      </c>
      <c r="E19" s="3" t="s">
        <v>183</v>
      </c>
      <c r="F19" s="3" t="s">
        <v>41</v>
      </c>
      <c r="G19" s="5" t="s">
        <v>42</v>
      </c>
      <c r="H19" s="5" t="s">
        <v>43</v>
      </c>
      <c r="I19" s="5" t="s">
        <v>44</v>
      </c>
      <c r="J19" s="3" t="s">
        <v>45</v>
      </c>
      <c r="K19" s="3" t="s">
        <v>46</v>
      </c>
      <c r="L19" s="3" t="s">
        <v>47</v>
      </c>
      <c r="M19" s="3" t="s">
        <v>48</v>
      </c>
      <c r="N19" s="3" t="s">
        <v>184</v>
      </c>
      <c r="O19" s="69" t="s">
        <v>61</v>
      </c>
      <c r="P19" s="3" t="s">
        <v>50</v>
      </c>
      <c r="Q19" s="3" t="s">
        <v>51</v>
      </c>
      <c r="R19" s="3">
        <v>2</v>
      </c>
      <c r="S19" s="3" t="s">
        <v>52</v>
      </c>
      <c r="T19" s="3" t="s">
        <v>53</v>
      </c>
      <c r="U19" s="3" t="s">
        <v>54</v>
      </c>
      <c r="V19" s="7"/>
      <c r="W19" s="7"/>
      <c r="X19" s="7"/>
      <c r="Y19" s="7"/>
      <c r="Z19" s="3" t="s">
        <v>55</v>
      </c>
      <c r="AA19" s="3" t="s">
        <v>88</v>
      </c>
      <c r="AB19" s="3" t="s">
        <v>57</v>
      </c>
      <c r="AD19" s="3">
        <v>29.7</v>
      </c>
      <c r="AE19" s="3">
        <v>29.7</v>
      </c>
      <c r="AG19" s="3">
        <v>1.44</v>
      </c>
      <c r="AH19" s="3">
        <v>50.4</v>
      </c>
      <c r="AI19" s="3">
        <v>21.1</v>
      </c>
      <c r="AJ19" s="88">
        <v>49.915999999999997</v>
      </c>
      <c r="AK19" s="3" t="s">
        <v>58</v>
      </c>
      <c r="AL19" s="9">
        <f t="shared" si="0"/>
        <v>59.899199999999993</v>
      </c>
      <c r="AN19" t="s">
        <v>5519</v>
      </c>
      <c r="AO19" s="74" t="s">
        <v>5633</v>
      </c>
    </row>
    <row r="20" spans="1:41" ht="14.25" customHeight="1" x14ac:dyDescent="0.3">
      <c r="A20" s="3" t="s">
        <v>179</v>
      </c>
      <c r="B20" s="3" t="s">
        <v>214</v>
      </c>
      <c r="C20" s="3" t="s">
        <v>181</v>
      </c>
      <c r="D20" s="3" t="s">
        <v>215</v>
      </c>
      <c r="E20" s="3" t="s">
        <v>183</v>
      </c>
      <c r="F20" s="3" t="s">
        <v>41</v>
      </c>
      <c r="G20" s="5" t="s">
        <v>42</v>
      </c>
      <c r="H20" s="5" t="s">
        <v>43</v>
      </c>
      <c r="I20" s="5" t="s">
        <v>44</v>
      </c>
      <c r="J20" s="3" t="s">
        <v>45</v>
      </c>
      <c r="K20" s="3" t="s">
        <v>46</v>
      </c>
      <c r="L20" s="3" t="s">
        <v>47</v>
      </c>
      <c r="M20" s="3" t="s">
        <v>48</v>
      </c>
      <c r="N20" s="3" t="s">
        <v>187</v>
      </c>
      <c r="O20" s="69" t="s">
        <v>61</v>
      </c>
      <c r="P20" s="3" t="s">
        <v>50</v>
      </c>
      <c r="Q20" s="3" t="s">
        <v>51</v>
      </c>
      <c r="R20" s="3">
        <v>2</v>
      </c>
      <c r="S20" s="3" t="s">
        <v>52</v>
      </c>
      <c r="T20" s="3" t="s">
        <v>53</v>
      </c>
      <c r="U20" s="3" t="s">
        <v>54</v>
      </c>
      <c r="V20" s="7"/>
      <c r="W20" s="7"/>
      <c r="X20" s="7"/>
      <c r="Y20" s="7"/>
      <c r="Z20" s="3" t="s">
        <v>55</v>
      </c>
      <c r="AA20" s="3" t="s">
        <v>88</v>
      </c>
      <c r="AB20" s="3" t="s">
        <v>57</v>
      </c>
      <c r="AD20" s="3">
        <v>29.6</v>
      </c>
      <c r="AE20" s="3">
        <v>29.6</v>
      </c>
      <c r="AG20" s="3">
        <v>1.44</v>
      </c>
      <c r="AH20" s="3">
        <v>50.4</v>
      </c>
      <c r="AI20" s="3">
        <v>21.1</v>
      </c>
      <c r="AJ20" s="88">
        <v>49.915999999999997</v>
      </c>
      <c r="AK20" s="3" t="s">
        <v>58</v>
      </c>
      <c r="AL20" s="9">
        <f t="shared" si="0"/>
        <v>59.899199999999993</v>
      </c>
      <c r="AN20" t="s">
        <v>5519</v>
      </c>
      <c r="AO20" s="74" t="s">
        <v>5633</v>
      </c>
    </row>
    <row r="21" spans="1:41" ht="14.25" customHeight="1" x14ac:dyDescent="0.3">
      <c r="A21" s="3" t="s">
        <v>179</v>
      </c>
      <c r="B21" s="3" t="s">
        <v>216</v>
      </c>
      <c r="C21" s="3" t="s">
        <v>181</v>
      </c>
      <c r="D21" s="3" t="s">
        <v>217</v>
      </c>
      <c r="E21" s="3" t="s">
        <v>183</v>
      </c>
      <c r="F21" s="3" t="s">
        <v>41</v>
      </c>
      <c r="G21" s="5" t="s">
        <v>42</v>
      </c>
      <c r="H21" s="5" t="s">
        <v>43</v>
      </c>
      <c r="I21" s="5" t="s">
        <v>44</v>
      </c>
      <c r="J21" s="3" t="s">
        <v>45</v>
      </c>
      <c r="K21" s="3" t="s">
        <v>46</v>
      </c>
      <c r="L21" s="3" t="s">
        <v>47</v>
      </c>
      <c r="M21" s="3" t="s">
        <v>48</v>
      </c>
      <c r="N21" s="3" t="s">
        <v>190</v>
      </c>
      <c r="O21" s="69" t="s">
        <v>61</v>
      </c>
      <c r="P21" s="3" t="s">
        <v>50</v>
      </c>
      <c r="Q21" s="3" t="s">
        <v>51</v>
      </c>
      <c r="R21" s="3">
        <v>2</v>
      </c>
      <c r="S21" s="3" t="s">
        <v>52</v>
      </c>
      <c r="T21" s="3" t="s">
        <v>53</v>
      </c>
      <c r="U21" s="3" t="s">
        <v>54</v>
      </c>
      <c r="V21" s="7"/>
      <c r="W21" s="7"/>
      <c r="X21" s="7"/>
      <c r="Y21" s="7"/>
      <c r="Z21" s="3" t="s">
        <v>55</v>
      </c>
      <c r="AA21" s="3" t="s">
        <v>88</v>
      </c>
      <c r="AB21" s="3" t="s">
        <v>57</v>
      </c>
      <c r="AD21" s="3">
        <v>30.03</v>
      </c>
      <c r="AE21" s="3">
        <v>30.03</v>
      </c>
      <c r="AG21" s="3">
        <v>1.44</v>
      </c>
      <c r="AH21" s="3">
        <v>50.4</v>
      </c>
      <c r="AI21" s="3">
        <v>21.1</v>
      </c>
      <c r="AJ21" s="88">
        <v>49.915999999999997</v>
      </c>
      <c r="AK21" s="3" t="s">
        <v>58</v>
      </c>
      <c r="AL21" s="9">
        <f t="shared" si="0"/>
        <v>59.899199999999993</v>
      </c>
      <c r="AN21" t="s">
        <v>5519</v>
      </c>
      <c r="AO21" s="74" t="s">
        <v>5633</v>
      </c>
    </row>
    <row r="22" spans="1:41" ht="14.25" customHeight="1" x14ac:dyDescent="0.3">
      <c r="A22" s="3" t="s">
        <v>179</v>
      </c>
      <c r="B22" s="3" t="s">
        <v>218</v>
      </c>
      <c r="C22" s="3" t="s">
        <v>181</v>
      </c>
      <c r="D22" s="3" t="s">
        <v>219</v>
      </c>
      <c r="E22" s="3" t="s">
        <v>183</v>
      </c>
      <c r="F22" s="3" t="s">
        <v>41</v>
      </c>
      <c r="G22" s="5" t="s">
        <v>42</v>
      </c>
      <c r="H22" s="5" t="s">
        <v>43</v>
      </c>
      <c r="I22" s="5" t="s">
        <v>44</v>
      </c>
      <c r="J22" s="3" t="s">
        <v>45</v>
      </c>
      <c r="K22" s="3" t="s">
        <v>46</v>
      </c>
      <c r="L22" s="3" t="s">
        <v>47</v>
      </c>
      <c r="M22" s="3" t="s">
        <v>48</v>
      </c>
      <c r="N22" s="3" t="s">
        <v>193</v>
      </c>
      <c r="O22" s="69" t="s">
        <v>61</v>
      </c>
      <c r="P22" s="3" t="s">
        <v>50</v>
      </c>
      <c r="Q22" s="3" t="s">
        <v>51</v>
      </c>
      <c r="R22" s="3">
        <v>2</v>
      </c>
      <c r="S22" s="3" t="s">
        <v>52</v>
      </c>
      <c r="T22" s="3" t="s">
        <v>53</v>
      </c>
      <c r="U22" s="3" t="s">
        <v>54</v>
      </c>
      <c r="V22" s="7"/>
      <c r="W22" s="7"/>
      <c r="X22" s="7"/>
      <c r="Y22" s="7"/>
      <c r="Z22" s="3" t="s">
        <v>55</v>
      </c>
      <c r="AA22" s="3" t="s">
        <v>88</v>
      </c>
      <c r="AB22" s="3" t="s">
        <v>57</v>
      </c>
      <c r="AD22" s="3">
        <v>29.6</v>
      </c>
      <c r="AE22" s="3">
        <v>29.6</v>
      </c>
      <c r="AG22" s="3">
        <v>1.44</v>
      </c>
      <c r="AH22" s="3">
        <v>50.4</v>
      </c>
      <c r="AI22" s="3">
        <v>21.1</v>
      </c>
      <c r="AJ22" s="88">
        <v>49.915999999999997</v>
      </c>
      <c r="AK22" s="3" t="s">
        <v>58</v>
      </c>
      <c r="AL22" s="9">
        <f t="shared" si="0"/>
        <v>59.899199999999993</v>
      </c>
      <c r="AN22" t="s">
        <v>5519</v>
      </c>
      <c r="AO22" s="74" t="s">
        <v>5633</v>
      </c>
    </row>
    <row r="23" spans="1:41" ht="14.25" customHeight="1" x14ac:dyDescent="0.3">
      <c r="A23" s="3" t="s">
        <v>179</v>
      </c>
      <c r="B23" s="3" t="s">
        <v>220</v>
      </c>
      <c r="C23" s="3" t="s">
        <v>181</v>
      </c>
      <c r="D23" s="3" t="s">
        <v>221</v>
      </c>
      <c r="E23" s="3" t="s">
        <v>183</v>
      </c>
      <c r="F23" s="3" t="s">
        <v>41</v>
      </c>
      <c r="G23" s="5" t="s">
        <v>42</v>
      </c>
      <c r="H23" s="5" t="s">
        <v>43</v>
      </c>
      <c r="I23" s="5" t="s">
        <v>44</v>
      </c>
      <c r="J23" s="3" t="s">
        <v>45</v>
      </c>
      <c r="K23" s="3" t="s">
        <v>46</v>
      </c>
      <c r="L23" s="3" t="s">
        <v>47</v>
      </c>
      <c r="M23" s="3" t="s">
        <v>48</v>
      </c>
      <c r="N23" s="3" t="s">
        <v>196</v>
      </c>
      <c r="O23" s="70" t="s">
        <v>328</v>
      </c>
      <c r="P23" s="3" t="s">
        <v>50</v>
      </c>
      <c r="Q23" s="3" t="s">
        <v>51</v>
      </c>
      <c r="R23" s="3">
        <v>2</v>
      </c>
      <c r="S23" s="3" t="s">
        <v>52</v>
      </c>
      <c r="T23" s="3" t="s">
        <v>53</v>
      </c>
      <c r="U23" s="3" t="s">
        <v>54</v>
      </c>
      <c r="V23" s="7"/>
      <c r="W23" s="7"/>
      <c r="X23" s="7"/>
      <c r="Y23" s="7"/>
      <c r="Z23" s="3" t="s">
        <v>55</v>
      </c>
      <c r="AA23" s="3" t="s">
        <v>88</v>
      </c>
      <c r="AB23" s="3" t="s">
        <v>57</v>
      </c>
      <c r="AD23" s="3">
        <v>29.2</v>
      </c>
      <c r="AE23" s="3">
        <v>29.2</v>
      </c>
      <c r="AG23" s="3">
        <v>1.44</v>
      </c>
      <c r="AH23" s="3">
        <v>50.4</v>
      </c>
      <c r="AI23" s="3">
        <v>21.1</v>
      </c>
      <c r="AJ23" s="88">
        <v>49.915999999999997</v>
      </c>
      <c r="AK23" s="3" t="s">
        <v>58</v>
      </c>
      <c r="AL23" s="9">
        <f t="shared" si="0"/>
        <v>59.899199999999993</v>
      </c>
      <c r="AN23" t="s">
        <v>5519</v>
      </c>
      <c r="AO23" s="74" t="s">
        <v>5633</v>
      </c>
    </row>
    <row r="24" spans="1:41" ht="14.25" customHeight="1" x14ac:dyDescent="0.3">
      <c r="A24" s="3" t="s">
        <v>179</v>
      </c>
      <c r="B24" s="3" t="s">
        <v>222</v>
      </c>
      <c r="C24" s="3" t="s">
        <v>181</v>
      </c>
      <c r="D24" s="3" t="s">
        <v>223</v>
      </c>
      <c r="E24" s="3" t="s">
        <v>183</v>
      </c>
      <c r="F24" s="3" t="s">
        <v>41</v>
      </c>
      <c r="G24" s="5" t="s">
        <v>42</v>
      </c>
      <c r="H24" s="5" t="s">
        <v>43</v>
      </c>
      <c r="I24" s="5" t="s">
        <v>44</v>
      </c>
      <c r="J24" s="3" t="s">
        <v>45</v>
      </c>
      <c r="K24" s="3" t="s">
        <v>46</v>
      </c>
      <c r="L24" s="3" t="s">
        <v>47</v>
      </c>
      <c r="M24" s="3" t="s">
        <v>48</v>
      </c>
      <c r="N24" s="3" t="s">
        <v>199</v>
      </c>
      <c r="O24" s="70" t="s">
        <v>586</v>
      </c>
      <c r="P24" s="3" t="s">
        <v>50</v>
      </c>
      <c r="Q24" s="3" t="s">
        <v>51</v>
      </c>
      <c r="R24" s="3">
        <v>2</v>
      </c>
      <c r="S24" s="3" t="s">
        <v>52</v>
      </c>
      <c r="T24" s="3" t="s">
        <v>53</v>
      </c>
      <c r="U24" s="3" t="s">
        <v>54</v>
      </c>
      <c r="V24" s="7"/>
      <c r="W24" s="7"/>
      <c r="X24" s="7"/>
      <c r="Y24" s="7"/>
      <c r="Z24" s="3" t="s">
        <v>55</v>
      </c>
      <c r="AA24" s="3" t="s">
        <v>88</v>
      </c>
      <c r="AB24" s="3" t="s">
        <v>57</v>
      </c>
      <c r="AD24" s="3">
        <v>29.6</v>
      </c>
      <c r="AE24" s="3">
        <v>29.6</v>
      </c>
      <c r="AG24" s="3">
        <v>1.44</v>
      </c>
      <c r="AH24" s="3">
        <v>50.4</v>
      </c>
      <c r="AI24" s="3">
        <v>21.1</v>
      </c>
      <c r="AJ24" s="88">
        <v>49.915999999999997</v>
      </c>
      <c r="AK24" s="3" t="s">
        <v>58</v>
      </c>
      <c r="AL24" s="9">
        <f t="shared" si="0"/>
        <v>59.899199999999993</v>
      </c>
      <c r="AN24" t="s">
        <v>5519</v>
      </c>
      <c r="AO24" s="74" t="s">
        <v>5633</v>
      </c>
    </row>
    <row r="25" spans="1:41" ht="14.25" customHeight="1" x14ac:dyDescent="0.3">
      <c r="A25" s="3" t="s">
        <v>179</v>
      </c>
      <c r="B25" s="3" t="s">
        <v>224</v>
      </c>
      <c r="C25" s="3" t="s">
        <v>181</v>
      </c>
      <c r="D25" s="3" t="s">
        <v>225</v>
      </c>
      <c r="E25" s="3" t="s">
        <v>183</v>
      </c>
      <c r="F25" s="3" t="s">
        <v>41</v>
      </c>
      <c r="G25" s="5" t="s">
        <v>42</v>
      </c>
      <c r="H25" s="5" t="s">
        <v>43</v>
      </c>
      <c r="I25" s="5" t="s">
        <v>44</v>
      </c>
      <c r="J25" s="3" t="s">
        <v>45</v>
      </c>
      <c r="K25" s="3" t="s">
        <v>46</v>
      </c>
      <c r="L25" s="3" t="s">
        <v>47</v>
      </c>
      <c r="M25" s="3" t="s">
        <v>48</v>
      </c>
      <c r="N25" s="3" t="s">
        <v>202</v>
      </c>
      <c r="O25" s="70" t="s">
        <v>599</v>
      </c>
      <c r="P25" s="3" t="s">
        <v>50</v>
      </c>
      <c r="Q25" s="3" t="s">
        <v>51</v>
      </c>
      <c r="R25" s="3">
        <v>2</v>
      </c>
      <c r="S25" s="3" t="s">
        <v>52</v>
      </c>
      <c r="T25" s="3" t="s">
        <v>53</v>
      </c>
      <c r="U25" s="3" t="s">
        <v>54</v>
      </c>
      <c r="V25" s="7"/>
      <c r="W25" s="7"/>
      <c r="X25" s="7"/>
      <c r="Y25" s="7"/>
      <c r="Z25" s="3" t="s">
        <v>55</v>
      </c>
      <c r="AA25" s="3" t="s">
        <v>88</v>
      </c>
      <c r="AB25" s="3" t="s">
        <v>57</v>
      </c>
      <c r="AD25" s="3">
        <v>30.11</v>
      </c>
      <c r="AE25" s="3">
        <v>30.11</v>
      </c>
      <c r="AG25" s="3">
        <v>1.44</v>
      </c>
      <c r="AH25" s="3">
        <v>50.4</v>
      </c>
      <c r="AI25" s="3">
        <v>21.1</v>
      </c>
      <c r="AJ25" s="88">
        <v>49.915999999999997</v>
      </c>
      <c r="AK25" s="3" t="s">
        <v>58</v>
      </c>
      <c r="AL25" s="9">
        <f t="shared" si="0"/>
        <v>59.899199999999993</v>
      </c>
      <c r="AN25" t="s">
        <v>5519</v>
      </c>
      <c r="AO25" s="74" t="s">
        <v>5633</v>
      </c>
    </row>
    <row r="26" spans="1:41" ht="14.25" customHeight="1" x14ac:dyDescent="0.3">
      <c r="A26" s="3" t="s">
        <v>179</v>
      </c>
      <c r="B26" s="3" t="s">
        <v>180</v>
      </c>
      <c r="C26" s="3" t="s">
        <v>181</v>
      </c>
      <c r="D26" s="3" t="s">
        <v>182</v>
      </c>
      <c r="E26" s="3" t="s">
        <v>183</v>
      </c>
      <c r="F26" s="3" t="s">
        <v>41</v>
      </c>
      <c r="G26" s="5" t="s">
        <v>42</v>
      </c>
      <c r="H26" s="5" t="s">
        <v>43</v>
      </c>
      <c r="I26" s="5" t="s">
        <v>44</v>
      </c>
      <c r="J26" s="3" t="s">
        <v>45</v>
      </c>
      <c r="K26" s="3" t="s">
        <v>46</v>
      </c>
      <c r="L26" s="3" t="s">
        <v>132</v>
      </c>
      <c r="M26" s="3" t="s">
        <v>48</v>
      </c>
      <c r="N26" s="3" t="s">
        <v>184</v>
      </c>
      <c r="O26" s="70" t="s">
        <v>61</v>
      </c>
      <c r="P26" s="3" t="s">
        <v>50</v>
      </c>
      <c r="Q26" s="3" t="s">
        <v>68</v>
      </c>
      <c r="R26" s="3">
        <v>2</v>
      </c>
      <c r="S26" s="3" t="s">
        <v>52</v>
      </c>
      <c r="T26" s="3" t="s">
        <v>53</v>
      </c>
      <c r="U26" s="3" t="s">
        <v>54</v>
      </c>
      <c r="V26" s="7"/>
      <c r="W26" s="7"/>
      <c r="X26" s="7"/>
      <c r="Y26" s="7"/>
      <c r="Z26" s="3" t="s">
        <v>55</v>
      </c>
      <c r="AA26" s="3" t="s">
        <v>88</v>
      </c>
      <c r="AB26" s="3" t="s">
        <v>57</v>
      </c>
      <c r="AD26" s="3">
        <v>62.95</v>
      </c>
      <c r="AE26" s="3">
        <v>62.95</v>
      </c>
      <c r="AG26" s="3">
        <v>2.88</v>
      </c>
      <c r="AH26" s="3">
        <v>57.6</v>
      </c>
      <c r="AI26" s="3">
        <v>28.6</v>
      </c>
      <c r="AJ26" s="88">
        <v>66.582999999999998</v>
      </c>
      <c r="AK26" s="3" t="s">
        <v>58</v>
      </c>
      <c r="AL26" s="9">
        <f t="shared" si="0"/>
        <v>79.899599999999992</v>
      </c>
      <c r="AN26" t="s">
        <v>5519</v>
      </c>
      <c r="AO26" s="74" t="s">
        <v>5633</v>
      </c>
    </row>
    <row r="27" spans="1:41" ht="14.25" customHeight="1" x14ac:dyDescent="0.3">
      <c r="A27" s="3" t="s">
        <v>179</v>
      </c>
      <c r="B27" s="3" t="s">
        <v>185</v>
      </c>
      <c r="C27" s="3" t="s">
        <v>181</v>
      </c>
      <c r="D27" s="3" t="s">
        <v>186</v>
      </c>
      <c r="E27" s="3" t="s">
        <v>183</v>
      </c>
      <c r="F27" s="3" t="s">
        <v>41</v>
      </c>
      <c r="G27" s="5" t="s">
        <v>42</v>
      </c>
      <c r="H27" s="5" t="s">
        <v>43</v>
      </c>
      <c r="I27" s="5" t="s">
        <v>44</v>
      </c>
      <c r="J27" s="3" t="s">
        <v>45</v>
      </c>
      <c r="K27" s="3" t="s">
        <v>46</v>
      </c>
      <c r="L27" s="3" t="s">
        <v>132</v>
      </c>
      <c r="M27" s="3" t="s">
        <v>48</v>
      </c>
      <c r="N27" s="3" t="s">
        <v>187</v>
      </c>
      <c r="O27" s="70" t="s">
        <v>61</v>
      </c>
      <c r="P27" s="3" t="s">
        <v>50</v>
      </c>
      <c r="Q27" s="3" t="s">
        <v>68</v>
      </c>
      <c r="R27" s="3">
        <v>2</v>
      </c>
      <c r="S27" s="3" t="s">
        <v>52</v>
      </c>
      <c r="T27" s="3" t="s">
        <v>53</v>
      </c>
      <c r="U27" s="3" t="s">
        <v>54</v>
      </c>
      <c r="V27" s="7"/>
      <c r="W27" s="7"/>
      <c r="X27" s="7"/>
      <c r="Y27" s="7"/>
      <c r="Z27" s="3" t="s">
        <v>55</v>
      </c>
      <c r="AA27" s="3" t="s">
        <v>88</v>
      </c>
      <c r="AB27" s="3" t="s">
        <v>57</v>
      </c>
      <c r="AD27" s="3">
        <v>61.56</v>
      </c>
      <c r="AE27" s="3">
        <v>61.56</v>
      </c>
      <c r="AG27" s="3">
        <v>2.88</v>
      </c>
      <c r="AH27" s="3">
        <v>57.6</v>
      </c>
      <c r="AI27" s="3">
        <v>28.6</v>
      </c>
      <c r="AJ27" s="88">
        <v>66.582999999999998</v>
      </c>
      <c r="AK27" s="3" t="s">
        <v>58</v>
      </c>
      <c r="AL27" s="9">
        <f t="shared" si="0"/>
        <v>79.899599999999992</v>
      </c>
      <c r="AN27" t="s">
        <v>5519</v>
      </c>
      <c r="AO27" s="74" t="s">
        <v>5633</v>
      </c>
    </row>
    <row r="28" spans="1:41" ht="14.25" customHeight="1" x14ac:dyDescent="0.3">
      <c r="A28" s="3" t="s">
        <v>179</v>
      </c>
      <c r="B28" s="3" t="s">
        <v>188</v>
      </c>
      <c r="C28" s="3" t="s">
        <v>181</v>
      </c>
      <c r="D28" s="3" t="s">
        <v>189</v>
      </c>
      <c r="E28" s="3" t="s">
        <v>183</v>
      </c>
      <c r="F28" s="3" t="s">
        <v>41</v>
      </c>
      <c r="G28" s="5" t="s">
        <v>42</v>
      </c>
      <c r="H28" s="5" t="s">
        <v>43</v>
      </c>
      <c r="I28" s="5" t="s">
        <v>44</v>
      </c>
      <c r="J28" s="3" t="s">
        <v>45</v>
      </c>
      <c r="K28" s="3" t="s">
        <v>46</v>
      </c>
      <c r="L28" s="3" t="s">
        <v>132</v>
      </c>
      <c r="M28" s="3" t="s">
        <v>48</v>
      </c>
      <c r="N28" s="3" t="s">
        <v>190</v>
      </c>
      <c r="O28" s="70" t="s">
        <v>61</v>
      </c>
      <c r="P28" s="3" t="s">
        <v>50</v>
      </c>
      <c r="Q28" s="3" t="s">
        <v>68</v>
      </c>
      <c r="R28" s="3">
        <v>2</v>
      </c>
      <c r="S28" s="3" t="s">
        <v>52</v>
      </c>
      <c r="T28" s="3" t="s">
        <v>53</v>
      </c>
      <c r="U28" s="3" t="s">
        <v>54</v>
      </c>
      <c r="V28" s="7"/>
      <c r="W28" s="7"/>
      <c r="X28" s="7"/>
      <c r="Y28" s="7"/>
      <c r="Z28" s="3" t="s">
        <v>55</v>
      </c>
      <c r="AA28" s="3" t="s">
        <v>88</v>
      </c>
      <c r="AB28" s="3" t="s">
        <v>57</v>
      </c>
      <c r="AD28" s="3">
        <v>61.85</v>
      </c>
      <c r="AE28" s="3">
        <v>61.85</v>
      </c>
      <c r="AG28" s="3">
        <v>2.88</v>
      </c>
      <c r="AH28" s="3">
        <v>57.6</v>
      </c>
      <c r="AI28" s="3">
        <v>28.6</v>
      </c>
      <c r="AJ28" s="88">
        <v>66.582999999999998</v>
      </c>
      <c r="AK28" s="3" t="s">
        <v>58</v>
      </c>
      <c r="AL28" s="9">
        <f t="shared" si="0"/>
        <v>79.899599999999992</v>
      </c>
      <c r="AN28" t="s">
        <v>5519</v>
      </c>
      <c r="AO28" s="74" t="s">
        <v>5633</v>
      </c>
    </row>
    <row r="29" spans="1:41" ht="14.25" customHeight="1" x14ac:dyDescent="0.3">
      <c r="A29" s="3" t="s">
        <v>179</v>
      </c>
      <c r="B29" s="3" t="s">
        <v>191</v>
      </c>
      <c r="C29" s="3" t="s">
        <v>181</v>
      </c>
      <c r="D29" s="3" t="s">
        <v>192</v>
      </c>
      <c r="E29" s="3" t="s">
        <v>183</v>
      </c>
      <c r="F29" s="3" t="s">
        <v>41</v>
      </c>
      <c r="G29" s="5" t="s">
        <v>42</v>
      </c>
      <c r="H29" s="5" t="s">
        <v>43</v>
      </c>
      <c r="I29" s="5" t="s">
        <v>44</v>
      </c>
      <c r="J29" s="3" t="s">
        <v>45</v>
      </c>
      <c r="K29" s="3" t="s">
        <v>46</v>
      </c>
      <c r="L29" s="3" t="s">
        <v>132</v>
      </c>
      <c r="M29" s="3" t="s">
        <v>48</v>
      </c>
      <c r="N29" s="3" t="s">
        <v>193</v>
      </c>
      <c r="O29" s="70" t="s">
        <v>61</v>
      </c>
      <c r="P29" s="3" t="s">
        <v>50</v>
      </c>
      <c r="Q29" s="3" t="s">
        <v>68</v>
      </c>
      <c r="R29" s="3">
        <v>2</v>
      </c>
      <c r="S29" s="3" t="s">
        <v>52</v>
      </c>
      <c r="T29" s="3" t="s">
        <v>53</v>
      </c>
      <c r="U29" s="3" t="s">
        <v>54</v>
      </c>
      <c r="V29" s="7"/>
      <c r="W29" s="7"/>
      <c r="X29" s="7"/>
      <c r="Y29" s="7"/>
      <c r="Z29" s="3" t="s">
        <v>55</v>
      </c>
      <c r="AA29" s="3" t="s">
        <v>88</v>
      </c>
      <c r="AB29" s="3" t="s">
        <v>57</v>
      </c>
      <c r="AD29" s="3">
        <v>61.56</v>
      </c>
      <c r="AE29" s="3">
        <v>61.56</v>
      </c>
      <c r="AG29" s="3">
        <v>2.88</v>
      </c>
      <c r="AH29" s="3">
        <v>57.6</v>
      </c>
      <c r="AI29" s="3">
        <v>28.6</v>
      </c>
      <c r="AJ29" s="88">
        <v>66.582999999999998</v>
      </c>
      <c r="AK29" s="3" t="s">
        <v>58</v>
      </c>
      <c r="AL29" s="9">
        <f t="shared" si="0"/>
        <v>79.899599999999992</v>
      </c>
      <c r="AN29" t="s">
        <v>5519</v>
      </c>
      <c r="AO29" s="74" t="s">
        <v>5633</v>
      </c>
    </row>
    <row r="30" spans="1:41" ht="14.25" customHeight="1" x14ac:dyDescent="0.3">
      <c r="A30" s="3" t="s">
        <v>179</v>
      </c>
      <c r="B30" s="3" t="s">
        <v>194</v>
      </c>
      <c r="C30" s="3" t="s">
        <v>181</v>
      </c>
      <c r="D30" s="3" t="s">
        <v>195</v>
      </c>
      <c r="E30" s="3" t="s">
        <v>183</v>
      </c>
      <c r="F30" s="3" t="s">
        <v>41</v>
      </c>
      <c r="G30" s="5" t="s">
        <v>42</v>
      </c>
      <c r="H30" s="5" t="s">
        <v>43</v>
      </c>
      <c r="I30" s="5" t="s">
        <v>44</v>
      </c>
      <c r="J30" s="3" t="s">
        <v>45</v>
      </c>
      <c r="K30" s="3" t="s">
        <v>46</v>
      </c>
      <c r="L30" s="3" t="s">
        <v>132</v>
      </c>
      <c r="M30" s="3" t="s">
        <v>48</v>
      </c>
      <c r="N30" s="3" t="s">
        <v>196</v>
      </c>
      <c r="O30" s="69" t="s">
        <v>328</v>
      </c>
      <c r="P30" s="3" t="s">
        <v>50</v>
      </c>
      <c r="Q30" s="3" t="s">
        <v>68</v>
      </c>
      <c r="R30" s="3">
        <v>2</v>
      </c>
      <c r="S30" s="3" t="s">
        <v>52</v>
      </c>
      <c r="T30" s="3" t="s">
        <v>53</v>
      </c>
      <c r="U30" s="3" t="s">
        <v>54</v>
      </c>
      <c r="V30" s="7"/>
      <c r="W30" s="7"/>
      <c r="X30" s="7"/>
      <c r="Y30" s="7"/>
      <c r="Z30" s="3" t="s">
        <v>55</v>
      </c>
      <c r="AA30" s="3" t="s">
        <v>88</v>
      </c>
      <c r="AB30" s="3" t="s">
        <v>57</v>
      </c>
      <c r="AD30" s="3">
        <v>62.21</v>
      </c>
      <c r="AE30" s="3">
        <v>62.21</v>
      </c>
      <c r="AG30" s="3">
        <v>2.88</v>
      </c>
      <c r="AH30" s="3">
        <v>57.6</v>
      </c>
      <c r="AI30" s="3">
        <v>28.6</v>
      </c>
      <c r="AJ30" s="88">
        <v>66.582999999999998</v>
      </c>
      <c r="AK30" s="3" t="s">
        <v>58</v>
      </c>
      <c r="AL30" s="9">
        <f t="shared" si="0"/>
        <v>79.899599999999992</v>
      </c>
      <c r="AN30" t="s">
        <v>5519</v>
      </c>
      <c r="AO30" s="74" t="s">
        <v>5633</v>
      </c>
    </row>
    <row r="31" spans="1:41" ht="14.25" customHeight="1" x14ac:dyDescent="0.3">
      <c r="A31" s="3" t="s">
        <v>179</v>
      </c>
      <c r="B31" s="3" t="s">
        <v>197</v>
      </c>
      <c r="C31" s="3" t="s">
        <v>181</v>
      </c>
      <c r="D31" s="3" t="s">
        <v>198</v>
      </c>
      <c r="E31" s="3" t="s">
        <v>183</v>
      </c>
      <c r="F31" s="3" t="s">
        <v>41</v>
      </c>
      <c r="G31" s="5" t="s">
        <v>42</v>
      </c>
      <c r="H31" s="5" t="s">
        <v>43</v>
      </c>
      <c r="I31" s="5" t="s">
        <v>44</v>
      </c>
      <c r="J31" s="3" t="s">
        <v>45</v>
      </c>
      <c r="K31" s="3" t="s">
        <v>46</v>
      </c>
      <c r="L31" s="3" t="s">
        <v>132</v>
      </c>
      <c r="M31" s="3" t="s">
        <v>48</v>
      </c>
      <c r="N31" s="3" t="s">
        <v>199</v>
      </c>
      <c r="O31" s="69" t="s">
        <v>586</v>
      </c>
      <c r="P31" s="3" t="s">
        <v>50</v>
      </c>
      <c r="Q31" s="3" t="s">
        <v>68</v>
      </c>
      <c r="R31" s="3">
        <v>2</v>
      </c>
      <c r="S31" s="3" t="s">
        <v>52</v>
      </c>
      <c r="T31" s="3" t="s">
        <v>53</v>
      </c>
      <c r="U31" s="3" t="s">
        <v>54</v>
      </c>
      <c r="V31" s="7"/>
      <c r="W31" s="7"/>
      <c r="X31" s="7"/>
      <c r="Y31" s="7"/>
      <c r="Z31" s="3" t="s">
        <v>55</v>
      </c>
      <c r="AA31" s="3" t="s">
        <v>88</v>
      </c>
      <c r="AB31" s="3" t="s">
        <v>57</v>
      </c>
      <c r="AD31" s="3">
        <v>63.6</v>
      </c>
      <c r="AE31" s="3">
        <v>63.6</v>
      </c>
      <c r="AG31" s="3">
        <v>2.88</v>
      </c>
      <c r="AH31" s="3">
        <v>57.6</v>
      </c>
      <c r="AI31" s="3">
        <v>28.6</v>
      </c>
      <c r="AJ31" s="88">
        <v>66.582999999999998</v>
      </c>
      <c r="AK31" s="3" t="s">
        <v>58</v>
      </c>
      <c r="AL31" s="9">
        <f t="shared" si="0"/>
        <v>79.899599999999992</v>
      </c>
      <c r="AN31" t="s">
        <v>5519</v>
      </c>
      <c r="AO31" s="74" t="s">
        <v>5633</v>
      </c>
    </row>
    <row r="32" spans="1:41" ht="14.25" customHeight="1" x14ac:dyDescent="0.3">
      <c r="A32" s="3" t="s">
        <v>179</v>
      </c>
      <c r="B32" s="3" t="s">
        <v>200</v>
      </c>
      <c r="C32" s="3" t="s">
        <v>181</v>
      </c>
      <c r="D32" s="3" t="s">
        <v>201</v>
      </c>
      <c r="E32" s="3" t="s">
        <v>183</v>
      </c>
      <c r="F32" s="3" t="s">
        <v>41</v>
      </c>
      <c r="G32" s="5" t="s">
        <v>42</v>
      </c>
      <c r="H32" s="5" t="s">
        <v>43</v>
      </c>
      <c r="I32" s="5" t="s">
        <v>44</v>
      </c>
      <c r="J32" s="3" t="s">
        <v>45</v>
      </c>
      <c r="K32" s="3" t="s">
        <v>46</v>
      </c>
      <c r="L32" s="3" t="s">
        <v>132</v>
      </c>
      <c r="M32" s="3" t="s">
        <v>48</v>
      </c>
      <c r="N32" s="3" t="s">
        <v>202</v>
      </c>
      <c r="O32" s="69" t="s">
        <v>599</v>
      </c>
      <c r="P32" s="3" t="s">
        <v>50</v>
      </c>
      <c r="Q32" s="3" t="s">
        <v>68</v>
      </c>
      <c r="R32" s="3">
        <v>2</v>
      </c>
      <c r="S32" s="3" t="s">
        <v>52</v>
      </c>
      <c r="T32" s="3" t="s">
        <v>53</v>
      </c>
      <c r="U32" s="3" t="s">
        <v>54</v>
      </c>
      <c r="V32" s="7"/>
      <c r="W32" s="7"/>
      <c r="X32" s="7"/>
      <c r="Y32" s="7"/>
      <c r="Z32" s="3" t="s">
        <v>55</v>
      </c>
      <c r="AA32" s="3" t="s">
        <v>88</v>
      </c>
      <c r="AB32" s="3" t="s">
        <v>57</v>
      </c>
      <c r="AD32" s="3">
        <v>61.77</v>
      </c>
      <c r="AE32" s="3">
        <v>61.77</v>
      </c>
      <c r="AG32" s="3">
        <v>2.88</v>
      </c>
      <c r="AH32" s="3">
        <v>57.6</v>
      </c>
      <c r="AI32" s="3">
        <v>28.6</v>
      </c>
      <c r="AJ32" s="88">
        <v>66.582999999999998</v>
      </c>
      <c r="AK32" s="3" t="s">
        <v>58</v>
      </c>
      <c r="AL32" s="9">
        <f t="shared" si="0"/>
        <v>79.899599999999992</v>
      </c>
      <c r="AN32" t="s">
        <v>5519</v>
      </c>
      <c r="AO32" s="74" t="s">
        <v>5633</v>
      </c>
    </row>
    <row r="33" spans="1:41" ht="14.25" customHeight="1" x14ac:dyDescent="0.3">
      <c r="A33" s="3" t="s">
        <v>931</v>
      </c>
      <c r="B33" s="3" t="s">
        <v>942</v>
      </c>
      <c r="C33" s="3" t="s">
        <v>933</v>
      </c>
      <c r="D33" s="3" t="s">
        <v>943</v>
      </c>
      <c r="E33" s="3" t="s">
        <v>935</v>
      </c>
      <c r="F33" s="3" t="s">
        <v>41</v>
      </c>
      <c r="G33" s="5" t="s">
        <v>42</v>
      </c>
      <c r="H33" s="5" t="s">
        <v>43</v>
      </c>
      <c r="I33" s="5" t="s">
        <v>44</v>
      </c>
      <c r="J33" s="3" t="s">
        <v>45</v>
      </c>
      <c r="K33" s="3" t="s">
        <v>46</v>
      </c>
      <c r="L33" s="3" t="s">
        <v>67</v>
      </c>
      <c r="M33" s="3" t="s">
        <v>48</v>
      </c>
      <c r="N33" s="4" t="s">
        <v>325</v>
      </c>
      <c r="O33" s="68" t="s">
        <v>586</v>
      </c>
      <c r="P33" s="3" t="s">
        <v>50</v>
      </c>
      <c r="Q33" s="3" t="s">
        <v>68</v>
      </c>
      <c r="R33" s="3">
        <v>4</v>
      </c>
      <c r="S33" s="3" t="s">
        <v>52</v>
      </c>
      <c r="T33" s="3" t="s">
        <v>53</v>
      </c>
      <c r="U33" s="3" t="s">
        <v>54</v>
      </c>
      <c r="V33" s="7"/>
      <c r="W33" s="7"/>
      <c r="X33" s="7"/>
      <c r="Y33" s="7"/>
      <c r="Z33" s="3" t="s">
        <v>55</v>
      </c>
      <c r="AA33" s="3" t="s">
        <v>56</v>
      </c>
      <c r="AB33" s="3" t="s">
        <v>57</v>
      </c>
      <c r="AD33" s="3">
        <v>20.181999999999999</v>
      </c>
      <c r="AE33" s="3">
        <v>20.616</v>
      </c>
      <c r="AG33" s="3">
        <v>1.44</v>
      </c>
      <c r="AH33" s="3">
        <v>46.08</v>
      </c>
      <c r="AI33" s="3">
        <v>11.79</v>
      </c>
      <c r="AJ33" s="88">
        <v>30.75</v>
      </c>
      <c r="AK33" s="3" t="s">
        <v>58</v>
      </c>
      <c r="AL33" s="9">
        <f t="shared" si="0"/>
        <v>36.9</v>
      </c>
      <c r="AN33" t="s">
        <v>5519</v>
      </c>
      <c r="AO33" s="74" t="s">
        <v>5637</v>
      </c>
    </row>
    <row r="34" spans="1:41" ht="14.25" customHeight="1" x14ac:dyDescent="0.3">
      <c r="A34" s="3" t="s">
        <v>931</v>
      </c>
      <c r="B34" s="3" t="s">
        <v>944</v>
      </c>
      <c r="C34" s="3" t="s">
        <v>933</v>
      </c>
      <c r="D34" s="3" t="s">
        <v>945</v>
      </c>
      <c r="E34" s="3" t="s">
        <v>935</v>
      </c>
      <c r="F34" s="3" t="s">
        <v>41</v>
      </c>
      <c r="G34" s="5" t="s">
        <v>42</v>
      </c>
      <c r="H34" s="5" t="s">
        <v>43</v>
      </c>
      <c r="I34" s="5" t="s">
        <v>44</v>
      </c>
      <c r="J34" s="3" t="s">
        <v>45</v>
      </c>
      <c r="K34" s="3" t="s">
        <v>46</v>
      </c>
      <c r="L34" s="3" t="s">
        <v>67</v>
      </c>
      <c r="M34" s="3" t="s">
        <v>48</v>
      </c>
      <c r="N34" s="4" t="s">
        <v>49</v>
      </c>
      <c r="O34" s="68" t="s">
        <v>49</v>
      </c>
      <c r="P34" s="3" t="s">
        <v>50</v>
      </c>
      <c r="Q34" s="3" t="s">
        <v>68</v>
      </c>
      <c r="R34" s="3">
        <v>4</v>
      </c>
      <c r="S34" s="3" t="s">
        <v>52</v>
      </c>
      <c r="T34" s="3" t="s">
        <v>53</v>
      </c>
      <c r="U34" s="3" t="s">
        <v>54</v>
      </c>
      <c r="V34" s="7"/>
      <c r="W34" s="7"/>
      <c r="X34" s="7"/>
      <c r="Y34" s="7"/>
      <c r="Z34" s="3" t="s">
        <v>55</v>
      </c>
      <c r="AA34" s="3" t="s">
        <v>56</v>
      </c>
      <c r="AB34" s="3" t="s">
        <v>57</v>
      </c>
      <c r="AD34" s="3">
        <v>20.181999999999999</v>
      </c>
      <c r="AE34" s="3">
        <v>20.616</v>
      </c>
      <c r="AG34" s="3">
        <v>1.44</v>
      </c>
      <c r="AH34" s="3">
        <v>46.08</v>
      </c>
      <c r="AI34" s="3">
        <v>11.79</v>
      </c>
      <c r="AJ34" s="88">
        <v>30.75</v>
      </c>
      <c r="AK34" s="3" t="s">
        <v>58</v>
      </c>
      <c r="AL34" s="9">
        <f t="shared" si="0"/>
        <v>36.9</v>
      </c>
      <c r="AN34" t="s">
        <v>5519</v>
      </c>
      <c r="AO34" s="74" t="s">
        <v>5637</v>
      </c>
    </row>
    <row r="35" spans="1:41" ht="14.25" customHeight="1" x14ac:dyDescent="0.3">
      <c r="A35" s="3" t="s">
        <v>931</v>
      </c>
      <c r="B35" s="3" t="s">
        <v>946</v>
      </c>
      <c r="C35" s="3" t="s">
        <v>933</v>
      </c>
      <c r="D35" s="3" t="s">
        <v>947</v>
      </c>
      <c r="E35" s="3" t="s">
        <v>935</v>
      </c>
      <c r="F35" s="3" t="s">
        <v>41</v>
      </c>
      <c r="G35" s="5" t="s">
        <v>42</v>
      </c>
      <c r="H35" s="5" t="s">
        <v>43</v>
      </c>
      <c r="I35" s="5" t="s">
        <v>44</v>
      </c>
      <c r="J35" s="3" t="s">
        <v>45</v>
      </c>
      <c r="K35" s="3" t="s">
        <v>46</v>
      </c>
      <c r="L35" s="3" t="s">
        <v>67</v>
      </c>
      <c r="M35" s="3" t="s">
        <v>48</v>
      </c>
      <c r="N35" s="4" t="s">
        <v>61</v>
      </c>
      <c r="O35" s="68" t="s">
        <v>61</v>
      </c>
      <c r="P35" s="3" t="s">
        <v>50</v>
      </c>
      <c r="Q35" s="3" t="s">
        <v>68</v>
      </c>
      <c r="R35" s="3">
        <v>4</v>
      </c>
      <c r="S35" s="3" t="s">
        <v>52</v>
      </c>
      <c r="T35" s="3" t="s">
        <v>53</v>
      </c>
      <c r="U35" s="3" t="s">
        <v>54</v>
      </c>
      <c r="V35" s="7"/>
      <c r="W35" s="7"/>
      <c r="X35" s="7"/>
      <c r="Y35" s="7"/>
      <c r="Z35" s="3" t="s">
        <v>55</v>
      </c>
      <c r="AA35" s="3" t="s">
        <v>56</v>
      </c>
      <c r="AB35" s="3" t="s">
        <v>57</v>
      </c>
      <c r="AD35" s="3">
        <v>20.181999999999999</v>
      </c>
      <c r="AE35" s="3">
        <v>20.616</v>
      </c>
      <c r="AG35" s="3">
        <v>1.44</v>
      </c>
      <c r="AH35" s="3">
        <v>46.08</v>
      </c>
      <c r="AI35" s="3">
        <v>11.79</v>
      </c>
      <c r="AJ35" s="88">
        <v>30.75</v>
      </c>
      <c r="AK35" s="3" t="s">
        <v>58</v>
      </c>
      <c r="AL35" s="9">
        <f t="shared" si="0"/>
        <v>36.9</v>
      </c>
      <c r="AN35" t="s">
        <v>5519</v>
      </c>
      <c r="AO35" s="74" t="s">
        <v>5637</v>
      </c>
    </row>
    <row r="36" spans="1:41" ht="14.25" customHeight="1" x14ac:dyDescent="0.3">
      <c r="A36" s="3" t="s">
        <v>931</v>
      </c>
      <c r="B36" s="3" t="s">
        <v>948</v>
      </c>
      <c r="C36" s="3" t="s">
        <v>933</v>
      </c>
      <c r="D36" s="3" t="s">
        <v>949</v>
      </c>
      <c r="E36" s="3" t="s">
        <v>935</v>
      </c>
      <c r="F36" s="3" t="s">
        <v>41</v>
      </c>
      <c r="G36" s="5" t="s">
        <v>42</v>
      </c>
      <c r="H36" s="5" t="s">
        <v>43</v>
      </c>
      <c r="I36" s="5" t="s">
        <v>44</v>
      </c>
      <c r="J36" s="3" t="s">
        <v>45</v>
      </c>
      <c r="K36" s="3" t="s">
        <v>46</v>
      </c>
      <c r="L36" s="3" t="s">
        <v>67</v>
      </c>
      <c r="M36" s="3" t="s">
        <v>48</v>
      </c>
      <c r="N36" s="4" t="s">
        <v>328</v>
      </c>
      <c r="O36" s="68" t="s">
        <v>328</v>
      </c>
      <c r="P36" s="3" t="s">
        <v>50</v>
      </c>
      <c r="Q36" s="3" t="s">
        <v>68</v>
      </c>
      <c r="R36" s="3">
        <v>4</v>
      </c>
      <c r="S36" s="3" t="s">
        <v>52</v>
      </c>
      <c r="T36" s="3" t="s">
        <v>53</v>
      </c>
      <c r="U36" s="3" t="s">
        <v>54</v>
      </c>
      <c r="V36" s="7"/>
      <c r="W36" s="7"/>
      <c r="X36" s="7"/>
      <c r="Y36" s="7"/>
      <c r="Z36" s="3" t="s">
        <v>55</v>
      </c>
      <c r="AA36" s="3" t="s">
        <v>56</v>
      </c>
      <c r="AB36" s="3" t="s">
        <v>57</v>
      </c>
      <c r="AD36" s="3">
        <v>20.181999999999999</v>
      </c>
      <c r="AE36" s="3">
        <v>20.616</v>
      </c>
      <c r="AG36" s="3">
        <v>1.44</v>
      </c>
      <c r="AH36" s="3">
        <v>46.08</v>
      </c>
      <c r="AI36" s="3">
        <v>11.79</v>
      </c>
      <c r="AJ36" s="88">
        <v>30.75</v>
      </c>
      <c r="AK36" s="3" t="s">
        <v>58</v>
      </c>
      <c r="AL36" s="9">
        <f t="shared" si="0"/>
        <v>36.9</v>
      </c>
      <c r="AN36" t="s">
        <v>5519</v>
      </c>
      <c r="AO36" s="74" t="s">
        <v>5637</v>
      </c>
    </row>
    <row r="37" spans="1:41" ht="14.25" customHeight="1" x14ac:dyDescent="0.3">
      <c r="A37" s="3" t="s">
        <v>931</v>
      </c>
      <c r="B37" s="3" t="s">
        <v>932</v>
      </c>
      <c r="C37" s="3" t="s">
        <v>933</v>
      </c>
      <c r="D37" s="3" t="s">
        <v>934</v>
      </c>
      <c r="E37" s="3" t="s">
        <v>935</v>
      </c>
      <c r="F37" s="3" t="s">
        <v>41</v>
      </c>
      <c r="G37" s="5" t="s">
        <v>42</v>
      </c>
      <c r="H37" s="5" t="s">
        <v>43</v>
      </c>
      <c r="I37" s="5" t="s">
        <v>44</v>
      </c>
      <c r="J37" s="3" t="s">
        <v>45</v>
      </c>
      <c r="K37" s="3" t="s">
        <v>46</v>
      </c>
      <c r="L37" s="3" t="s">
        <v>47</v>
      </c>
      <c r="M37" s="3" t="s">
        <v>48</v>
      </c>
      <c r="N37" s="4" t="s">
        <v>61</v>
      </c>
      <c r="O37" s="68" t="s">
        <v>61</v>
      </c>
      <c r="P37" s="3" t="s">
        <v>50</v>
      </c>
      <c r="Q37" s="3" t="s">
        <v>51</v>
      </c>
      <c r="R37" s="3">
        <v>2</v>
      </c>
      <c r="S37" s="3" t="s">
        <v>52</v>
      </c>
      <c r="T37" s="3" t="s">
        <v>53</v>
      </c>
      <c r="U37" s="3" t="s">
        <v>54</v>
      </c>
      <c r="V37" s="7"/>
      <c r="W37" s="7"/>
      <c r="X37" s="7"/>
      <c r="Y37" s="7"/>
      <c r="Z37" s="3" t="s">
        <v>55</v>
      </c>
      <c r="AA37" s="3" t="s">
        <v>56</v>
      </c>
      <c r="AB37" s="3" t="s">
        <v>57</v>
      </c>
      <c r="AD37" s="3">
        <v>20.100000000000001</v>
      </c>
      <c r="AE37" s="3">
        <v>20.486000000000001</v>
      </c>
      <c r="AG37" s="3">
        <v>1.44</v>
      </c>
      <c r="AH37" s="3">
        <v>51.84</v>
      </c>
      <c r="AI37" s="3">
        <v>12.96</v>
      </c>
      <c r="AJ37" s="88">
        <v>35.75</v>
      </c>
      <c r="AK37" s="3" t="s">
        <v>58</v>
      </c>
      <c r="AL37" s="9">
        <f t="shared" si="0"/>
        <v>42.9</v>
      </c>
      <c r="AN37" t="s">
        <v>5519</v>
      </c>
      <c r="AO37" s="74" t="s">
        <v>5637</v>
      </c>
    </row>
    <row r="38" spans="1:41" ht="14.25" customHeight="1" x14ac:dyDescent="0.3">
      <c r="A38" s="3" t="s">
        <v>931</v>
      </c>
      <c r="B38" s="3" t="s">
        <v>936</v>
      </c>
      <c r="C38" s="3" t="s">
        <v>933</v>
      </c>
      <c r="D38" s="3" t="s">
        <v>937</v>
      </c>
      <c r="E38" s="3" t="s">
        <v>935</v>
      </c>
      <c r="F38" s="3" t="s">
        <v>41</v>
      </c>
      <c r="G38" s="5" t="s">
        <v>42</v>
      </c>
      <c r="H38" s="5" t="s">
        <v>43</v>
      </c>
      <c r="I38" s="5" t="s">
        <v>44</v>
      </c>
      <c r="J38" s="3" t="s">
        <v>45</v>
      </c>
      <c r="K38" s="3" t="s">
        <v>46</v>
      </c>
      <c r="L38" s="3" t="s">
        <v>47</v>
      </c>
      <c r="M38" s="3" t="s">
        <v>48</v>
      </c>
      <c r="N38" s="4" t="s">
        <v>325</v>
      </c>
      <c r="O38" s="68" t="s">
        <v>586</v>
      </c>
      <c r="P38" s="3" t="s">
        <v>50</v>
      </c>
      <c r="Q38" s="3" t="s">
        <v>51</v>
      </c>
      <c r="R38" s="3">
        <v>2</v>
      </c>
      <c r="S38" s="3" t="s">
        <v>52</v>
      </c>
      <c r="T38" s="3" t="s">
        <v>53</v>
      </c>
      <c r="U38" s="3" t="s">
        <v>54</v>
      </c>
      <c r="V38" s="7"/>
      <c r="W38" s="7"/>
      <c r="X38" s="7"/>
      <c r="Y38" s="7"/>
      <c r="Z38" s="3" t="s">
        <v>55</v>
      </c>
      <c r="AA38" s="3" t="s">
        <v>56</v>
      </c>
      <c r="AB38" s="3" t="s">
        <v>57</v>
      </c>
      <c r="AD38" s="3">
        <v>20.100000000000001</v>
      </c>
      <c r="AE38" s="3">
        <v>20.486000000000001</v>
      </c>
      <c r="AG38" s="3">
        <v>1.44</v>
      </c>
      <c r="AH38" s="3">
        <v>51.84</v>
      </c>
      <c r="AI38" s="3">
        <v>12.96</v>
      </c>
      <c r="AJ38" s="88">
        <v>35.75</v>
      </c>
      <c r="AK38" s="3" t="s">
        <v>58</v>
      </c>
      <c r="AL38" s="9">
        <f t="shared" si="0"/>
        <v>42.9</v>
      </c>
      <c r="AN38" t="s">
        <v>5519</v>
      </c>
      <c r="AO38" s="74" t="s">
        <v>5637</v>
      </c>
    </row>
    <row r="39" spans="1:41" ht="14.25" customHeight="1" x14ac:dyDescent="0.3">
      <c r="A39" s="3" t="s">
        <v>931</v>
      </c>
      <c r="B39" s="3" t="s">
        <v>938</v>
      </c>
      <c r="C39" s="3" t="s">
        <v>933</v>
      </c>
      <c r="D39" s="3" t="s">
        <v>939</v>
      </c>
      <c r="E39" s="3" t="s">
        <v>935</v>
      </c>
      <c r="F39" s="3" t="s">
        <v>41</v>
      </c>
      <c r="G39" s="5" t="s">
        <v>42</v>
      </c>
      <c r="H39" s="5" t="s">
        <v>43</v>
      </c>
      <c r="I39" s="5" t="s">
        <v>44</v>
      </c>
      <c r="J39" s="3" t="s">
        <v>45</v>
      </c>
      <c r="K39" s="3" t="s">
        <v>46</v>
      </c>
      <c r="L39" s="3" t="s">
        <v>47</v>
      </c>
      <c r="M39" s="3" t="s">
        <v>48</v>
      </c>
      <c r="N39" s="4" t="s">
        <v>49</v>
      </c>
      <c r="O39" s="68" t="s">
        <v>49</v>
      </c>
      <c r="P39" s="3" t="s">
        <v>50</v>
      </c>
      <c r="Q39" s="3" t="s">
        <v>51</v>
      </c>
      <c r="R39" s="3">
        <v>2</v>
      </c>
      <c r="S39" s="3" t="s">
        <v>52</v>
      </c>
      <c r="T39" s="3" t="s">
        <v>53</v>
      </c>
      <c r="U39" s="3" t="s">
        <v>54</v>
      </c>
      <c r="V39" s="7"/>
      <c r="W39" s="7"/>
      <c r="X39" s="7"/>
      <c r="Y39" s="7"/>
      <c r="Z39" s="3" t="s">
        <v>55</v>
      </c>
      <c r="AA39" s="3" t="s">
        <v>56</v>
      </c>
      <c r="AB39" s="3" t="s">
        <v>57</v>
      </c>
      <c r="AD39" s="3">
        <v>20.100000000000001</v>
      </c>
      <c r="AE39" s="3">
        <v>20.486000000000001</v>
      </c>
      <c r="AG39" s="3">
        <v>1.44</v>
      </c>
      <c r="AH39" s="3">
        <v>51.84</v>
      </c>
      <c r="AI39" s="3">
        <v>12.96</v>
      </c>
      <c r="AJ39" s="88">
        <v>35.75</v>
      </c>
      <c r="AK39" s="3" t="s">
        <v>58</v>
      </c>
      <c r="AL39" s="9">
        <f t="shared" si="0"/>
        <v>42.9</v>
      </c>
      <c r="AN39" t="s">
        <v>5519</v>
      </c>
      <c r="AO39" s="74" t="s">
        <v>5637</v>
      </c>
    </row>
    <row r="40" spans="1:41" ht="14.25" customHeight="1" x14ac:dyDescent="0.3">
      <c r="A40" s="3" t="s">
        <v>931</v>
      </c>
      <c r="B40" s="3" t="s">
        <v>940</v>
      </c>
      <c r="C40" s="3" t="s">
        <v>933</v>
      </c>
      <c r="D40" s="3" t="s">
        <v>941</v>
      </c>
      <c r="E40" s="3" t="s">
        <v>935</v>
      </c>
      <c r="F40" s="3" t="s">
        <v>41</v>
      </c>
      <c r="G40" s="5" t="s">
        <v>42</v>
      </c>
      <c r="H40" s="5" t="s">
        <v>43</v>
      </c>
      <c r="I40" s="5" t="s">
        <v>44</v>
      </c>
      <c r="J40" s="3" t="s">
        <v>45</v>
      </c>
      <c r="K40" s="3" t="s">
        <v>46</v>
      </c>
      <c r="L40" s="3" t="s">
        <v>47</v>
      </c>
      <c r="M40" s="3" t="s">
        <v>48</v>
      </c>
      <c r="N40" s="4" t="s">
        <v>328</v>
      </c>
      <c r="O40" s="68" t="s">
        <v>328</v>
      </c>
      <c r="P40" s="3" t="s">
        <v>50</v>
      </c>
      <c r="Q40" s="3" t="s">
        <v>51</v>
      </c>
      <c r="R40" s="3">
        <v>2</v>
      </c>
      <c r="S40" s="3" t="s">
        <v>52</v>
      </c>
      <c r="T40" s="3" t="s">
        <v>53</v>
      </c>
      <c r="U40" s="3" t="s">
        <v>54</v>
      </c>
      <c r="V40" s="7"/>
      <c r="W40" s="7"/>
      <c r="X40" s="7"/>
      <c r="Y40" s="7"/>
      <c r="Z40" s="3" t="s">
        <v>55</v>
      </c>
      <c r="AA40" s="3" t="s">
        <v>56</v>
      </c>
      <c r="AB40" s="3" t="s">
        <v>57</v>
      </c>
      <c r="AD40" s="3">
        <v>20.100000000000001</v>
      </c>
      <c r="AE40" s="3">
        <v>20.486000000000001</v>
      </c>
      <c r="AG40" s="3">
        <v>1.44</v>
      </c>
      <c r="AH40" s="3">
        <v>51.84</v>
      </c>
      <c r="AI40" s="3">
        <v>12.96</v>
      </c>
      <c r="AJ40" s="88">
        <v>35.75</v>
      </c>
      <c r="AK40" s="3" t="s">
        <v>58</v>
      </c>
      <c r="AL40" s="9">
        <f t="shared" si="0"/>
        <v>42.9</v>
      </c>
      <c r="AN40" t="s">
        <v>5519</v>
      </c>
      <c r="AO40" s="74" t="s">
        <v>5637</v>
      </c>
    </row>
    <row r="41" spans="1:41" ht="14.25" customHeight="1" x14ac:dyDescent="0.3">
      <c r="A41" s="3" t="s">
        <v>931</v>
      </c>
      <c r="B41" s="3" t="s">
        <v>950</v>
      </c>
      <c r="C41" s="3" t="s">
        <v>933</v>
      </c>
      <c r="D41" s="3" t="s">
        <v>951</v>
      </c>
      <c r="E41" s="3" t="s">
        <v>935</v>
      </c>
      <c r="F41" s="3" t="s">
        <v>41</v>
      </c>
      <c r="G41" s="5" t="s">
        <v>42</v>
      </c>
      <c r="H41" s="5" t="s">
        <v>43</v>
      </c>
      <c r="I41" s="5" t="s">
        <v>44</v>
      </c>
      <c r="J41" s="3" t="s">
        <v>45</v>
      </c>
      <c r="K41" s="3" t="s">
        <v>46</v>
      </c>
      <c r="L41" s="3" t="s">
        <v>75</v>
      </c>
      <c r="M41" s="3" t="s">
        <v>48</v>
      </c>
      <c r="N41" s="4" t="s">
        <v>328</v>
      </c>
      <c r="O41" s="67" t="s">
        <v>328</v>
      </c>
      <c r="P41" s="3" t="s">
        <v>50</v>
      </c>
      <c r="Q41" s="3" t="s">
        <v>68</v>
      </c>
      <c r="R41" s="3">
        <v>2</v>
      </c>
      <c r="S41" s="3" t="s">
        <v>52</v>
      </c>
      <c r="T41" s="3" t="s">
        <v>53</v>
      </c>
      <c r="U41" s="3" t="s">
        <v>54</v>
      </c>
      <c r="V41" s="7"/>
      <c r="W41" s="7"/>
      <c r="X41" s="7"/>
      <c r="Y41" s="7"/>
      <c r="Z41" s="3" t="s">
        <v>55</v>
      </c>
      <c r="AA41" s="3" t="s">
        <v>56</v>
      </c>
      <c r="AB41" s="3" t="s">
        <v>57</v>
      </c>
      <c r="AD41" s="3">
        <v>20.885000000000002</v>
      </c>
      <c r="AE41" s="3">
        <v>21.295999999999999</v>
      </c>
      <c r="AG41" s="3">
        <v>1.62</v>
      </c>
      <c r="AH41" s="3">
        <v>48.6</v>
      </c>
      <c r="AI41" s="8">
        <v>14.17</v>
      </c>
      <c r="AJ41" s="88">
        <v>39.082999999999998</v>
      </c>
      <c r="AK41" s="3" t="s">
        <v>58</v>
      </c>
      <c r="AL41" s="9">
        <f t="shared" si="0"/>
        <v>46.8996</v>
      </c>
      <c r="AN41" t="s">
        <v>5519</v>
      </c>
      <c r="AO41" s="74" t="s">
        <v>5637</v>
      </c>
    </row>
    <row r="42" spans="1:41" ht="14.25" customHeight="1" x14ac:dyDescent="0.3">
      <c r="A42" s="3" t="s">
        <v>931</v>
      </c>
      <c r="B42" s="3" t="s">
        <v>952</v>
      </c>
      <c r="C42" s="3" t="s">
        <v>933</v>
      </c>
      <c r="D42" s="3" t="s">
        <v>953</v>
      </c>
      <c r="E42" s="3" t="s">
        <v>935</v>
      </c>
      <c r="F42" s="3" t="s">
        <v>41</v>
      </c>
      <c r="G42" s="5" t="s">
        <v>42</v>
      </c>
      <c r="H42" s="5" t="s">
        <v>43</v>
      </c>
      <c r="I42" s="5" t="s">
        <v>44</v>
      </c>
      <c r="J42" s="3" t="s">
        <v>45</v>
      </c>
      <c r="K42" s="3" t="s">
        <v>46</v>
      </c>
      <c r="L42" s="3" t="s">
        <v>75</v>
      </c>
      <c r="M42" s="3" t="s">
        <v>48</v>
      </c>
      <c r="N42" s="4" t="s">
        <v>325</v>
      </c>
      <c r="O42" s="67" t="s">
        <v>586</v>
      </c>
      <c r="P42" s="3" t="s">
        <v>50</v>
      </c>
      <c r="Q42" s="3" t="s">
        <v>68</v>
      </c>
      <c r="R42" s="3">
        <v>2</v>
      </c>
      <c r="S42" s="3" t="s">
        <v>52</v>
      </c>
      <c r="T42" s="3" t="s">
        <v>53</v>
      </c>
      <c r="U42" s="3" t="s">
        <v>54</v>
      </c>
      <c r="V42" s="7"/>
      <c r="W42" s="7"/>
      <c r="X42" s="7"/>
      <c r="Y42" s="7"/>
      <c r="Z42" s="3" t="s">
        <v>55</v>
      </c>
      <c r="AA42" s="3" t="s">
        <v>56</v>
      </c>
      <c r="AB42" s="3" t="s">
        <v>57</v>
      </c>
      <c r="AD42" s="3">
        <v>20.885000000000002</v>
      </c>
      <c r="AE42" s="3">
        <v>21.295999999999999</v>
      </c>
      <c r="AG42" s="3">
        <v>1.62</v>
      </c>
      <c r="AH42" s="3">
        <v>48.6</v>
      </c>
      <c r="AI42" s="8">
        <v>14.17</v>
      </c>
      <c r="AJ42" s="88">
        <v>39.082999999999998</v>
      </c>
      <c r="AK42" s="3" t="s">
        <v>58</v>
      </c>
      <c r="AL42" s="9">
        <f t="shared" si="0"/>
        <v>46.8996</v>
      </c>
      <c r="AN42" t="s">
        <v>5519</v>
      </c>
      <c r="AO42" s="74" t="s">
        <v>5637</v>
      </c>
    </row>
    <row r="43" spans="1:41" ht="14.25" customHeight="1" x14ac:dyDescent="0.3">
      <c r="A43" s="3" t="s">
        <v>931</v>
      </c>
      <c r="B43" s="3" t="s">
        <v>954</v>
      </c>
      <c r="C43" s="3" t="s">
        <v>933</v>
      </c>
      <c r="D43" s="3" t="s">
        <v>955</v>
      </c>
      <c r="E43" s="3" t="s">
        <v>935</v>
      </c>
      <c r="F43" s="3" t="s">
        <v>41</v>
      </c>
      <c r="G43" s="5" t="s">
        <v>42</v>
      </c>
      <c r="H43" s="5" t="s">
        <v>43</v>
      </c>
      <c r="I43" s="5" t="s">
        <v>44</v>
      </c>
      <c r="J43" s="3" t="s">
        <v>45</v>
      </c>
      <c r="K43" s="3" t="s">
        <v>46</v>
      </c>
      <c r="L43" s="3" t="s">
        <v>75</v>
      </c>
      <c r="M43" s="3" t="s">
        <v>48</v>
      </c>
      <c r="N43" s="4" t="s">
        <v>61</v>
      </c>
      <c r="O43" s="67" t="s">
        <v>61</v>
      </c>
      <c r="P43" s="3" t="s">
        <v>50</v>
      </c>
      <c r="Q43" s="3" t="s">
        <v>68</v>
      </c>
      <c r="R43" s="3">
        <v>2</v>
      </c>
      <c r="S43" s="3" t="s">
        <v>52</v>
      </c>
      <c r="T43" s="3" t="s">
        <v>53</v>
      </c>
      <c r="U43" s="3" t="s">
        <v>54</v>
      </c>
      <c r="V43" s="7"/>
      <c r="W43" s="7"/>
      <c r="X43" s="7"/>
      <c r="Y43" s="7"/>
      <c r="Z43" s="3" t="s">
        <v>55</v>
      </c>
      <c r="AA43" s="3" t="s">
        <v>56</v>
      </c>
      <c r="AB43" s="3" t="s">
        <v>57</v>
      </c>
      <c r="AD43" s="3">
        <v>20.885000000000002</v>
      </c>
      <c r="AE43" s="3">
        <v>21.295999999999999</v>
      </c>
      <c r="AG43" s="3">
        <v>1.62</v>
      </c>
      <c r="AH43" s="3">
        <v>48.6</v>
      </c>
      <c r="AI43" s="8">
        <v>14.17</v>
      </c>
      <c r="AJ43" s="88">
        <v>39.082999999999998</v>
      </c>
      <c r="AK43" s="3" t="s">
        <v>58</v>
      </c>
      <c r="AL43" s="9">
        <f t="shared" si="0"/>
        <v>46.8996</v>
      </c>
      <c r="AN43" t="s">
        <v>5519</v>
      </c>
      <c r="AO43" s="74" t="s">
        <v>5637</v>
      </c>
    </row>
    <row r="44" spans="1:41" ht="14.25" customHeight="1" x14ac:dyDescent="0.3">
      <c r="A44" s="3" t="s">
        <v>931</v>
      </c>
      <c r="B44" s="3" t="s">
        <v>956</v>
      </c>
      <c r="C44" s="3" t="s">
        <v>933</v>
      </c>
      <c r="D44" s="3" t="s">
        <v>957</v>
      </c>
      <c r="E44" s="3" t="s">
        <v>935</v>
      </c>
      <c r="F44" s="3" t="s">
        <v>41</v>
      </c>
      <c r="G44" s="5" t="s">
        <v>42</v>
      </c>
      <c r="H44" s="5" t="s">
        <v>43</v>
      </c>
      <c r="I44" s="5" t="s">
        <v>44</v>
      </c>
      <c r="J44" s="3" t="s">
        <v>45</v>
      </c>
      <c r="K44" s="3" t="s">
        <v>46</v>
      </c>
      <c r="L44" s="3" t="s">
        <v>75</v>
      </c>
      <c r="M44" s="3" t="s">
        <v>48</v>
      </c>
      <c r="N44" s="4" t="s">
        <v>49</v>
      </c>
      <c r="O44" s="68" t="s">
        <v>49</v>
      </c>
      <c r="P44" s="3" t="s">
        <v>50</v>
      </c>
      <c r="Q44" s="3" t="s">
        <v>68</v>
      </c>
      <c r="R44" s="3">
        <v>2</v>
      </c>
      <c r="S44" s="3" t="s">
        <v>52</v>
      </c>
      <c r="T44" s="3" t="s">
        <v>53</v>
      </c>
      <c r="U44" s="3" t="s">
        <v>54</v>
      </c>
      <c r="V44" s="7"/>
      <c r="W44" s="7"/>
      <c r="X44" s="7"/>
      <c r="Y44" s="7"/>
      <c r="Z44" s="3" t="s">
        <v>55</v>
      </c>
      <c r="AA44" s="3" t="s">
        <v>56</v>
      </c>
      <c r="AB44" s="3" t="s">
        <v>57</v>
      </c>
      <c r="AD44" s="3">
        <v>20.885000000000002</v>
      </c>
      <c r="AE44" s="3">
        <v>21.295999999999999</v>
      </c>
      <c r="AG44" s="3">
        <v>1.62</v>
      </c>
      <c r="AH44" s="3">
        <v>48.6</v>
      </c>
      <c r="AI44" s="8">
        <v>14.17</v>
      </c>
      <c r="AJ44" s="88">
        <v>39.082999999999998</v>
      </c>
      <c r="AK44" s="3" t="s">
        <v>58</v>
      </c>
      <c r="AL44" s="9">
        <f t="shared" si="0"/>
        <v>46.8996</v>
      </c>
      <c r="AN44" t="s">
        <v>5519</v>
      </c>
      <c r="AO44" s="74" t="s">
        <v>5637</v>
      </c>
    </row>
    <row r="45" spans="1:41" ht="14.25" customHeight="1" x14ac:dyDescent="0.3">
      <c r="A45" s="3" t="s">
        <v>357</v>
      </c>
      <c r="B45" s="3" t="s">
        <v>367</v>
      </c>
      <c r="C45" s="3" t="s">
        <v>359</v>
      </c>
      <c r="D45" s="4" t="s">
        <v>368</v>
      </c>
      <c r="E45" s="3" t="s">
        <v>361</v>
      </c>
      <c r="F45" s="3" t="s">
        <v>41</v>
      </c>
      <c r="G45" s="5" t="s">
        <v>42</v>
      </c>
      <c r="H45" s="5" t="s">
        <v>43</v>
      </c>
      <c r="I45" s="5" t="s">
        <v>44</v>
      </c>
      <c r="J45" s="3" t="s">
        <v>45</v>
      </c>
      <c r="K45" s="3" t="s">
        <v>46</v>
      </c>
      <c r="L45" s="3" t="s">
        <v>67</v>
      </c>
      <c r="M45" s="3" t="s">
        <v>48</v>
      </c>
      <c r="N45" s="4" t="s">
        <v>369</v>
      </c>
      <c r="O45" s="68" t="s">
        <v>49</v>
      </c>
      <c r="P45" s="3" t="s">
        <v>50</v>
      </c>
      <c r="Q45" s="3" t="s">
        <v>68</v>
      </c>
      <c r="R45" s="6">
        <v>4</v>
      </c>
      <c r="S45" s="3" t="s">
        <v>52</v>
      </c>
      <c r="T45" s="3" t="s">
        <v>53</v>
      </c>
      <c r="U45" s="3" t="s">
        <v>54</v>
      </c>
      <c r="V45" s="7"/>
      <c r="W45" s="7"/>
      <c r="X45" s="7"/>
      <c r="Y45" s="7"/>
      <c r="Z45" s="3" t="s">
        <v>55</v>
      </c>
      <c r="AA45" s="3" t="s">
        <v>56</v>
      </c>
      <c r="AB45" s="3" t="s">
        <v>57</v>
      </c>
      <c r="AD45" s="8">
        <v>20.181999999999999</v>
      </c>
      <c r="AE45" s="8">
        <v>20.616</v>
      </c>
      <c r="AG45" s="8">
        <v>1.44</v>
      </c>
      <c r="AH45" s="11">
        <v>46.08</v>
      </c>
      <c r="AI45" s="3">
        <v>11.79</v>
      </c>
      <c r="AJ45" s="88">
        <v>30.75</v>
      </c>
      <c r="AK45" s="3" t="s">
        <v>58</v>
      </c>
      <c r="AL45" s="9">
        <f t="shared" si="0"/>
        <v>36.9</v>
      </c>
      <c r="AN45" t="s">
        <v>5519</v>
      </c>
      <c r="AO45" s="74" t="s">
        <v>5632</v>
      </c>
    </row>
    <row r="46" spans="1:41" ht="14.25" customHeight="1" x14ac:dyDescent="0.3">
      <c r="A46" s="3" t="s">
        <v>357</v>
      </c>
      <c r="B46" s="3" t="s">
        <v>370</v>
      </c>
      <c r="C46" s="3" t="s">
        <v>359</v>
      </c>
      <c r="D46" s="4" t="s">
        <v>371</v>
      </c>
      <c r="E46" s="3" t="s">
        <v>361</v>
      </c>
      <c r="F46" s="3" t="s">
        <v>41</v>
      </c>
      <c r="G46" s="5" t="s">
        <v>42</v>
      </c>
      <c r="H46" s="5" t="s">
        <v>43</v>
      </c>
      <c r="I46" s="5" t="s">
        <v>44</v>
      </c>
      <c r="J46" s="3" t="s">
        <v>45</v>
      </c>
      <c r="K46" s="3" t="s">
        <v>46</v>
      </c>
      <c r="L46" s="3" t="s">
        <v>67</v>
      </c>
      <c r="M46" s="3" t="s">
        <v>48</v>
      </c>
      <c r="N46" s="4" t="s">
        <v>372</v>
      </c>
      <c r="O46" s="68" t="s">
        <v>586</v>
      </c>
      <c r="P46" s="3" t="s">
        <v>50</v>
      </c>
      <c r="Q46" s="3" t="s">
        <v>68</v>
      </c>
      <c r="R46" s="6">
        <v>4</v>
      </c>
      <c r="S46" s="3" t="s">
        <v>52</v>
      </c>
      <c r="T46" s="3" t="s">
        <v>53</v>
      </c>
      <c r="U46" s="3" t="s">
        <v>54</v>
      </c>
      <c r="V46" s="7"/>
      <c r="W46" s="7"/>
      <c r="X46" s="7"/>
      <c r="Y46" s="7"/>
      <c r="Z46" s="3" t="s">
        <v>55</v>
      </c>
      <c r="AA46" s="3" t="s">
        <v>56</v>
      </c>
      <c r="AB46" s="3" t="s">
        <v>57</v>
      </c>
      <c r="AD46" s="8">
        <v>20.181999999999999</v>
      </c>
      <c r="AE46" s="8">
        <v>20.616</v>
      </c>
      <c r="AG46" s="8">
        <v>1.44</v>
      </c>
      <c r="AH46" s="11">
        <v>46.08</v>
      </c>
      <c r="AI46" s="3">
        <v>11.79</v>
      </c>
      <c r="AJ46" s="88">
        <v>30.75</v>
      </c>
      <c r="AK46" s="3" t="s">
        <v>58</v>
      </c>
      <c r="AL46" s="9">
        <f t="shared" si="0"/>
        <v>36.9</v>
      </c>
      <c r="AN46" t="s">
        <v>5519</v>
      </c>
      <c r="AO46" s="74" t="s">
        <v>5632</v>
      </c>
    </row>
    <row r="47" spans="1:41" ht="14.25" customHeight="1" x14ac:dyDescent="0.3">
      <c r="A47" s="3" t="s">
        <v>357</v>
      </c>
      <c r="B47" s="3" t="s">
        <v>373</v>
      </c>
      <c r="C47" s="3" t="s">
        <v>359</v>
      </c>
      <c r="D47" s="4" t="s">
        <v>374</v>
      </c>
      <c r="E47" s="3" t="s">
        <v>361</v>
      </c>
      <c r="F47" s="3" t="s">
        <v>41</v>
      </c>
      <c r="G47" s="5" t="s">
        <v>42</v>
      </c>
      <c r="H47" s="5" t="s">
        <v>43</v>
      </c>
      <c r="I47" s="5" t="s">
        <v>44</v>
      </c>
      <c r="J47" s="3" t="s">
        <v>45</v>
      </c>
      <c r="K47" s="3" t="s">
        <v>46</v>
      </c>
      <c r="L47" s="3" t="s">
        <v>67</v>
      </c>
      <c r="M47" s="3" t="s">
        <v>48</v>
      </c>
      <c r="N47" s="4" t="s">
        <v>61</v>
      </c>
      <c r="O47" s="67" t="s">
        <v>61</v>
      </c>
      <c r="P47" s="3" t="s">
        <v>50</v>
      </c>
      <c r="Q47" s="3" t="s">
        <v>68</v>
      </c>
      <c r="R47" s="6">
        <v>4</v>
      </c>
      <c r="S47" s="3" t="s">
        <v>52</v>
      </c>
      <c r="T47" s="3" t="s">
        <v>53</v>
      </c>
      <c r="U47" s="3" t="s">
        <v>54</v>
      </c>
      <c r="V47" s="7"/>
      <c r="W47" s="7"/>
      <c r="X47" s="7"/>
      <c r="Y47" s="7"/>
      <c r="Z47" s="3" t="s">
        <v>55</v>
      </c>
      <c r="AA47" s="3" t="s">
        <v>56</v>
      </c>
      <c r="AB47" s="3" t="s">
        <v>57</v>
      </c>
      <c r="AD47" s="8">
        <v>20.181999999999999</v>
      </c>
      <c r="AE47" s="8">
        <v>20.616</v>
      </c>
      <c r="AG47" s="8">
        <v>1.44</v>
      </c>
      <c r="AH47" s="11">
        <v>46.08</v>
      </c>
      <c r="AI47" s="3">
        <v>11.79</v>
      </c>
      <c r="AJ47" s="88">
        <v>30.75</v>
      </c>
      <c r="AK47" s="3" t="s">
        <v>58</v>
      </c>
      <c r="AL47" s="9">
        <f t="shared" si="0"/>
        <v>36.9</v>
      </c>
      <c r="AN47" t="s">
        <v>5519</v>
      </c>
      <c r="AO47" s="74" t="s">
        <v>5632</v>
      </c>
    </row>
    <row r="48" spans="1:41" ht="14.25" customHeight="1" x14ac:dyDescent="0.3">
      <c r="A48" s="3" t="s">
        <v>357</v>
      </c>
      <c r="B48" s="3" t="s">
        <v>358</v>
      </c>
      <c r="C48" s="3" t="s">
        <v>359</v>
      </c>
      <c r="D48" s="4" t="s">
        <v>360</v>
      </c>
      <c r="E48" s="3" t="s">
        <v>361</v>
      </c>
      <c r="F48" s="3" t="s">
        <v>41</v>
      </c>
      <c r="G48" s="5" t="s">
        <v>42</v>
      </c>
      <c r="H48" s="5" t="s">
        <v>43</v>
      </c>
      <c r="I48" s="5" t="s">
        <v>44</v>
      </c>
      <c r="J48" s="3" t="s">
        <v>45</v>
      </c>
      <c r="K48" s="3" t="s">
        <v>46</v>
      </c>
      <c r="L48" s="3" t="s">
        <v>47</v>
      </c>
      <c r="M48" s="3" t="s">
        <v>48</v>
      </c>
      <c r="N48" s="4" t="s">
        <v>362</v>
      </c>
      <c r="O48" s="67" t="s">
        <v>586</v>
      </c>
      <c r="P48" s="3" t="s">
        <v>50</v>
      </c>
      <c r="Q48" s="3" t="s">
        <v>51</v>
      </c>
      <c r="R48" s="6">
        <v>2</v>
      </c>
      <c r="S48" s="3" t="s">
        <v>52</v>
      </c>
      <c r="T48" s="3" t="s">
        <v>53</v>
      </c>
      <c r="U48" s="3" t="s">
        <v>54</v>
      </c>
      <c r="V48" s="7"/>
      <c r="W48" s="7"/>
      <c r="X48" s="7"/>
      <c r="Y48" s="7"/>
      <c r="Z48" s="3" t="s">
        <v>55</v>
      </c>
      <c r="AA48" s="3" t="s">
        <v>56</v>
      </c>
      <c r="AB48" s="3" t="s">
        <v>57</v>
      </c>
      <c r="AD48" s="8">
        <v>20.100000000000001</v>
      </c>
      <c r="AE48" s="8">
        <v>20.486000000000001</v>
      </c>
      <c r="AG48" s="8">
        <v>1.44</v>
      </c>
      <c r="AH48" s="11">
        <v>51.84</v>
      </c>
      <c r="AI48" s="3">
        <v>12.96</v>
      </c>
      <c r="AJ48" s="88">
        <v>35.75</v>
      </c>
      <c r="AK48" s="3" t="s">
        <v>58</v>
      </c>
      <c r="AL48" s="9">
        <f t="shared" si="0"/>
        <v>42.9</v>
      </c>
      <c r="AN48" t="s">
        <v>5519</v>
      </c>
      <c r="AO48" s="74" t="s">
        <v>5632</v>
      </c>
    </row>
    <row r="49" spans="1:41" ht="14.25" customHeight="1" x14ac:dyDescent="0.3">
      <c r="A49" s="3" t="s">
        <v>357</v>
      </c>
      <c r="B49" s="3" t="s">
        <v>363</v>
      </c>
      <c r="C49" s="3" t="s">
        <v>359</v>
      </c>
      <c r="D49" s="4" t="s">
        <v>364</v>
      </c>
      <c r="E49" s="3" t="s">
        <v>361</v>
      </c>
      <c r="F49" s="3" t="s">
        <v>41</v>
      </c>
      <c r="G49" s="5" t="s">
        <v>42</v>
      </c>
      <c r="H49" s="5" t="s">
        <v>43</v>
      </c>
      <c r="I49" s="5" t="s">
        <v>44</v>
      </c>
      <c r="J49" s="3" t="s">
        <v>45</v>
      </c>
      <c r="K49" s="3" t="s">
        <v>46</v>
      </c>
      <c r="L49" s="3" t="s">
        <v>47</v>
      </c>
      <c r="M49" s="3" t="s">
        <v>48</v>
      </c>
      <c r="N49" s="4" t="s">
        <v>49</v>
      </c>
      <c r="O49" s="67" t="s">
        <v>49</v>
      </c>
      <c r="P49" s="3" t="s">
        <v>50</v>
      </c>
      <c r="Q49" s="3" t="s">
        <v>51</v>
      </c>
      <c r="R49" s="6">
        <v>2</v>
      </c>
      <c r="S49" s="3" t="s">
        <v>52</v>
      </c>
      <c r="T49" s="3" t="s">
        <v>53</v>
      </c>
      <c r="U49" s="3" t="s">
        <v>54</v>
      </c>
      <c r="V49" s="7"/>
      <c r="W49" s="7"/>
      <c r="X49" s="7"/>
      <c r="Y49" s="7"/>
      <c r="Z49" s="3" t="s">
        <v>55</v>
      </c>
      <c r="AA49" s="3" t="s">
        <v>56</v>
      </c>
      <c r="AB49" s="3" t="s">
        <v>57</v>
      </c>
      <c r="AD49" s="8">
        <v>20.100000000000001</v>
      </c>
      <c r="AE49" s="8">
        <v>20.486000000000001</v>
      </c>
      <c r="AG49" s="8">
        <v>1.44</v>
      </c>
      <c r="AH49" s="11">
        <v>51.84</v>
      </c>
      <c r="AI49" s="3">
        <v>12.96</v>
      </c>
      <c r="AJ49" s="88">
        <v>35.75</v>
      </c>
      <c r="AK49" s="3" t="s">
        <v>58</v>
      </c>
      <c r="AL49" s="9">
        <f t="shared" si="0"/>
        <v>42.9</v>
      </c>
      <c r="AN49" t="s">
        <v>5519</v>
      </c>
      <c r="AO49" s="74" t="s">
        <v>5632</v>
      </c>
    </row>
    <row r="50" spans="1:41" ht="14.25" customHeight="1" x14ac:dyDescent="0.3">
      <c r="A50" s="3" t="s">
        <v>357</v>
      </c>
      <c r="B50" s="3" t="s">
        <v>365</v>
      </c>
      <c r="C50" s="3" t="s">
        <v>359</v>
      </c>
      <c r="D50" s="4" t="s">
        <v>366</v>
      </c>
      <c r="E50" s="3" t="s">
        <v>361</v>
      </c>
      <c r="F50" s="3" t="s">
        <v>41</v>
      </c>
      <c r="G50" s="5" t="s">
        <v>42</v>
      </c>
      <c r="H50" s="5" t="s">
        <v>43</v>
      </c>
      <c r="I50" s="5" t="s">
        <v>44</v>
      </c>
      <c r="J50" s="3" t="s">
        <v>45</v>
      </c>
      <c r="K50" s="3" t="s">
        <v>46</v>
      </c>
      <c r="L50" s="3" t="s">
        <v>47</v>
      </c>
      <c r="M50" s="3" t="s">
        <v>48</v>
      </c>
      <c r="N50" s="4" t="s">
        <v>61</v>
      </c>
      <c r="O50" s="67" t="s">
        <v>61</v>
      </c>
      <c r="P50" s="3" t="s">
        <v>50</v>
      </c>
      <c r="Q50" s="3" t="s">
        <v>51</v>
      </c>
      <c r="R50" s="6">
        <v>2</v>
      </c>
      <c r="S50" s="3" t="s">
        <v>52</v>
      </c>
      <c r="T50" s="3" t="s">
        <v>53</v>
      </c>
      <c r="U50" s="3" t="s">
        <v>54</v>
      </c>
      <c r="V50" s="7"/>
      <c r="W50" s="7"/>
      <c r="X50" s="7"/>
      <c r="Y50" s="7"/>
      <c r="Z50" s="3" t="s">
        <v>55</v>
      </c>
      <c r="AA50" s="3" t="s">
        <v>56</v>
      </c>
      <c r="AB50" s="3" t="s">
        <v>57</v>
      </c>
      <c r="AD50" s="8">
        <v>20.100000000000001</v>
      </c>
      <c r="AE50" s="8">
        <v>20.486000000000001</v>
      </c>
      <c r="AG50" s="8">
        <v>1.44</v>
      </c>
      <c r="AH50" s="11">
        <v>51.84</v>
      </c>
      <c r="AI50" s="3">
        <v>12.96</v>
      </c>
      <c r="AJ50" s="88">
        <v>35.75</v>
      </c>
      <c r="AK50" s="3" t="s">
        <v>58</v>
      </c>
      <c r="AL50" s="9">
        <f t="shared" si="0"/>
        <v>42.9</v>
      </c>
      <c r="AN50" t="s">
        <v>5519</v>
      </c>
      <c r="AO50" s="74" t="s">
        <v>5632</v>
      </c>
    </row>
    <row r="51" spans="1:41" ht="14.25" customHeight="1" x14ac:dyDescent="0.3">
      <c r="A51" s="3" t="s">
        <v>357</v>
      </c>
      <c r="B51" s="3" t="s">
        <v>375</v>
      </c>
      <c r="C51" s="3" t="s">
        <v>359</v>
      </c>
      <c r="D51" s="4" t="s">
        <v>376</v>
      </c>
      <c r="E51" s="3" t="s">
        <v>361</v>
      </c>
      <c r="F51" s="3" t="s">
        <v>41</v>
      </c>
      <c r="G51" s="5" t="s">
        <v>42</v>
      </c>
      <c r="H51" s="5" t="s">
        <v>43</v>
      </c>
      <c r="I51" s="5" t="s">
        <v>44</v>
      </c>
      <c r="J51" s="3" t="s">
        <v>45</v>
      </c>
      <c r="K51" s="3" t="s">
        <v>46</v>
      </c>
      <c r="L51" s="3" t="s">
        <v>75</v>
      </c>
      <c r="M51" s="3" t="s">
        <v>48</v>
      </c>
      <c r="N51" s="4" t="s">
        <v>61</v>
      </c>
      <c r="O51" s="68" t="s">
        <v>61</v>
      </c>
      <c r="P51" s="3" t="s">
        <v>50</v>
      </c>
      <c r="Q51" s="3" t="s">
        <v>68</v>
      </c>
      <c r="R51" s="6">
        <v>2</v>
      </c>
      <c r="S51" s="3" t="s">
        <v>52</v>
      </c>
      <c r="T51" s="3" t="s">
        <v>53</v>
      </c>
      <c r="U51" s="3" t="s">
        <v>54</v>
      </c>
      <c r="V51" s="7"/>
      <c r="W51" s="7"/>
      <c r="X51" s="7"/>
      <c r="Y51" s="7"/>
      <c r="Z51" s="3" t="s">
        <v>55</v>
      </c>
      <c r="AA51" s="3" t="s">
        <v>56</v>
      </c>
      <c r="AB51" s="3" t="s">
        <v>57</v>
      </c>
      <c r="AD51" s="8">
        <v>20.885000000000002</v>
      </c>
      <c r="AE51" s="8">
        <v>21.295999999999999</v>
      </c>
      <c r="AG51" s="8">
        <v>1.62</v>
      </c>
      <c r="AH51" s="11">
        <v>48.6</v>
      </c>
      <c r="AI51" s="8">
        <v>14.17</v>
      </c>
      <c r="AJ51" s="88">
        <v>39.082999999999998</v>
      </c>
      <c r="AK51" s="3" t="s">
        <v>58</v>
      </c>
      <c r="AL51" s="9">
        <f t="shared" si="0"/>
        <v>46.8996</v>
      </c>
      <c r="AN51" t="s">
        <v>5519</v>
      </c>
      <c r="AO51" s="74" t="s">
        <v>5632</v>
      </c>
    </row>
    <row r="52" spans="1:41" ht="14.25" customHeight="1" x14ac:dyDescent="0.3">
      <c r="A52" s="3" t="s">
        <v>357</v>
      </c>
      <c r="B52" s="3" t="s">
        <v>377</v>
      </c>
      <c r="C52" s="3" t="s">
        <v>359</v>
      </c>
      <c r="D52" s="4" t="s">
        <v>378</v>
      </c>
      <c r="E52" s="3" t="s">
        <v>361</v>
      </c>
      <c r="F52" s="3" t="s">
        <v>41</v>
      </c>
      <c r="G52" s="5" t="s">
        <v>42</v>
      </c>
      <c r="H52" s="5" t="s">
        <v>43</v>
      </c>
      <c r="I52" s="5" t="s">
        <v>44</v>
      </c>
      <c r="J52" s="3" t="s">
        <v>45</v>
      </c>
      <c r="K52" s="3" t="s">
        <v>46</v>
      </c>
      <c r="L52" s="3" t="s">
        <v>75</v>
      </c>
      <c r="M52" s="3" t="s">
        <v>48</v>
      </c>
      <c r="N52" s="4" t="s">
        <v>372</v>
      </c>
      <c r="O52" s="68" t="s">
        <v>586</v>
      </c>
      <c r="P52" s="3" t="s">
        <v>50</v>
      </c>
      <c r="Q52" s="3" t="s">
        <v>68</v>
      </c>
      <c r="R52" s="6">
        <v>2</v>
      </c>
      <c r="S52" s="3" t="s">
        <v>52</v>
      </c>
      <c r="T52" s="3" t="s">
        <v>53</v>
      </c>
      <c r="U52" s="3" t="s">
        <v>54</v>
      </c>
      <c r="V52" s="7"/>
      <c r="W52" s="7"/>
      <c r="X52" s="7"/>
      <c r="Y52" s="7"/>
      <c r="Z52" s="3" t="s">
        <v>55</v>
      </c>
      <c r="AA52" s="3" t="s">
        <v>56</v>
      </c>
      <c r="AB52" s="3" t="s">
        <v>57</v>
      </c>
      <c r="AD52" s="8">
        <v>20.885000000000002</v>
      </c>
      <c r="AE52" s="8">
        <v>21.295999999999999</v>
      </c>
      <c r="AG52" s="8">
        <v>1.62</v>
      </c>
      <c r="AH52" s="11">
        <v>48.6</v>
      </c>
      <c r="AI52" s="8">
        <v>14.17</v>
      </c>
      <c r="AJ52" s="88">
        <v>39.082999999999998</v>
      </c>
      <c r="AK52" s="3" t="s">
        <v>58</v>
      </c>
      <c r="AL52" s="9">
        <f t="shared" si="0"/>
        <v>46.8996</v>
      </c>
      <c r="AN52" t="s">
        <v>5519</v>
      </c>
      <c r="AO52" s="74" t="s">
        <v>5632</v>
      </c>
    </row>
    <row r="53" spans="1:41" ht="14.25" customHeight="1" x14ac:dyDescent="0.3">
      <c r="A53" s="3" t="s">
        <v>357</v>
      </c>
      <c r="B53" s="3" t="s">
        <v>379</v>
      </c>
      <c r="C53" s="3" t="s">
        <v>359</v>
      </c>
      <c r="D53" s="4" t="s">
        <v>380</v>
      </c>
      <c r="E53" s="3" t="s">
        <v>361</v>
      </c>
      <c r="F53" s="3" t="s">
        <v>41</v>
      </c>
      <c r="G53" s="5" t="s">
        <v>42</v>
      </c>
      <c r="H53" s="5" t="s">
        <v>43</v>
      </c>
      <c r="I53" s="5" t="s">
        <v>44</v>
      </c>
      <c r="J53" s="3" t="s">
        <v>45</v>
      </c>
      <c r="K53" s="3" t="s">
        <v>46</v>
      </c>
      <c r="L53" s="3" t="s">
        <v>75</v>
      </c>
      <c r="M53" s="3" t="s">
        <v>48</v>
      </c>
      <c r="N53" s="4" t="s">
        <v>49</v>
      </c>
      <c r="O53" s="68" t="s">
        <v>49</v>
      </c>
      <c r="P53" s="3" t="s">
        <v>50</v>
      </c>
      <c r="Q53" s="3" t="s">
        <v>68</v>
      </c>
      <c r="R53" s="6">
        <v>2</v>
      </c>
      <c r="S53" s="3" t="s">
        <v>52</v>
      </c>
      <c r="T53" s="3" t="s">
        <v>53</v>
      </c>
      <c r="U53" s="3" t="s">
        <v>54</v>
      </c>
      <c r="V53" s="7"/>
      <c r="W53" s="7"/>
      <c r="X53" s="7"/>
      <c r="Y53" s="7"/>
      <c r="Z53" s="3" t="s">
        <v>55</v>
      </c>
      <c r="AA53" s="3" t="s">
        <v>56</v>
      </c>
      <c r="AB53" s="3" t="s">
        <v>57</v>
      </c>
      <c r="AD53" s="8">
        <v>20.885000000000002</v>
      </c>
      <c r="AE53" s="8">
        <v>21.295999999999999</v>
      </c>
      <c r="AG53" s="8">
        <v>1.62</v>
      </c>
      <c r="AH53" s="11">
        <v>48.6</v>
      </c>
      <c r="AI53" s="8">
        <v>14.17</v>
      </c>
      <c r="AJ53" s="88">
        <v>39.082999999999998</v>
      </c>
      <c r="AK53" s="3" t="s">
        <v>58</v>
      </c>
      <c r="AL53" s="9">
        <f t="shared" si="0"/>
        <v>46.8996</v>
      </c>
      <c r="AN53" t="s">
        <v>5519</v>
      </c>
      <c r="AO53" s="74" t="s">
        <v>5632</v>
      </c>
    </row>
    <row r="54" spans="1:41" ht="14.25" customHeight="1" x14ac:dyDescent="0.3">
      <c r="A54" s="3" t="s">
        <v>653</v>
      </c>
      <c r="B54" s="3" t="s">
        <v>684</v>
      </c>
      <c r="C54" s="3" t="s">
        <v>655</v>
      </c>
      <c r="D54" s="3" t="s">
        <v>685</v>
      </c>
      <c r="E54" s="3" t="s">
        <v>657</v>
      </c>
      <c r="F54" s="3" t="s">
        <v>41</v>
      </c>
      <c r="G54" s="5" t="s">
        <v>42</v>
      </c>
      <c r="H54" s="5" t="s">
        <v>43</v>
      </c>
      <c r="I54" s="5" t="s">
        <v>44</v>
      </c>
      <c r="J54" s="3" t="s">
        <v>45</v>
      </c>
      <c r="K54" s="3" t="s">
        <v>46</v>
      </c>
      <c r="L54" s="3" t="s">
        <v>67</v>
      </c>
      <c r="M54" s="3" t="s">
        <v>48</v>
      </c>
      <c r="N54" s="3" t="s">
        <v>667</v>
      </c>
      <c r="O54" s="69" t="s">
        <v>586</v>
      </c>
      <c r="P54" s="3" t="s">
        <v>50</v>
      </c>
      <c r="Q54" s="3" t="s">
        <v>68</v>
      </c>
      <c r="R54" s="3">
        <v>3</v>
      </c>
      <c r="S54" s="3" t="s">
        <v>52</v>
      </c>
      <c r="T54" s="3" t="s">
        <v>53</v>
      </c>
      <c r="U54" s="3" t="s">
        <v>54</v>
      </c>
      <c r="V54" s="7"/>
      <c r="W54" s="7"/>
      <c r="X54" s="7"/>
      <c r="Y54" s="7"/>
      <c r="Z54" s="3" t="s">
        <v>55</v>
      </c>
      <c r="AA54" s="3" t="s">
        <v>88</v>
      </c>
      <c r="AB54" s="3" t="s">
        <v>57</v>
      </c>
      <c r="AD54" s="3">
        <v>7.27</v>
      </c>
      <c r="AE54" s="3">
        <v>7.27</v>
      </c>
      <c r="AG54" s="12">
        <v>1.08</v>
      </c>
      <c r="AH54" s="12">
        <v>43.2</v>
      </c>
      <c r="AI54" s="3">
        <v>16</v>
      </c>
      <c r="AJ54" s="88">
        <v>41.582999999999998</v>
      </c>
      <c r="AK54" s="3" t="s">
        <v>58</v>
      </c>
      <c r="AL54" s="9">
        <f t="shared" si="0"/>
        <v>49.8996</v>
      </c>
      <c r="AN54" t="s">
        <v>5519</v>
      </c>
      <c r="AO54" s="74" t="s">
        <v>5630</v>
      </c>
    </row>
    <row r="55" spans="1:41" ht="14.25" customHeight="1" x14ac:dyDescent="0.3">
      <c r="A55" s="3" t="s">
        <v>653</v>
      </c>
      <c r="B55" s="3" t="s">
        <v>686</v>
      </c>
      <c r="C55" s="3" t="s">
        <v>655</v>
      </c>
      <c r="D55" s="3" t="s">
        <v>687</v>
      </c>
      <c r="E55" s="3" t="s">
        <v>657</v>
      </c>
      <c r="F55" s="3" t="s">
        <v>41</v>
      </c>
      <c r="G55" s="5" t="s">
        <v>42</v>
      </c>
      <c r="H55" s="5" t="s">
        <v>43</v>
      </c>
      <c r="I55" s="5" t="s">
        <v>44</v>
      </c>
      <c r="J55" s="3" t="s">
        <v>45</v>
      </c>
      <c r="K55" s="3" t="s">
        <v>46</v>
      </c>
      <c r="L55" s="3" t="s">
        <v>67</v>
      </c>
      <c r="M55" s="3" t="s">
        <v>48</v>
      </c>
      <c r="N55" s="3" t="s">
        <v>670</v>
      </c>
      <c r="O55" s="69" t="s">
        <v>61</v>
      </c>
      <c r="P55" s="3" t="s">
        <v>50</v>
      </c>
      <c r="Q55" s="3" t="s">
        <v>68</v>
      </c>
      <c r="R55" s="3">
        <v>3</v>
      </c>
      <c r="S55" s="3" t="s">
        <v>52</v>
      </c>
      <c r="T55" s="3" t="s">
        <v>53</v>
      </c>
      <c r="U55" s="3" t="s">
        <v>54</v>
      </c>
      <c r="V55" s="7"/>
      <c r="W55" s="7"/>
      <c r="X55" s="7"/>
      <c r="Y55" s="7"/>
      <c r="Z55" s="3" t="s">
        <v>55</v>
      </c>
      <c r="AA55" s="3" t="s">
        <v>88</v>
      </c>
      <c r="AB55" s="3" t="s">
        <v>57</v>
      </c>
      <c r="AD55" s="3">
        <v>7.24</v>
      </c>
      <c r="AE55" s="3">
        <v>7.24</v>
      </c>
      <c r="AG55" s="12">
        <v>1.08</v>
      </c>
      <c r="AH55" s="12">
        <v>43.2</v>
      </c>
      <c r="AI55" s="3">
        <v>16</v>
      </c>
      <c r="AJ55" s="88">
        <v>41.582999999999998</v>
      </c>
      <c r="AK55" s="3" t="s">
        <v>58</v>
      </c>
      <c r="AL55" s="9">
        <f t="shared" si="0"/>
        <v>49.8996</v>
      </c>
      <c r="AN55" t="s">
        <v>5519</v>
      </c>
      <c r="AO55" s="74" t="s">
        <v>5630</v>
      </c>
    </row>
    <row r="56" spans="1:41" ht="14.25" customHeight="1" x14ac:dyDescent="0.3">
      <c r="A56" s="3" t="s">
        <v>653</v>
      </c>
      <c r="B56" s="3" t="s">
        <v>688</v>
      </c>
      <c r="C56" s="3" t="s">
        <v>655</v>
      </c>
      <c r="D56" s="3" t="s">
        <v>689</v>
      </c>
      <c r="E56" s="3" t="s">
        <v>657</v>
      </c>
      <c r="F56" s="3" t="s">
        <v>41</v>
      </c>
      <c r="G56" s="5" t="s">
        <v>42</v>
      </c>
      <c r="H56" s="5" t="s">
        <v>43</v>
      </c>
      <c r="I56" s="5" t="s">
        <v>44</v>
      </c>
      <c r="J56" s="3" t="s">
        <v>45</v>
      </c>
      <c r="K56" s="3" t="s">
        <v>46</v>
      </c>
      <c r="L56" s="3" t="s">
        <v>67</v>
      </c>
      <c r="M56" s="3" t="s">
        <v>48</v>
      </c>
      <c r="N56" s="3" t="s">
        <v>664</v>
      </c>
      <c r="O56" s="69" t="s">
        <v>586</v>
      </c>
      <c r="P56" s="3" t="s">
        <v>50</v>
      </c>
      <c r="Q56" s="3" t="s">
        <v>68</v>
      </c>
      <c r="R56" s="3">
        <v>3</v>
      </c>
      <c r="S56" s="3" t="s">
        <v>52</v>
      </c>
      <c r="T56" s="3" t="s">
        <v>53</v>
      </c>
      <c r="U56" s="3" t="s">
        <v>54</v>
      </c>
      <c r="V56" s="7"/>
      <c r="W56" s="7"/>
      <c r="X56" s="7"/>
      <c r="Y56" s="7"/>
      <c r="Z56" s="3" t="s">
        <v>55</v>
      </c>
      <c r="AA56" s="3" t="s">
        <v>88</v>
      </c>
      <c r="AB56" s="3" t="s">
        <v>57</v>
      </c>
      <c r="AD56" s="3">
        <v>7.375</v>
      </c>
      <c r="AE56" s="3">
        <v>7.375</v>
      </c>
      <c r="AG56" s="12">
        <v>1.08</v>
      </c>
      <c r="AH56" s="12">
        <v>43.2</v>
      </c>
      <c r="AI56" s="3">
        <v>16</v>
      </c>
      <c r="AJ56" s="88">
        <v>41.582999999999998</v>
      </c>
      <c r="AK56" s="3" t="s">
        <v>58</v>
      </c>
      <c r="AL56" s="9">
        <f t="shared" si="0"/>
        <v>49.8996</v>
      </c>
      <c r="AN56" t="s">
        <v>5519</v>
      </c>
      <c r="AO56" s="74" t="s">
        <v>5630</v>
      </c>
    </row>
    <row r="57" spans="1:41" ht="14.25" customHeight="1" x14ac:dyDescent="0.3">
      <c r="A57" s="3" t="s">
        <v>653</v>
      </c>
      <c r="B57" s="3" t="s">
        <v>690</v>
      </c>
      <c r="C57" s="3" t="s">
        <v>655</v>
      </c>
      <c r="D57" s="3" t="s">
        <v>691</v>
      </c>
      <c r="E57" s="3" t="s">
        <v>657</v>
      </c>
      <c r="F57" s="3" t="s">
        <v>41</v>
      </c>
      <c r="G57" s="5" t="s">
        <v>42</v>
      </c>
      <c r="H57" s="5" t="s">
        <v>43</v>
      </c>
      <c r="I57" s="5" t="s">
        <v>44</v>
      </c>
      <c r="J57" s="3" t="s">
        <v>45</v>
      </c>
      <c r="K57" s="3" t="s">
        <v>46</v>
      </c>
      <c r="L57" s="3" t="s">
        <v>67</v>
      </c>
      <c r="M57" s="3" t="s">
        <v>48</v>
      </c>
      <c r="N57" s="3" t="s">
        <v>658</v>
      </c>
      <c r="O57" s="69" t="s">
        <v>599</v>
      </c>
      <c r="P57" s="3" t="s">
        <v>50</v>
      </c>
      <c r="Q57" s="3" t="s">
        <v>68</v>
      </c>
      <c r="R57" s="3">
        <v>3</v>
      </c>
      <c r="S57" s="3" t="s">
        <v>52</v>
      </c>
      <c r="T57" s="3" t="s">
        <v>53</v>
      </c>
      <c r="U57" s="3" t="s">
        <v>54</v>
      </c>
      <c r="V57" s="7"/>
      <c r="W57" s="7"/>
      <c r="X57" s="7"/>
      <c r="Y57" s="7"/>
      <c r="Z57" s="3" t="s">
        <v>55</v>
      </c>
      <c r="AA57" s="3" t="s">
        <v>88</v>
      </c>
      <c r="AB57" s="3" t="s">
        <v>57</v>
      </c>
      <c r="AD57" s="3">
        <v>7.09</v>
      </c>
      <c r="AE57" s="3">
        <v>7.09</v>
      </c>
      <c r="AG57" s="12">
        <v>1.08</v>
      </c>
      <c r="AH57" s="12">
        <v>43.2</v>
      </c>
      <c r="AI57" s="3">
        <v>16</v>
      </c>
      <c r="AJ57" s="88">
        <v>41.582999999999998</v>
      </c>
      <c r="AK57" s="3" t="s">
        <v>58</v>
      </c>
      <c r="AL57" s="9">
        <f t="shared" si="0"/>
        <v>49.8996</v>
      </c>
      <c r="AN57" t="s">
        <v>5519</v>
      </c>
      <c r="AO57" s="74" t="s">
        <v>5630</v>
      </c>
    </row>
    <row r="58" spans="1:41" ht="14.25" customHeight="1" x14ac:dyDescent="0.3">
      <c r="A58" s="3" t="s">
        <v>653</v>
      </c>
      <c r="B58" s="3" t="s">
        <v>692</v>
      </c>
      <c r="C58" s="3" t="s">
        <v>655</v>
      </c>
      <c r="D58" s="3" t="s">
        <v>693</v>
      </c>
      <c r="E58" s="3" t="s">
        <v>657</v>
      </c>
      <c r="F58" s="3" t="s">
        <v>41</v>
      </c>
      <c r="G58" s="5" t="s">
        <v>42</v>
      </c>
      <c r="H58" s="5" t="s">
        <v>43</v>
      </c>
      <c r="I58" s="5" t="s">
        <v>44</v>
      </c>
      <c r="J58" s="3" t="s">
        <v>45</v>
      </c>
      <c r="K58" s="3" t="s">
        <v>46</v>
      </c>
      <c r="L58" s="3" t="s">
        <v>67</v>
      </c>
      <c r="M58" s="3" t="s">
        <v>48</v>
      </c>
      <c r="N58" s="3" t="s">
        <v>683</v>
      </c>
      <c r="O58" s="69" t="s">
        <v>586</v>
      </c>
      <c r="P58" s="3" t="s">
        <v>50</v>
      </c>
      <c r="Q58" s="3" t="s">
        <v>68</v>
      </c>
      <c r="R58" s="3">
        <v>3</v>
      </c>
      <c r="S58" s="3" t="s">
        <v>52</v>
      </c>
      <c r="T58" s="3" t="s">
        <v>53</v>
      </c>
      <c r="U58" s="3" t="s">
        <v>54</v>
      </c>
      <c r="V58" s="7"/>
      <c r="W58" s="7"/>
      <c r="X58" s="7"/>
      <c r="Y58" s="7"/>
      <c r="Z58" s="3" t="s">
        <v>55</v>
      </c>
      <c r="AA58" s="3" t="s">
        <v>88</v>
      </c>
      <c r="AB58" s="3" t="s">
        <v>57</v>
      </c>
      <c r="AD58" s="3">
        <v>7.375</v>
      </c>
      <c r="AE58" s="3">
        <v>7.375</v>
      </c>
      <c r="AG58" s="12">
        <v>1.08</v>
      </c>
      <c r="AH58" s="12">
        <v>43.2</v>
      </c>
      <c r="AI58" s="3">
        <v>16</v>
      </c>
      <c r="AJ58" s="88">
        <v>41.582999999999998</v>
      </c>
      <c r="AK58" s="3" t="s">
        <v>58</v>
      </c>
      <c r="AL58" s="9">
        <f t="shared" si="0"/>
        <v>49.8996</v>
      </c>
      <c r="AN58" t="s">
        <v>5519</v>
      </c>
      <c r="AO58" s="74" t="s">
        <v>5630</v>
      </c>
    </row>
    <row r="59" spans="1:41" ht="14.25" customHeight="1" x14ac:dyDescent="0.3">
      <c r="A59" s="3" t="s">
        <v>653</v>
      </c>
      <c r="B59" s="3" t="s">
        <v>694</v>
      </c>
      <c r="C59" s="3" t="s">
        <v>655</v>
      </c>
      <c r="D59" s="3" t="s">
        <v>695</v>
      </c>
      <c r="E59" s="3" t="s">
        <v>657</v>
      </c>
      <c r="F59" s="3" t="s">
        <v>41</v>
      </c>
      <c r="G59" s="5" t="s">
        <v>42</v>
      </c>
      <c r="H59" s="5" t="s">
        <v>43</v>
      </c>
      <c r="I59" s="5" t="s">
        <v>44</v>
      </c>
      <c r="J59" s="3" t="s">
        <v>45</v>
      </c>
      <c r="K59" s="3" t="s">
        <v>46</v>
      </c>
      <c r="L59" s="3" t="s">
        <v>67</v>
      </c>
      <c r="M59" s="3" t="s">
        <v>48</v>
      </c>
      <c r="N59" s="3" t="s">
        <v>661</v>
      </c>
      <c r="O59" s="69" t="s">
        <v>586</v>
      </c>
      <c r="P59" s="3" t="s">
        <v>50</v>
      </c>
      <c r="Q59" s="3" t="s">
        <v>68</v>
      </c>
      <c r="R59" s="3">
        <v>3</v>
      </c>
      <c r="S59" s="3" t="s">
        <v>52</v>
      </c>
      <c r="T59" s="3" t="s">
        <v>53</v>
      </c>
      <c r="U59" s="3" t="s">
        <v>54</v>
      </c>
      <c r="V59" s="7"/>
      <c r="W59" s="7"/>
      <c r="X59" s="7"/>
      <c r="Y59" s="7"/>
      <c r="Z59" s="3" t="s">
        <v>55</v>
      </c>
      <c r="AA59" s="3" t="s">
        <v>88</v>
      </c>
      <c r="AB59" s="3" t="s">
        <v>57</v>
      </c>
      <c r="AD59" s="3">
        <v>7.1</v>
      </c>
      <c r="AE59" s="3">
        <v>7.1</v>
      </c>
      <c r="AG59" s="12">
        <v>1.08</v>
      </c>
      <c r="AH59" s="12">
        <v>43.2</v>
      </c>
      <c r="AI59" s="3">
        <v>16</v>
      </c>
      <c r="AJ59" s="88">
        <v>41.582999999999998</v>
      </c>
      <c r="AK59" s="3" t="s">
        <v>58</v>
      </c>
      <c r="AL59" s="9">
        <f t="shared" si="0"/>
        <v>49.8996</v>
      </c>
      <c r="AN59" t="s">
        <v>5519</v>
      </c>
      <c r="AO59" s="74" t="s">
        <v>5630</v>
      </c>
    </row>
    <row r="60" spans="1:41" ht="14.25" customHeight="1" x14ac:dyDescent="0.3">
      <c r="A60" s="3" t="s">
        <v>653</v>
      </c>
      <c r="B60" s="3" t="s">
        <v>696</v>
      </c>
      <c r="C60" s="3" t="s">
        <v>655</v>
      </c>
      <c r="D60" s="3" t="s">
        <v>697</v>
      </c>
      <c r="E60" s="3" t="s">
        <v>657</v>
      </c>
      <c r="F60" s="3" t="s">
        <v>41</v>
      </c>
      <c r="G60" s="5" t="s">
        <v>42</v>
      </c>
      <c r="H60" s="5" t="s">
        <v>43</v>
      </c>
      <c r="I60" s="5" t="s">
        <v>44</v>
      </c>
      <c r="J60" s="3" t="s">
        <v>45</v>
      </c>
      <c r="K60" s="3" t="s">
        <v>46</v>
      </c>
      <c r="L60" s="3" t="s">
        <v>67</v>
      </c>
      <c r="M60" s="3" t="s">
        <v>48</v>
      </c>
      <c r="N60" s="3" t="s">
        <v>673</v>
      </c>
      <c r="O60" s="69" t="s">
        <v>61</v>
      </c>
      <c r="P60" s="3" t="s">
        <v>50</v>
      </c>
      <c r="Q60" s="3" t="s">
        <v>68</v>
      </c>
      <c r="R60" s="3">
        <v>3</v>
      </c>
      <c r="S60" s="3" t="s">
        <v>52</v>
      </c>
      <c r="T60" s="3" t="s">
        <v>53</v>
      </c>
      <c r="U60" s="3" t="s">
        <v>54</v>
      </c>
      <c r="V60" s="7"/>
      <c r="W60" s="7"/>
      <c r="X60" s="7"/>
      <c r="Y60" s="7"/>
      <c r="Z60" s="3" t="s">
        <v>55</v>
      </c>
      <c r="AA60" s="3" t="s">
        <v>88</v>
      </c>
      <c r="AB60" s="3" t="s">
        <v>57</v>
      </c>
      <c r="AD60" s="3">
        <v>7.6</v>
      </c>
      <c r="AE60" s="3">
        <v>7.6</v>
      </c>
      <c r="AG60" s="12">
        <v>1.08</v>
      </c>
      <c r="AH60" s="12">
        <v>43.2</v>
      </c>
      <c r="AI60" s="3">
        <v>16</v>
      </c>
      <c r="AJ60" s="88">
        <v>41.582999999999998</v>
      </c>
      <c r="AK60" s="3" t="s">
        <v>58</v>
      </c>
      <c r="AL60" s="9">
        <f t="shared" si="0"/>
        <v>49.8996</v>
      </c>
      <c r="AN60" t="s">
        <v>5519</v>
      </c>
      <c r="AO60" s="74" t="s">
        <v>5630</v>
      </c>
    </row>
    <row r="61" spans="1:41" ht="14.25" customHeight="1" x14ac:dyDescent="0.3">
      <c r="A61" s="3" t="s">
        <v>653</v>
      </c>
      <c r="B61" s="3" t="s">
        <v>698</v>
      </c>
      <c r="C61" s="3" t="s">
        <v>655</v>
      </c>
      <c r="D61" s="3" t="s">
        <v>699</v>
      </c>
      <c r="E61" s="3" t="s">
        <v>657</v>
      </c>
      <c r="F61" s="3" t="s">
        <v>41</v>
      </c>
      <c r="G61" s="5" t="s">
        <v>42</v>
      </c>
      <c r="H61" s="5" t="s">
        <v>43</v>
      </c>
      <c r="I61" s="5" t="s">
        <v>44</v>
      </c>
      <c r="J61" s="3" t="s">
        <v>45</v>
      </c>
      <c r="K61" s="3" t="s">
        <v>46</v>
      </c>
      <c r="L61" s="3" t="s">
        <v>67</v>
      </c>
      <c r="M61" s="3" t="s">
        <v>48</v>
      </c>
      <c r="N61" s="3" t="s">
        <v>700</v>
      </c>
      <c r="O61" s="70" t="s">
        <v>61</v>
      </c>
      <c r="P61" s="3" t="s">
        <v>50</v>
      </c>
      <c r="Q61" s="3" t="s">
        <v>68</v>
      </c>
      <c r="R61" s="3">
        <v>3</v>
      </c>
      <c r="S61" s="3" t="s">
        <v>52</v>
      </c>
      <c r="T61" s="3" t="s">
        <v>53</v>
      </c>
      <c r="U61" s="3" t="s">
        <v>54</v>
      </c>
      <c r="V61" s="7"/>
      <c r="W61" s="7"/>
      <c r="X61" s="7"/>
      <c r="Y61" s="7"/>
      <c r="Z61" s="3" t="s">
        <v>55</v>
      </c>
      <c r="AA61" s="3" t="s">
        <v>88</v>
      </c>
      <c r="AB61" s="3" t="s">
        <v>57</v>
      </c>
      <c r="AD61" s="3">
        <v>7.29</v>
      </c>
      <c r="AE61" s="3">
        <v>7.29</v>
      </c>
      <c r="AG61" s="12">
        <v>1.08</v>
      </c>
      <c r="AH61" s="12">
        <v>43.2</v>
      </c>
      <c r="AI61" s="3">
        <v>16</v>
      </c>
      <c r="AJ61" s="88">
        <v>41.582999999999998</v>
      </c>
      <c r="AK61" s="3" t="s">
        <v>58</v>
      </c>
      <c r="AL61" s="9">
        <f t="shared" si="0"/>
        <v>49.8996</v>
      </c>
      <c r="AN61" t="s">
        <v>5519</v>
      </c>
      <c r="AO61" s="74" t="s">
        <v>5630</v>
      </c>
    </row>
    <row r="62" spans="1:41" ht="14.25" customHeight="1" x14ac:dyDescent="0.3">
      <c r="A62" s="3" t="s">
        <v>653</v>
      </c>
      <c r="B62" s="3" t="s">
        <v>701</v>
      </c>
      <c r="C62" s="3" t="s">
        <v>655</v>
      </c>
      <c r="D62" s="3" t="s">
        <v>702</v>
      </c>
      <c r="E62" s="3" t="s">
        <v>657</v>
      </c>
      <c r="F62" s="3" t="s">
        <v>41</v>
      </c>
      <c r="G62" s="5" t="s">
        <v>42</v>
      </c>
      <c r="H62" s="5" t="s">
        <v>43</v>
      </c>
      <c r="I62" s="5" t="s">
        <v>44</v>
      </c>
      <c r="J62" s="3" t="s">
        <v>45</v>
      </c>
      <c r="K62" s="3" t="s">
        <v>46</v>
      </c>
      <c r="L62" s="3" t="s">
        <v>67</v>
      </c>
      <c r="M62" s="3" t="s">
        <v>48</v>
      </c>
      <c r="N62" s="3" t="s">
        <v>703</v>
      </c>
      <c r="O62" s="70" t="s">
        <v>61</v>
      </c>
      <c r="P62" s="3" t="s">
        <v>50</v>
      </c>
      <c r="Q62" s="3" t="s">
        <v>68</v>
      </c>
      <c r="R62" s="3">
        <v>3</v>
      </c>
      <c r="S62" s="3" t="s">
        <v>52</v>
      </c>
      <c r="T62" s="3" t="s">
        <v>53</v>
      </c>
      <c r="U62" s="3" t="s">
        <v>54</v>
      </c>
      <c r="V62" s="7"/>
      <c r="W62" s="7"/>
      <c r="X62" s="7"/>
      <c r="Y62" s="7"/>
      <c r="Z62" s="3" t="s">
        <v>55</v>
      </c>
      <c r="AA62" s="3" t="s">
        <v>88</v>
      </c>
      <c r="AB62" s="3" t="s">
        <v>57</v>
      </c>
      <c r="AD62" s="3">
        <v>7.1</v>
      </c>
      <c r="AE62" s="3">
        <v>7.1</v>
      </c>
      <c r="AG62" s="12">
        <v>1.08</v>
      </c>
      <c r="AH62" s="12">
        <v>43.2</v>
      </c>
      <c r="AI62" s="3">
        <v>16</v>
      </c>
      <c r="AJ62" s="88">
        <v>41.582999999999998</v>
      </c>
      <c r="AK62" s="3" t="s">
        <v>58</v>
      </c>
      <c r="AL62" s="9">
        <f t="shared" si="0"/>
        <v>49.8996</v>
      </c>
      <c r="AN62" t="s">
        <v>5519</v>
      </c>
      <c r="AO62" s="74" t="s">
        <v>5630</v>
      </c>
    </row>
    <row r="63" spans="1:41" ht="14.25" customHeight="1" x14ac:dyDescent="0.3">
      <c r="A63" s="3" t="s">
        <v>653</v>
      </c>
      <c r="B63" s="3" t="s">
        <v>704</v>
      </c>
      <c r="C63" s="3" t="s">
        <v>655</v>
      </c>
      <c r="D63" s="3" t="s">
        <v>705</v>
      </c>
      <c r="E63" s="3" t="s">
        <v>657</v>
      </c>
      <c r="F63" s="3" t="s">
        <v>41</v>
      </c>
      <c r="G63" s="5" t="s">
        <v>42</v>
      </c>
      <c r="H63" s="5" t="s">
        <v>43</v>
      </c>
      <c r="I63" s="5" t="s">
        <v>44</v>
      </c>
      <c r="J63" s="3" t="s">
        <v>45</v>
      </c>
      <c r="K63" s="3" t="s">
        <v>46</v>
      </c>
      <c r="L63" s="3" t="s">
        <v>67</v>
      </c>
      <c r="M63" s="3" t="s">
        <v>48</v>
      </c>
      <c r="N63" s="3" t="s">
        <v>680</v>
      </c>
      <c r="O63" s="70" t="s">
        <v>61</v>
      </c>
      <c r="P63" s="3" t="s">
        <v>50</v>
      </c>
      <c r="Q63" s="3" t="s">
        <v>68</v>
      </c>
      <c r="R63" s="3">
        <v>2</v>
      </c>
      <c r="S63" s="3" t="s">
        <v>52</v>
      </c>
      <c r="T63" s="3" t="s">
        <v>53</v>
      </c>
      <c r="U63" s="3" t="s">
        <v>54</v>
      </c>
      <c r="V63" s="7"/>
      <c r="W63" s="7"/>
      <c r="X63" s="7"/>
      <c r="Y63" s="7"/>
      <c r="Z63" s="3" t="s">
        <v>55</v>
      </c>
      <c r="AA63" s="3" t="s">
        <v>88</v>
      </c>
      <c r="AB63" s="3" t="s">
        <v>57</v>
      </c>
      <c r="AD63" s="3">
        <v>31.1</v>
      </c>
      <c r="AE63" s="3">
        <v>31.1</v>
      </c>
      <c r="AG63" s="12">
        <v>2.88</v>
      </c>
      <c r="AH63" s="12">
        <v>57.6</v>
      </c>
      <c r="AI63" s="3">
        <v>16</v>
      </c>
      <c r="AJ63" s="88">
        <v>41.582999999999998</v>
      </c>
      <c r="AK63" s="3" t="s">
        <v>58</v>
      </c>
      <c r="AL63" s="9">
        <f t="shared" si="0"/>
        <v>49.8996</v>
      </c>
      <c r="AN63" t="s">
        <v>5519</v>
      </c>
      <c r="AO63" s="74" t="s">
        <v>5630</v>
      </c>
    </row>
    <row r="64" spans="1:41" ht="14.25" customHeight="1" x14ac:dyDescent="0.3">
      <c r="A64" s="3" t="s">
        <v>653</v>
      </c>
      <c r="B64" s="3" t="s">
        <v>706</v>
      </c>
      <c r="C64" s="3" t="s">
        <v>655</v>
      </c>
      <c r="D64" s="3" t="s">
        <v>707</v>
      </c>
      <c r="E64" s="3" t="s">
        <v>657</v>
      </c>
      <c r="F64" s="3" t="s">
        <v>41</v>
      </c>
      <c r="G64" s="5" t="s">
        <v>42</v>
      </c>
      <c r="H64" s="5" t="s">
        <v>43</v>
      </c>
      <c r="I64" s="5" t="s">
        <v>44</v>
      </c>
      <c r="J64" s="3" t="s">
        <v>45</v>
      </c>
      <c r="K64" s="3" t="s">
        <v>46</v>
      </c>
      <c r="L64" s="3" t="s">
        <v>242</v>
      </c>
      <c r="M64" s="3" t="s">
        <v>48</v>
      </c>
      <c r="N64" s="3" t="s">
        <v>673</v>
      </c>
      <c r="O64" s="69" t="s">
        <v>61</v>
      </c>
      <c r="P64" s="3" t="s">
        <v>50</v>
      </c>
      <c r="Q64" s="3" t="s">
        <v>68</v>
      </c>
      <c r="R64" s="3">
        <v>2</v>
      </c>
      <c r="S64" s="3" t="s">
        <v>52</v>
      </c>
      <c r="T64" s="3" t="s">
        <v>53</v>
      </c>
      <c r="U64" s="3" t="s">
        <v>54</v>
      </c>
      <c r="V64" s="7"/>
      <c r="W64" s="7"/>
      <c r="X64" s="7"/>
      <c r="Y64" s="7"/>
      <c r="Z64" s="3" t="s">
        <v>55</v>
      </c>
      <c r="AA64" s="3" t="s">
        <v>88</v>
      </c>
      <c r="AB64" s="3" t="s">
        <v>57</v>
      </c>
      <c r="AD64" s="3">
        <v>13.28</v>
      </c>
      <c r="AE64" s="3">
        <v>13.28</v>
      </c>
      <c r="AG64" s="12">
        <v>1.28</v>
      </c>
      <c r="AH64" s="12">
        <v>61.44</v>
      </c>
      <c r="AI64" s="8">
        <v>17.600000000000001</v>
      </c>
      <c r="AJ64" s="88">
        <v>49.915999999999997</v>
      </c>
      <c r="AK64" s="3" t="s">
        <v>58</v>
      </c>
      <c r="AL64" s="9">
        <f t="shared" si="0"/>
        <v>59.899199999999993</v>
      </c>
      <c r="AN64" t="s">
        <v>5519</v>
      </c>
      <c r="AO64" s="74" t="s">
        <v>5630</v>
      </c>
    </row>
    <row r="65" spans="1:41" ht="14.25" customHeight="1" x14ac:dyDescent="0.3">
      <c r="A65" s="3" t="s">
        <v>653</v>
      </c>
      <c r="B65" s="3" t="s">
        <v>708</v>
      </c>
      <c r="C65" s="3" t="s">
        <v>655</v>
      </c>
      <c r="D65" s="3" t="s">
        <v>709</v>
      </c>
      <c r="E65" s="3" t="s">
        <v>657</v>
      </c>
      <c r="F65" s="3" t="s">
        <v>41</v>
      </c>
      <c r="G65" s="5" t="s">
        <v>42</v>
      </c>
      <c r="H65" s="5" t="s">
        <v>43</v>
      </c>
      <c r="I65" s="5" t="s">
        <v>44</v>
      </c>
      <c r="J65" s="3" t="s">
        <v>45</v>
      </c>
      <c r="K65" s="3" t="s">
        <v>46</v>
      </c>
      <c r="L65" s="3" t="s">
        <v>242</v>
      </c>
      <c r="M65" s="3" t="s">
        <v>48</v>
      </c>
      <c r="N65" s="3" t="s">
        <v>664</v>
      </c>
      <c r="O65" s="69" t="s">
        <v>586</v>
      </c>
      <c r="P65" s="3" t="s">
        <v>50</v>
      </c>
      <c r="Q65" s="3" t="s">
        <v>68</v>
      </c>
      <c r="R65" s="3">
        <v>2</v>
      </c>
      <c r="S65" s="3" t="s">
        <v>52</v>
      </c>
      <c r="T65" s="3" t="s">
        <v>53</v>
      </c>
      <c r="U65" s="3" t="s">
        <v>54</v>
      </c>
      <c r="V65" s="7"/>
      <c r="W65" s="7"/>
      <c r="X65" s="7"/>
      <c r="Y65" s="7"/>
      <c r="Z65" s="3" t="s">
        <v>55</v>
      </c>
      <c r="AA65" s="3" t="s">
        <v>88</v>
      </c>
      <c r="AB65" s="3" t="s">
        <v>57</v>
      </c>
      <c r="AD65" s="3">
        <v>13.5</v>
      </c>
      <c r="AE65" s="3">
        <v>13.5</v>
      </c>
      <c r="AG65" s="12">
        <v>1.28</v>
      </c>
      <c r="AH65" s="12">
        <v>61.44</v>
      </c>
      <c r="AI65" s="8">
        <v>17.600000000000001</v>
      </c>
      <c r="AJ65" s="88">
        <v>49.915999999999997</v>
      </c>
      <c r="AK65" s="3" t="s">
        <v>58</v>
      </c>
      <c r="AL65" s="9">
        <f t="shared" si="0"/>
        <v>59.899199999999993</v>
      </c>
      <c r="AN65" t="s">
        <v>5519</v>
      </c>
      <c r="AO65" s="74" t="s">
        <v>5630</v>
      </c>
    </row>
    <row r="66" spans="1:41" ht="14.25" customHeight="1" x14ac:dyDescent="0.3">
      <c r="A66" s="3" t="s">
        <v>653</v>
      </c>
      <c r="B66" s="3" t="s">
        <v>710</v>
      </c>
      <c r="C66" s="3" t="s">
        <v>655</v>
      </c>
      <c r="D66" s="3" t="s">
        <v>711</v>
      </c>
      <c r="E66" s="3" t="s">
        <v>657</v>
      </c>
      <c r="F66" s="3" t="s">
        <v>41</v>
      </c>
      <c r="G66" s="5" t="s">
        <v>42</v>
      </c>
      <c r="H66" s="5" t="s">
        <v>43</v>
      </c>
      <c r="I66" s="5" t="s">
        <v>44</v>
      </c>
      <c r="J66" s="3" t="s">
        <v>45</v>
      </c>
      <c r="K66" s="3" t="s">
        <v>46</v>
      </c>
      <c r="L66" s="3" t="s">
        <v>242</v>
      </c>
      <c r="M66" s="3" t="s">
        <v>48</v>
      </c>
      <c r="N66" s="3" t="s">
        <v>661</v>
      </c>
      <c r="O66" s="69" t="s">
        <v>586</v>
      </c>
      <c r="P66" s="3" t="s">
        <v>50</v>
      </c>
      <c r="Q66" s="3" t="s">
        <v>68</v>
      </c>
      <c r="R66" s="3">
        <v>2</v>
      </c>
      <c r="S66" s="3" t="s">
        <v>52</v>
      </c>
      <c r="T66" s="3" t="s">
        <v>53</v>
      </c>
      <c r="U66" s="3" t="s">
        <v>54</v>
      </c>
      <c r="V66" s="7"/>
      <c r="W66" s="7"/>
      <c r="X66" s="7"/>
      <c r="Y66" s="7"/>
      <c r="Z66" s="3" t="s">
        <v>55</v>
      </c>
      <c r="AA66" s="3" t="s">
        <v>88</v>
      </c>
      <c r="AB66" s="3" t="s">
        <v>57</v>
      </c>
      <c r="AD66" s="3">
        <v>13.44</v>
      </c>
      <c r="AE66" s="3">
        <v>13.44</v>
      </c>
      <c r="AG66" s="12">
        <v>1.28</v>
      </c>
      <c r="AH66" s="12">
        <v>61.44</v>
      </c>
      <c r="AI66" s="8">
        <v>17.600000000000001</v>
      </c>
      <c r="AJ66" s="88">
        <v>49.915999999999997</v>
      </c>
      <c r="AK66" s="3" t="s">
        <v>58</v>
      </c>
      <c r="AL66" s="9">
        <f t="shared" ref="AL66:AL129" si="1">AJ66*1.2</f>
        <v>59.899199999999993</v>
      </c>
      <c r="AN66" t="s">
        <v>5519</v>
      </c>
      <c r="AO66" s="74" t="s">
        <v>5630</v>
      </c>
    </row>
    <row r="67" spans="1:41" ht="14.25" customHeight="1" x14ac:dyDescent="0.3">
      <c r="A67" s="3" t="s">
        <v>653</v>
      </c>
      <c r="B67" s="3" t="s">
        <v>712</v>
      </c>
      <c r="C67" s="3" t="s">
        <v>655</v>
      </c>
      <c r="D67" s="3" t="s">
        <v>713</v>
      </c>
      <c r="E67" s="3" t="s">
        <v>657</v>
      </c>
      <c r="F67" s="3" t="s">
        <v>41</v>
      </c>
      <c r="G67" s="5" t="s">
        <v>42</v>
      </c>
      <c r="H67" s="5" t="s">
        <v>43</v>
      </c>
      <c r="I67" s="5" t="s">
        <v>44</v>
      </c>
      <c r="J67" s="3" t="s">
        <v>45</v>
      </c>
      <c r="K67" s="3" t="s">
        <v>46</v>
      </c>
      <c r="L67" s="3" t="s">
        <v>242</v>
      </c>
      <c r="M67" s="3" t="s">
        <v>48</v>
      </c>
      <c r="N67" s="3" t="s">
        <v>670</v>
      </c>
      <c r="O67" s="69" t="s">
        <v>61</v>
      </c>
      <c r="P67" s="3" t="s">
        <v>50</v>
      </c>
      <c r="Q67" s="3" t="s">
        <v>68</v>
      </c>
      <c r="R67" s="3">
        <v>2</v>
      </c>
      <c r="S67" s="3" t="s">
        <v>52</v>
      </c>
      <c r="T67" s="3" t="s">
        <v>53</v>
      </c>
      <c r="U67" s="3" t="s">
        <v>54</v>
      </c>
      <c r="V67" s="7"/>
      <c r="W67" s="7"/>
      <c r="X67" s="7"/>
      <c r="Y67" s="7"/>
      <c r="Z67" s="3" t="s">
        <v>55</v>
      </c>
      <c r="AA67" s="3" t="s">
        <v>88</v>
      </c>
      <c r="AB67" s="3" t="s">
        <v>57</v>
      </c>
      <c r="AD67" s="3">
        <v>13.37</v>
      </c>
      <c r="AE67" s="3">
        <v>13.37</v>
      </c>
      <c r="AG67" s="12">
        <v>1.28</v>
      </c>
      <c r="AH67" s="12">
        <v>61.44</v>
      </c>
      <c r="AI67" s="8">
        <v>17.600000000000001</v>
      </c>
      <c r="AJ67" s="88">
        <v>49.915999999999997</v>
      </c>
      <c r="AK67" s="3" t="s">
        <v>58</v>
      </c>
      <c r="AL67" s="9">
        <f t="shared" si="1"/>
        <v>59.899199999999993</v>
      </c>
      <c r="AN67" t="s">
        <v>5519</v>
      </c>
      <c r="AO67" s="74" t="s">
        <v>5630</v>
      </c>
    </row>
    <row r="68" spans="1:41" ht="14.25" customHeight="1" x14ac:dyDescent="0.3">
      <c r="A68" s="3" t="s">
        <v>653</v>
      </c>
      <c r="B68" s="3" t="s">
        <v>714</v>
      </c>
      <c r="C68" s="3" t="s">
        <v>655</v>
      </c>
      <c r="D68" s="3" t="s">
        <v>715</v>
      </c>
      <c r="E68" s="3" t="s">
        <v>657</v>
      </c>
      <c r="F68" s="3" t="s">
        <v>41</v>
      </c>
      <c r="G68" s="5" t="s">
        <v>42</v>
      </c>
      <c r="H68" s="5" t="s">
        <v>43</v>
      </c>
      <c r="I68" s="5" t="s">
        <v>44</v>
      </c>
      <c r="J68" s="3" t="s">
        <v>45</v>
      </c>
      <c r="K68" s="3" t="s">
        <v>46</v>
      </c>
      <c r="L68" s="3" t="s">
        <v>242</v>
      </c>
      <c r="M68" s="3" t="s">
        <v>48</v>
      </c>
      <c r="N68" s="3" t="s">
        <v>667</v>
      </c>
      <c r="O68" s="69" t="s">
        <v>586</v>
      </c>
      <c r="P68" s="3" t="s">
        <v>50</v>
      </c>
      <c r="Q68" s="3" t="s">
        <v>68</v>
      </c>
      <c r="R68" s="3">
        <v>2</v>
      </c>
      <c r="S68" s="3" t="s">
        <v>52</v>
      </c>
      <c r="T68" s="3" t="s">
        <v>53</v>
      </c>
      <c r="U68" s="3" t="s">
        <v>54</v>
      </c>
      <c r="V68" s="7"/>
      <c r="W68" s="7"/>
      <c r="X68" s="7"/>
      <c r="Y68" s="7"/>
      <c r="Z68" s="3" t="s">
        <v>55</v>
      </c>
      <c r="AA68" s="3" t="s">
        <v>88</v>
      </c>
      <c r="AB68" s="3" t="s">
        <v>57</v>
      </c>
      <c r="AD68" s="3">
        <v>13.39</v>
      </c>
      <c r="AE68" s="3">
        <v>13.39</v>
      </c>
      <c r="AG68" s="12">
        <v>1.28</v>
      </c>
      <c r="AH68" s="12">
        <v>61.44</v>
      </c>
      <c r="AI68" s="8">
        <v>17.600000000000001</v>
      </c>
      <c r="AJ68" s="88">
        <v>49.915999999999997</v>
      </c>
      <c r="AK68" s="3" t="s">
        <v>58</v>
      </c>
      <c r="AL68" s="9">
        <f t="shared" si="1"/>
        <v>59.899199999999993</v>
      </c>
      <c r="AN68" t="s">
        <v>5519</v>
      </c>
      <c r="AO68" s="74" t="s">
        <v>5630</v>
      </c>
    </row>
    <row r="69" spans="1:41" ht="14.25" customHeight="1" x14ac:dyDescent="0.3">
      <c r="A69" s="3" t="s">
        <v>653</v>
      </c>
      <c r="B69" s="3" t="s">
        <v>716</v>
      </c>
      <c r="C69" s="3" t="s">
        <v>655</v>
      </c>
      <c r="D69" s="3" t="s">
        <v>717</v>
      </c>
      <c r="E69" s="3" t="s">
        <v>657</v>
      </c>
      <c r="F69" s="3" t="s">
        <v>41</v>
      </c>
      <c r="G69" s="5" t="s">
        <v>42</v>
      </c>
      <c r="H69" s="5" t="s">
        <v>43</v>
      </c>
      <c r="I69" s="5" t="s">
        <v>44</v>
      </c>
      <c r="J69" s="3" t="s">
        <v>45</v>
      </c>
      <c r="K69" s="3" t="s">
        <v>46</v>
      </c>
      <c r="L69" s="3" t="s">
        <v>242</v>
      </c>
      <c r="M69" s="3" t="s">
        <v>48</v>
      </c>
      <c r="N69" s="3" t="s">
        <v>703</v>
      </c>
      <c r="O69" s="69" t="s">
        <v>61</v>
      </c>
      <c r="P69" s="3" t="s">
        <v>50</v>
      </c>
      <c r="Q69" s="3" t="s">
        <v>68</v>
      </c>
      <c r="R69" s="3">
        <v>2</v>
      </c>
      <c r="S69" s="3" t="s">
        <v>52</v>
      </c>
      <c r="T69" s="3" t="s">
        <v>53</v>
      </c>
      <c r="U69" s="3" t="s">
        <v>54</v>
      </c>
      <c r="V69" s="7"/>
      <c r="W69" s="7"/>
      <c r="X69" s="7"/>
      <c r="Y69" s="7"/>
      <c r="Z69" s="3" t="s">
        <v>55</v>
      </c>
      <c r="AA69" s="3" t="s">
        <v>88</v>
      </c>
      <c r="AB69" s="3" t="s">
        <v>57</v>
      </c>
      <c r="AD69" s="3">
        <v>13.355</v>
      </c>
      <c r="AE69" s="3">
        <v>13.355</v>
      </c>
      <c r="AG69" s="12">
        <v>1.28</v>
      </c>
      <c r="AH69" s="12">
        <v>61.44</v>
      </c>
      <c r="AI69" s="8">
        <v>17.600000000000001</v>
      </c>
      <c r="AJ69" s="88">
        <v>49.915999999999997</v>
      </c>
      <c r="AK69" s="3" t="s">
        <v>58</v>
      </c>
      <c r="AL69" s="9">
        <f t="shared" si="1"/>
        <v>59.899199999999993</v>
      </c>
      <c r="AN69" t="s">
        <v>5519</v>
      </c>
      <c r="AO69" s="74" t="s">
        <v>5630</v>
      </c>
    </row>
    <row r="70" spans="1:41" ht="14.25" customHeight="1" x14ac:dyDescent="0.3">
      <c r="A70" s="3" t="s">
        <v>653</v>
      </c>
      <c r="B70" s="3" t="s">
        <v>718</v>
      </c>
      <c r="C70" s="3" t="s">
        <v>655</v>
      </c>
      <c r="D70" s="3" t="s">
        <v>719</v>
      </c>
      <c r="E70" s="3" t="s">
        <v>657</v>
      </c>
      <c r="F70" s="3" t="s">
        <v>41</v>
      </c>
      <c r="G70" s="5" t="s">
        <v>42</v>
      </c>
      <c r="H70" s="5" t="s">
        <v>43</v>
      </c>
      <c r="I70" s="5" t="s">
        <v>44</v>
      </c>
      <c r="J70" s="3" t="s">
        <v>45</v>
      </c>
      <c r="K70" s="3" t="s">
        <v>46</v>
      </c>
      <c r="L70" s="3" t="s">
        <v>242</v>
      </c>
      <c r="M70" s="3" t="s">
        <v>48</v>
      </c>
      <c r="N70" s="3" t="s">
        <v>658</v>
      </c>
      <c r="O70" s="69" t="s">
        <v>599</v>
      </c>
      <c r="P70" s="3" t="s">
        <v>50</v>
      </c>
      <c r="Q70" s="3" t="s">
        <v>68</v>
      </c>
      <c r="R70" s="3">
        <v>2</v>
      </c>
      <c r="S70" s="3" t="s">
        <v>52</v>
      </c>
      <c r="T70" s="3" t="s">
        <v>53</v>
      </c>
      <c r="U70" s="3" t="s">
        <v>54</v>
      </c>
      <c r="V70" s="7"/>
      <c r="W70" s="7"/>
      <c r="X70" s="7"/>
      <c r="Y70" s="7"/>
      <c r="Z70" s="3" t="s">
        <v>55</v>
      </c>
      <c r="AA70" s="3" t="s">
        <v>88</v>
      </c>
      <c r="AB70" s="3" t="s">
        <v>57</v>
      </c>
      <c r="AD70" s="3">
        <v>13.38</v>
      </c>
      <c r="AE70" s="3">
        <v>13.38</v>
      </c>
      <c r="AG70" s="12">
        <v>1.28</v>
      </c>
      <c r="AH70" s="12">
        <v>61.44</v>
      </c>
      <c r="AI70" s="8">
        <v>17.600000000000001</v>
      </c>
      <c r="AJ70" s="88">
        <v>49.915999999999997</v>
      </c>
      <c r="AK70" s="3" t="s">
        <v>58</v>
      </c>
      <c r="AL70" s="9">
        <f t="shared" si="1"/>
        <v>59.899199999999993</v>
      </c>
      <c r="AN70" t="s">
        <v>5519</v>
      </c>
      <c r="AO70" s="74" t="s">
        <v>5630</v>
      </c>
    </row>
    <row r="71" spans="1:41" ht="14.25" customHeight="1" x14ac:dyDescent="0.3">
      <c r="A71" s="3" t="s">
        <v>653</v>
      </c>
      <c r="B71" s="3" t="s">
        <v>720</v>
      </c>
      <c r="C71" s="3" t="s">
        <v>655</v>
      </c>
      <c r="D71" s="3" t="s">
        <v>721</v>
      </c>
      <c r="E71" s="3" t="s">
        <v>657</v>
      </c>
      <c r="F71" s="3" t="s">
        <v>41</v>
      </c>
      <c r="G71" s="5" t="s">
        <v>42</v>
      </c>
      <c r="H71" s="5" t="s">
        <v>43</v>
      </c>
      <c r="I71" s="5" t="s">
        <v>44</v>
      </c>
      <c r="J71" s="3" t="s">
        <v>45</v>
      </c>
      <c r="K71" s="3" t="s">
        <v>46</v>
      </c>
      <c r="L71" s="3" t="s">
        <v>242</v>
      </c>
      <c r="M71" s="3" t="s">
        <v>48</v>
      </c>
      <c r="N71" s="3" t="s">
        <v>680</v>
      </c>
      <c r="O71" s="69" t="s">
        <v>61</v>
      </c>
      <c r="P71" s="3" t="s">
        <v>50</v>
      </c>
      <c r="Q71" s="3" t="s">
        <v>68</v>
      </c>
      <c r="R71" s="3">
        <v>2</v>
      </c>
      <c r="S71" s="3" t="s">
        <v>52</v>
      </c>
      <c r="T71" s="3" t="s">
        <v>53</v>
      </c>
      <c r="U71" s="3" t="s">
        <v>54</v>
      </c>
      <c r="V71" s="7"/>
      <c r="W71" s="7"/>
      <c r="X71" s="7"/>
      <c r="Y71" s="7"/>
      <c r="Z71" s="3" t="s">
        <v>55</v>
      </c>
      <c r="AA71" s="3" t="s">
        <v>88</v>
      </c>
      <c r="AB71" s="3" t="s">
        <v>57</v>
      </c>
      <c r="AD71" s="3">
        <v>13.2</v>
      </c>
      <c r="AE71" s="3">
        <v>13.2</v>
      </c>
      <c r="AG71" s="12">
        <v>1.28</v>
      </c>
      <c r="AH71" s="12">
        <v>61.44</v>
      </c>
      <c r="AI71" s="8">
        <v>17.600000000000001</v>
      </c>
      <c r="AJ71" s="88">
        <v>49.915999999999997</v>
      </c>
      <c r="AK71" s="3" t="s">
        <v>58</v>
      </c>
      <c r="AL71" s="9">
        <f t="shared" si="1"/>
        <v>59.899199999999993</v>
      </c>
      <c r="AN71" t="s">
        <v>5519</v>
      </c>
      <c r="AO71" s="74" t="s">
        <v>5630</v>
      </c>
    </row>
    <row r="72" spans="1:41" ht="14.25" customHeight="1" x14ac:dyDescent="0.3">
      <c r="A72" s="3" t="s">
        <v>653</v>
      </c>
      <c r="B72" s="3" t="s">
        <v>722</v>
      </c>
      <c r="C72" s="3" t="s">
        <v>655</v>
      </c>
      <c r="D72" s="3" t="s">
        <v>723</v>
      </c>
      <c r="E72" s="3" t="s">
        <v>657</v>
      </c>
      <c r="F72" s="3" t="s">
        <v>41</v>
      </c>
      <c r="G72" s="5" t="s">
        <v>42</v>
      </c>
      <c r="H72" s="5" t="s">
        <v>43</v>
      </c>
      <c r="I72" s="5" t="s">
        <v>44</v>
      </c>
      <c r="J72" s="3" t="s">
        <v>45</v>
      </c>
      <c r="K72" s="3" t="s">
        <v>46</v>
      </c>
      <c r="L72" s="3" t="s">
        <v>242</v>
      </c>
      <c r="M72" s="3" t="s">
        <v>48</v>
      </c>
      <c r="N72" s="3" t="s">
        <v>683</v>
      </c>
      <c r="O72" s="69" t="s">
        <v>586</v>
      </c>
      <c r="P72" s="3" t="s">
        <v>50</v>
      </c>
      <c r="Q72" s="3" t="s">
        <v>68</v>
      </c>
      <c r="R72" s="3">
        <v>2</v>
      </c>
      <c r="S72" s="3" t="s">
        <v>52</v>
      </c>
      <c r="T72" s="3" t="s">
        <v>53</v>
      </c>
      <c r="U72" s="3" t="s">
        <v>54</v>
      </c>
      <c r="V72" s="7"/>
      <c r="W72" s="7"/>
      <c r="X72" s="7"/>
      <c r="Y72" s="7"/>
      <c r="Z72" s="3" t="s">
        <v>55</v>
      </c>
      <c r="AA72" s="3" t="s">
        <v>88</v>
      </c>
      <c r="AB72" s="3" t="s">
        <v>57</v>
      </c>
      <c r="AD72" s="3">
        <v>13.39</v>
      </c>
      <c r="AE72" s="3">
        <v>13.39</v>
      </c>
      <c r="AG72" s="12">
        <v>1.28</v>
      </c>
      <c r="AH72" s="12">
        <v>61.44</v>
      </c>
      <c r="AI72" s="8">
        <v>17.600000000000001</v>
      </c>
      <c r="AJ72" s="88">
        <v>49.915999999999997</v>
      </c>
      <c r="AK72" s="3" t="s">
        <v>58</v>
      </c>
      <c r="AL72" s="9">
        <f t="shared" si="1"/>
        <v>59.899199999999993</v>
      </c>
      <c r="AN72" t="s">
        <v>5519</v>
      </c>
      <c r="AO72" s="74" t="s">
        <v>5630</v>
      </c>
    </row>
    <row r="73" spans="1:41" ht="14.25" customHeight="1" x14ac:dyDescent="0.3">
      <c r="A73" s="3" t="s">
        <v>653</v>
      </c>
      <c r="B73" s="3" t="s">
        <v>724</v>
      </c>
      <c r="C73" s="3" t="s">
        <v>655</v>
      </c>
      <c r="D73" s="3" t="s">
        <v>725</v>
      </c>
      <c r="E73" s="3" t="s">
        <v>657</v>
      </c>
      <c r="F73" s="3" t="s">
        <v>41</v>
      </c>
      <c r="G73" s="5" t="s">
        <v>42</v>
      </c>
      <c r="H73" s="5" t="s">
        <v>43</v>
      </c>
      <c r="I73" s="5" t="s">
        <v>44</v>
      </c>
      <c r="J73" s="3" t="s">
        <v>45</v>
      </c>
      <c r="K73" s="3" t="s">
        <v>46</v>
      </c>
      <c r="L73" s="3" t="s">
        <v>242</v>
      </c>
      <c r="M73" s="3" t="s">
        <v>48</v>
      </c>
      <c r="N73" s="3" t="s">
        <v>700</v>
      </c>
      <c r="O73" s="69" t="s">
        <v>61</v>
      </c>
      <c r="P73" s="3" t="s">
        <v>50</v>
      </c>
      <c r="Q73" s="3" t="s">
        <v>68</v>
      </c>
      <c r="R73" s="3">
        <v>3</v>
      </c>
      <c r="S73" s="3" t="s">
        <v>52</v>
      </c>
      <c r="T73" s="3" t="s">
        <v>53</v>
      </c>
      <c r="U73" s="3" t="s">
        <v>54</v>
      </c>
      <c r="V73" s="7"/>
      <c r="W73" s="7"/>
      <c r="X73" s="7"/>
      <c r="Y73" s="7"/>
      <c r="Z73" s="3" t="s">
        <v>55</v>
      </c>
      <c r="AA73" s="3" t="s">
        <v>88</v>
      </c>
      <c r="AB73" s="3" t="s">
        <v>57</v>
      </c>
      <c r="AD73" s="3">
        <v>7.27</v>
      </c>
      <c r="AE73" s="3">
        <v>7.27</v>
      </c>
      <c r="AG73" s="12">
        <v>1.08</v>
      </c>
      <c r="AH73" s="12">
        <v>43.2</v>
      </c>
      <c r="AI73" s="8">
        <v>17.600000000000001</v>
      </c>
      <c r="AJ73" s="88">
        <v>49.915999999999997</v>
      </c>
      <c r="AK73" s="3" t="s">
        <v>58</v>
      </c>
      <c r="AL73" s="9">
        <f t="shared" si="1"/>
        <v>59.899199999999993</v>
      </c>
      <c r="AN73" t="s">
        <v>5519</v>
      </c>
      <c r="AO73" s="74" t="s">
        <v>5630</v>
      </c>
    </row>
    <row r="74" spans="1:41" ht="14.25" customHeight="1" x14ac:dyDescent="0.3">
      <c r="A74" s="3" t="s">
        <v>653</v>
      </c>
      <c r="B74" s="3" t="s">
        <v>654</v>
      </c>
      <c r="C74" s="3" t="s">
        <v>655</v>
      </c>
      <c r="D74" s="3" t="s">
        <v>656</v>
      </c>
      <c r="E74" s="3" t="s">
        <v>657</v>
      </c>
      <c r="F74" s="3" t="s">
        <v>41</v>
      </c>
      <c r="G74" s="5" t="s">
        <v>42</v>
      </c>
      <c r="H74" s="5" t="s">
        <v>43</v>
      </c>
      <c r="I74" s="5" t="s">
        <v>44</v>
      </c>
      <c r="J74" s="3" t="s">
        <v>45</v>
      </c>
      <c r="K74" s="3" t="s">
        <v>46</v>
      </c>
      <c r="L74" s="3" t="s">
        <v>132</v>
      </c>
      <c r="M74" s="3" t="s">
        <v>48</v>
      </c>
      <c r="N74" s="3" t="s">
        <v>658</v>
      </c>
      <c r="O74" s="70" t="s">
        <v>599</v>
      </c>
      <c r="P74" s="3" t="s">
        <v>50</v>
      </c>
      <c r="Q74" s="3" t="s">
        <v>68</v>
      </c>
      <c r="R74" s="3">
        <v>2</v>
      </c>
      <c r="S74" s="3" t="s">
        <v>52</v>
      </c>
      <c r="T74" s="3" t="s">
        <v>53</v>
      </c>
      <c r="U74" s="3" t="s">
        <v>54</v>
      </c>
      <c r="V74" s="7"/>
      <c r="W74" s="7"/>
      <c r="X74" s="7"/>
      <c r="Y74" s="7"/>
      <c r="Z74" s="3" t="s">
        <v>55</v>
      </c>
      <c r="AA74" s="3" t="s">
        <v>88</v>
      </c>
      <c r="AB74" s="3" t="s">
        <v>57</v>
      </c>
      <c r="AD74" s="3">
        <v>31.32</v>
      </c>
      <c r="AE74" s="3">
        <v>31.32</v>
      </c>
      <c r="AG74" s="12">
        <v>2.88</v>
      </c>
      <c r="AH74" s="12">
        <v>57.6</v>
      </c>
      <c r="AI74" s="3">
        <v>28.6</v>
      </c>
      <c r="AJ74" s="88">
        <v>66.582999999999998</v>
      </c>
      <c r="AK74" s="3" t="s">
        <v>58</v>
      </c>
      <c r="AL74" s="9">
        <f t="shared" si="1"/>
        <v>79.899599999999992</v>
      </c>
      <c r="AN74" t="s">
        <v>5519</v>
      </c>
      <c r="AO74" s="74" t="s">
        <v>5630</v>
      </c>
    </row>
    <row r="75" spans="1:41" ht="14.25" customHeight="1" x14ac:dyDescent="0.3">
      <c r="A75" s="3" t="s">
        <v>653</v>
      </c>
      <c r="B75" s="3" t="s">
        <v>659</v>
      </c>
      <c r="C75" s="3" t="s">
        <v>655</v>
      </c>
      <c r="D75" s="3" t="s">
        <v>660</v>
      </c>
      <c r="E75" s="3" t="s">
        <v>657</v>
      </c>
      <c r="F75" s="3" t="s">
        <v>41</v>
      </c>
      <c r="G75" s="5" t="s">
        <v>42</v>
      </c>
      <c r="H75" s="5" t="s">
        <v>43</v>
      </c>
      <c r="I75" s="5" t="s">
        <v>44</v>
      </c>
      <c r="J75" s="3" t="s">
        <v>45</v>
      </c>
      <c r="K75" s="3" t="s">
        <v>46</v>
      </c>
      <c r="L75" s="3" t="s">
        <v>132</v>
      </c>
      <c r="M75" s="3" t="s">
        <v>48</v>
      </c>
      <c r="N75" s="3" t="s">
        <v>661</v>
      </c>
      <c r="O75" s="70" t="s">
        <v>586</v>
      </c>
      <c r="P75" s="3" t="s">
        <v>50</v>
      </c>
      <c r="Q75" s="3" t="s">
        <v>68</v>
      </c>
      <c r="R75" s="3">
        <v>2</v>
      </c>
      <c r="S75" s="3" t="s">
        <v>52</v>
      </c>
      <c r="T75" s="3" t="s">
        <v>53</v>
      </c>
      <c r="U75" s="3" t="s">
        <v>54</v>
      </c>
      <c r="V75" s="7"/>
      <c r="W75" s="7"/>
      <c r="X75" s="7"/>
      <c r="Y75" s="7"/>
      <c r="Z75" s="3" t="s">
        <v>55</v>
      </c>
      <c r="AA75" s="3" t="s">
        <v>88</v>
      </c>
      <c r="AB75" s="3" t="s">
        <v>57</v>
      </c>
      <c r="AD75" s="3">
        <v>31.32</v>
      </c>
      <c r="AE75" s="3">
        <v>31.32</v>
      </c>
      <c r="AG75" s="12">
        <v>2.88</v>
      </c>
      <c r="AH75" s="12">
        <v>57.6</v>
      </c>
      <c r="AI75" s="3">
        <v>28.6</v>
      </c>
      <c r="AJ75" s="88">
        <v>66.582999999999998</v>
      </c>
      <c r="AK75" s="3" t="s">
        <v>58</v>
      </c>
      <c r="AL75" s="9">
        <f t="shared" si="1"/>
        <v>79.899599999999992</v>
      </c>
      <c r="AN75" t="s">
        <v>5519</v>
      </c>
      <c r="AO75" s="74" t="s">
        <v>5630</v>
      </c>
    </row>
    <row r="76" spans="1:41" ht="14.25" customHeight="1" x14ac:dyDescent="0.3">
      <c r="A76" s="3" t="s">
        <v>653</v>
      </c>
      <c r="B76" s="3" t="s">
        <v>662</v>
      </c>
      <c r="C76" s="3" t="s">
        <v>655</v>
      </c>
      <c r="D76" s="3" t="s">
        <v>663</v>
      </c>
      <c r="E76" s="3" t="s">
        <v>657</v>
      </c>
      <c r="F76" s="3" t="s">
        <v>41</v>
      </c>
      <c r="G76" s="5" t="s">
        <v>42</v>
      </c>
      <c r="H76" s="5" t="s">
        <v>43</v>
      </c>
      <c r="I76" s="5" t="s">
        <v>44</v>
      </c>
      <c r="J76" s="3" t="s">
        <v>45</v>
      </c>
      <c r="K76" s="3" t="s">
        <v>46</v>
      </c>
      <c r="L76" s="3" t="s">
        <v>132</v>
      </c>
      <c r="M76" s="3" t="s">
        <v>48</v>
      </c>
      <c r="N76" s="3" t="s">
        <v>664</v>
      </c>
      <c r="O76" s="69" t="s">
        <v>586</v>
      </c>
      <c r="P76" s="3" t="s">
        <v>50</v>
      </c>
      <c r="Q76" s="3" t="s">
        <v>68</v>
      </c>
      <c r="R76" s="3">
        <v>2</v>
      </c>
      <c r="S76" s="3" t="s">
        <v>52</v>
      </c>
      <c r="T76" s="3" t="s">
        <v>53</v>
      </c>
      <c r="U76" s="3" t="s">
        <v>54</v>
      </c>
      <c r="V76" s="7"/>
      <c r="W76" s="7"/>
      <c r="X76" s="7"/>
      <c r="Y76" s="7"/>
      <c r="Z76" s="3" t="s">
        <v>55</v>
      </c>
      <c r="AA76" s="3" t="s">
        <v>88</v>
      </c>
      <c r="AB76" s="3" t="s">
        <v>57</v>
      </c>
      <c r="AD76" s="3">
        <v>31.07</v>
      </c>
      <c r="AE76" s="3">
        <v>31.07</v>
      </c>
      <c r="AG76" s="12">
        <v>2.88</v>
      </c>
      <c r="AH76" s="12">
        <v>57.6</v>
      </c>
      <c r="AI76" s="3">
        <v>28.6</v>
      </c>
      <c r="AJ76" s="88">
        <v>66.582999999999998</v>
      </c>
      <c r="AK76" s="3" t="s">
        <v>58</v>
      </c>
      <c r="AL76" s="9">
        <f t="shared" si="1"/>
        <v>79.899599999999992</v>
      </c>
      <c r="AN76" t="s">
        <v>5519</v>
      </c>
      <c r="AO76" s="74" t="s">
        <v>5630</v>
      </c>
    </row>
    <row r="77" spans="1:41" ht="14.25" customHeight="1" x14ac:dyDescent="0.3">
      <c r="A77" s="3" t="s">
        <v>653</v>
      </c>
      <c r="B77" s="3" t="s">
        <v>665</v>
      </c>
      <c r="C77" s="3" t="s">
        <v>655</v>
      </c>
      <c r="D77" s="3" t="s">
        <v>666</v>
      </c>
      <c r="E77" s="3" t="s">
        <v>657</v>
      </c>
      <c r="F77" s="3" t="s">
        <v>41</v>
      </c>
      <c r="G77" s="5" t="s">
        <v>42</v>
      </c>
      <c r="H77" s="5" t="s">
        <v>43</v>
      </c>
      <c r="I77" s="5" t="s">
        <v>44</v>
      </c>
      <c r="J77" s="3" t="s">
        <v>45</v>
      </c>
      <c r="K77" s="3" t="s">
        <v>46</v>
      </c>
      <c r="L77" s="3" t="s">
        <v>132</v>
      </c>
      <c r="M77" s="3" t="s">
        <v>48</v>
      </c>
      <c r="N77" s="3" t="s">
        <v>667</v>
      </c>
      <c r="O77" s="69" t="s">
        <v>586</v>
      </c>
      <c r="P77" s="3" t="s">
        <v>50</v>
      </c>
      <c r="Q77" s="3" t="s">
        <v>68</v>
      </c>
      <c r="R77" s="3">
        <v>2</v>
      </c>
      <c r="S77" s="3" t="s">
        <v>52</v>
      </c>
      <c r="T77" s="3" t="s">
        <v>53</v>
      </c>
      <c r="U77" s="3" t="s">
        <v>54</v>
      </c>
      <c r="V77" s="7"/>
      <c r="W77" s="7"/>
      <c r="X77" s="7"/>
      <c r="Y77" s="7"/>
      <c r="Z77" s="3" t="s">
        <v>55</v>
      </c>
      <c r="AA77" s="3" t="s">
        <v>88</v>
      </c>
      <c r="AB77" s="3" t="s">
        <v>57</v>
      </c>
      <c r="AD77" s="3">
        <v>30.78</v>
      </c>
      <c r="AE77" s="3">
        <v>30.78</v>
      </c>
      <c r="AG77" s="12">
        <v>2.88</v>
      </c>
      <c r="AH77" s="12">
        <v>57.6</v>
      </c>
      <c r="AI77" s="3">
        <v>28.6</v>
      </c>
      <c r="AJ77" s="88">
        <v>66.582999999999998</v>
      </c>
      <c r="AK77" s="3" t="s">
        <v>58</v>
      </c>
      <c r="AL77" s="9">
        <f t="shared" si="1"/>
        <v>79.899599999999992</v>
      </c>
      <c r="AN77" t="s">
        <v>5519</v>
      </c>
      <c r="AO77" s="74" t="s">
        <v>5630</v>
      </c>
    </row>
    <row r="78" spans="1:41" ht="14.25" customHeight="1" x14ac:dyDescent="0.3">
      <c r="A78" s="3" t="s">
        <v>653</v>
      </c>
      <c r="B78" s="3" t="s">
        <v>668</v>
      </c>
      <c r="C78" s="3" t="s">
        <v>655</v>
      </c>
      <c r="D78" s="3" t="s">
        <v>669</v>
      </c>
      <c r="E78" s="3" t="s">
        <v>657</v>
      </c>
      <c r="F78" s="3" t="s">
        <v>41</v>
      </c>
      <c r="G78" s="5" t="s">
        <v>42</v>
      </c>
      <c r="H78" s="5" t="s">
        <v>43</v>
      </c>
      <c r="I78" s="5" t="s">
        <v>44</v>
      </c>
      <c r="J78" s="3" t="s">
        <v>45</v>
      </c>
      <c r="K78" s="3" t="s">
        <v>46</v>
      </c>
      <c r="L78" s="3" t="s">
        <v>132</v>
      </c>
      <c r="M78" s="3" t="s">
        <v>48</v>
      </c>
      <c r="N78" s="3" t="s">
        <v>670</v>
      </c>
      <c r="O78" s="69" t="s">
        <v>61</v>
      </c>
      <c r="P78" s="3" t="s">
        <v>50</v>
      </c>
      <c r="Q78" s="3" t="s">
        <v>68</v>
      </c>
      <c r="R78" s="3">
        <v>2</v>
      </c>
      <c r="S78" s="3" t="s">
        <v>52</v>
      </c>
      <c r="T78" s="3" t="s">
        <v>53</v>
      </c>
      <c r="U78" s="3" t="s">
        <v>54</v>
      </c>
      <c r="V78" s="7"/>
      <c r="W78" s="7"/>
      <c r="X78" s="7"/>
      <c r="Y78" s="7"/>
      <c r="Z78" s="3" t="s">
        <v>55</v>
      </c>
      <c r="AA78" s="3" t="s">
        <v>88</v>
      </c>
      <c r="AB78" s="3" t="s">
        <v>57</v>
      </c>
      <c r="AD78" s="3">
        <v>31.32</v>
      </c>
      <c r="AE78" s="3">
        <v>31.32</v>
      </c>
      <c r="AG78" s="12">
        <v>2.88</v>
      </c>
      <c r="AH78" s="12">
        <v>57.6</v>
      </c>
      <c r="AI78" s="3">
        <v>28.6</v>
      </c>
      <c r="AJ78" s="88">
        <v>66.582999999999998</v>
      </c>
      <c r="AK78" s="3" t="s">
        <v>58</v>
      </c>
      <c r="AL78" s="9">
        <f t="shared" si="1"/>
        <v>79.899599999999992</v>
      </c>
      <c r="AN78" t="s">
        <v>5519</v>
      </c>
      <c r="AO78" s="74" t="s">
        <v>5630</v>
      </c>
    </row>
    <row r="79" spans="1:41" ht="14.25" customHeight="1" x14ac:dyDescent="0.3">
      <c r="A79" s="3" t="s">
        <v>653</v>
      </c>
      <c r="B79" s="3" t="s">
        <v>671</v>
      </c>
      <c r="C79" s="3" t="s">
        <v>655</v>
      </c>
      <c r="D79" s="3" t="s">
        <v>672</v>
      </c>
      <c r="E79" s="3" t="s">
        <v>657</v>
      </c>
      <c r="F79" s="3" t="s">
        <v>41</v>
      </c>
      <c r="G79" s="5" t="s">
        <v>42</v>
      </c>
      <c r="H79" s="5" t="s">
        <v>43</v>
      </c>
      <c r="I79" s="5" t="s">
        <v>44</v>
      </c>
      <c r="J79" s="3" t="s">
        <v>45</v>
      </c>
      <c r="K79" s="3" t="s">
        <v>46</v>
      </c>
      <c r="L79" s="3" t="s">
        <v>132</v>
      </c>
      <c r="M79" s="3" t="s">
        <v>48</v>
      </c>
      <c r="N79" s="3" t="s">
        <v>673</v>
      </c>
      <c r="O79" s="69" t="s">
        <v>61</v>
      </c>
      <c r="P79" s="3" t="s">
        <v>50</v>
      </c>
      <c r="Q79" s="3" t="s">
        <v>68</v>
      </c>
      <c r="R79" s="3">
        <v>2</v>
      </c>
      <c r="S79" s="3" t="s">
        <v>52</v>
      </c>
      <c r="T79" s="3" t="s">
        <v>53</v>
      </c>
      <c r="U79" s="3" t="s">
        <v>54</v>
      </c>
      <c r="V79" s="7"/>
      <c r="W79" s="7"/>
      <c r="X79" s="7"/>
      <c r="Y79" s="7"/>
      <c r="Z79" s="3" t="s">
        <v>55</v>
      </c>
      <c r="AA79" s="3" t="s">
        <v>88</v>
      </c>
      <c r="AB79" s="3" t="s">
        <v>57</v>
      </c>
      <c r="AD79" s="3">
        <v>31.05</v>
      </c>
      <c r="AE79" s="3">
        <v>31.05</v>
      </c>
      <c r="AG79" s="12">
        <v>2.88</v>
      </c>
      <c r="AH79" s="12">
        <v>57.6</v>
      </c>
      <c r="AI79" s="3">
        <v>28.6</v>
      </c>
      <c r="AJ79" s="88">
        <v>66.582999999999998</v>
      </c>
      <c r="AK79" s="3" t="s">
        <v>58</v>
      </c>
      <c r="AL79" s="9">
        <f t="shared" si="1"/>
        <v>79.899599999999992</v>
      </c>
      <c r="AN79" t="s">
        <v>5519</v>
      </c>
      <c r="AO79" s="74" t="s">
        <v>5630</v>
      </c>
    </row>
    <row r="80" spans="1:41" ht="14.25" customHeight="1" x14ac:dyDescent="0.3">
      <c r="A80" s="3" t="s">
        <v>653</v>
      </c>
      <c r="B80" s="3" t="s">
        <v>674</v>
      </c>
      <c r="C80" s="3" t="s">
        <v>655</v>
      </c>
      <c r="D80" s="3" t="s">
        <v>675</v>
      </c>
      <c r="E80" s="3" t="s">
        <v>657</v>
      </c>
      <c r="F80" s="3" t="s">
        <v>41</v>
      </c>
      <c r="G80" s="5" t="s">
        <v>42</v>
      </c>
      <c r="H80" s="5" t="s">
        <v>43</v>
      </c>
      <c r="I80" s="5" t="s">
        <v>44</v>
      </c>
      <c r="J80" s="3" t="s">
        <v>45</v>
      </c>
      <c r="K80" s="3" t="s">
        <v>46</v>
      </c>
      <c r="L80" s="3" t="s">
        <v>132</v>
      </c>
      <c r="M80" s="3" t="s">
        <v>48</v>
      </c>
      <c r="N80" s="3" t="s">
        <v>700</v>
      </c>
      <c r="O80" s="69" t="s">
        <v>61</v>
      </c>
      <c r="P80" s="3" t="s">
        <v>50</v>
      </c>
      <c r="Q80" s="3" t="s">
        <v>68</v>
      </c>
      <c r="R80" s="3">
        <v>2</v>
      </c>
      <c r="S80" s="3" t="s">
        <v>52</v>
      </c>
      <c r="T80" s="3" t="s">
        <v>53</v>
      </c>
      <c r="U80" s="3" t="s">
        <v>54</v>
      </c>
      <c r="V80" s="7"/>
      <c r="W80" s="7"/>
      <c r="X80" s="7"/>
      <c r="Y80" s="7"/>
      <c r="Z80" s="3" t="s">
        <v>55</v>
      </c>
      <c r="AA80" s="3" t="s">
        <v>88</v>
      </c>
      <c r="AB80" s="3" t="s">
        <v>57</v>
      </c>
      <c r="AD80" s="3">
        <v>31.43</v>
      </c>
      <c r="AE80" s="3">
        <v>31.43</v>
      </c>
      <c r="AG80" s="12">
        <v>2.88</v>
      </c>
      <c r="AH80" s="12">
        <v>57.6</v>
      </c>
      <c r="AI80" s="3">
        <v>28.6</v>
      </c>
      <c r="AJ80" s="88">
        <v>66.582999999999998</v>
      </c>
      <c r="AK80" s="3" t="s">
        <v>58</v>
      </c>
      <c r="AL80" s="9">
        <f t="shared" si="1"/>
        <v>79.899599999999992</v>
      </c>
      <c r="AN80" t="s">
        <v>5519</v>
      </c>
      <c r="AO80" s="74" t="s">
        <v>5630</v>
      </c>
    </row>
    <row r="81" spans="1:41" ht="14.25" customHeight="1" x14ac:dyDescent="0.3">
      <c r="A81" s="3" t="s">
        <v>653</v>
      </c>
      <c r="B81" s="3" t="s">
        <v>676</v>
      </c>
      <c r="C81" s="3" t="s">
        <v>655</v>
      </c>
      <c r="D81" s="3" t="s">
        <v>677</v>
      </c>
      <c r="E81" s="3" t="s">
        <v>657</v>
      </c>
      <c r="F81" s="3" t="s">
        <v>41</v>
      </c>
      <c r="G81" s="5" t="s">
        <v>42</v>
      </c>
      <c r="H81" s="5" t="s">
        <v>43</v>
      </c>
      <c r="I81" s="5" t="s">
        <v>44</v>
      </c>
      <c r="J81" s="3" t="s">
        <v>45</v>
      </c>
      <c r="K81" s="3" t="s">
        <v>46</v>
      </c>
      <c r="L81" s="3" t="s">
        <v>132</v>
      </c>
      <c r="M81" s="3" t="s">
        <v>48</v>
      </c>
      <c r="N81" s="3" t="s">
        <v>703</v>
      </c>
      <c r="O81" s="69" t="s">
        <v>61</v>
      </c>
      <c r="P81" s="3" t="s">
        <v>50</v>
      </c>
      <c r="Q81" s="3" t="s">
        <v>68</v>
      </c>
      <c r="R81" s="3">
        <v>2</v>
      </c>
      <c r="S81" s="3" t="s">
        <v>52</v>
      </c>
      <c r="T81" s="3" t="s">
        <v>53</v>
      </c>
      <c r="U81" s="3" t="s">
        <v>54</v>
      </c>
      <c r="V81" s="7"/>
      <c r="W81" s="7"/>
      <c r="X81" s="7"/>
      <c r="Y81" s="7"/>
      <c r="Z81" s="3" t="s">
        <v>55</v>
      </c>
      <c r="AA81" s="3" t="s">
        <v>88</v>
      </c>
      <c r="AB81" s="3" t="s">
        <v>57</v>
      </c>
      <c r="AD81" s="3">
        <v>30.35</v>
      </c>
      <c r="AE81" s="3">
        <v>30.35</v>
      </c>
      <c r="AG81" s="12">
        <v>2.88</v>
      </c>
      <c r="AH81" s="12">
        <v>57.6</v>
      </c>
      <c r="AI81" s="3">
        <v>28.6</v>
      </c>
      <c r="AJ81" s="88">
        <v>66.582999999999998</v>
      </c>
      <c r="AK81" s="3" t="s">
        <v>58</v>
      </c>
      <c r="AL81" s="9">
        <f t="shared" si="1"/>
        <v>79.899599999999992</v>
      </c>
      <c r="AN81" t="s">
        <v>5519</v>
      </c>
      <c r="AO81" s="74" t="s">
        <v>5630</v>
      </c>
    </row>
    <row r="82" spans="1:41" ht="14.25" customHeight="1" x14ac:dyDescent="0.3">
      <c r="A82" s="3" t="s">
        <v>653</v>
      </c>
      <c r="B82" s="3" t="s">
        <v>678</v>
      </c>
      <c r="C82" s="3" t="s">
        <v>655</v>
      </c>
      <c r="D82" s="3" t="s">
        <v>679</v>
      </c>
      <c r="E82" s="3" t="s">
        <v>657</v>
      </c>
      <c r="F82" s="3" t="s">
        <v>41</v>
      </c>
      <c r="G82" s="5" t="s">
        <v>42</v>
      </c>
      <c r="H82" s="5" t="s">
        <v>43</v>
      </c>
      <c r="I82" s="5" t="s">
        <v>44</v>
      </c>
      <c r="J82" s="3" t="s">
        <v>45</v>
      </c>
      <c r="K82" s="3" t="s">
        <v>46</v>
      </c>
      <c r="L82" s="3" t="s">
        <v>132</v>
      </c>
      <c r="M82" s="3" t="s">
        <v>48</v>
      </c>
      <c r="N82" s="3" t="s">
        <v>680</v>
      </c>
      <c r="O82" s="69" t="s">
        <v>61</v>
      </c>
      <c r="P82" s="3" t="s">
        <v>50</v>
      </c>
      <c r="Q82" s="3" t="s">
        <v>68</v>
      </c>
      <c r="R82" s="3">
        <v>2</v>
      </c>
      <c r="S82" s="3" t="s">
        <v>52</v>
      </c>
      <c r="T82" s="3" t="s">
        <v>53</v>
      </c>
      <c r="U82" s="3" t="s">
        <v>54</v>
      </c>
      <c r="V82" s="7"/>
      <c r="W82" s="7"/>
      <c r="X82" s="7"/>
      <c r="Y82" s="7"/>
      <c r="Z82" s="3" t="s">
        <v>55</v>
      </c>
      <c r="AA82" s="3" t="s">
        <v>88</v>
      </c>
      <c r="AB82" s="3" t="s">
        <v>57</v>
      </c>
      <c r="AD82" s="3">
        <v>31.26</v>
      </c>
      <c r="AE82" s="3">
        <v>31.26</v>
      </c>
      <c r="AG82" s="12">
        <v>2.88</v>
      </c>
      <c r="AH82" s="12">
        <v>57.6</v>
      </c>
      <c r="AI82" s="3">
        <v>28.6</v>
      </c>
      <c r="AJ82" s="88">
        <v>66.582999999999998</v>
      </c>
      <c r="AK82" s="3" t="s">
        <v>58</v>
      </c>
      <c r="AL82" s="9">
        <f t="shared" si="1"/>
        <v>79.899599999999992</v>
      </c>
      <c r="AN82" t="s">
        <v>5519</v>
      </c>
      <c r="AO82" s="74" t="s">
        <v>5630</v>
      </c>
    </row>
    <row r="83" spans="1:41" ht="14.25" customHeight="1" x14ac:dyDescent="0.3">
      <c r="A83" s="3" t="s">
        <v>653</v>
      </c>
      <c r="B83" s="3" t="s">
        <v>681</v>
      </c>
      <c r="C83" s="3" t="s">
        <v>655</v>
      </c>
      <c r="D83" s="3" t="s">
        <v>682</v>
      </c>
      <c r="E83" s="3" t="s">
        <v>657</v>
      </c>
      <c r="F83" s="3" t="s">
        <v>41</v>
      </c>
      <c r="G83" s="5" t="s">
        <v>42</v>
      </c>
      <c r="H83" s="5" t="s">
        <v>43</v>
      </c>
      <c r="I83" s="5" t="s">
        <v>44</v>
      </c>
      <c r="J83" s="3" t="s">
        <v>45</v>
      </c>
      <c r="K83" s="3" t="s">
        <v>46</v>
      </c>
      <c r="L83" s="3" t="s">
        <v>132</v>
      </c>
      <c r="M83" s="3" t="s">
        <v>48</v>
      </c>
      <c r="N83" s="3" t="s">
        <v>683</v>
      </c>
      <c r="O83" s="69" t="s">
        <v>586</v>
      </c>
      <c r="P83" s="3" t="s">
        <v>50</v>
      </c>
      <c r="Q83" s="3" t="s">
        <v>68</v>
      </c>
      <c r="R83" s="3">
        <v>2</v>
      </c>
      <c r="S83" s="3" t="s">
        <v>52</v>
      </c>
      <c r="T83" s="3" t="s">
        <v>53</v>
      </c>
      <c r="U83" s="3" t="s">
        <v>54</v>
      </c>
      <c r="V83" s="7"/>
      <c r="W83" s="7"/>
      <c r="X83" s="7"/>
      <c r="Y83" s="7"/>
      <c r="Z83" s="3" t="s">
        <v>55</v>
      </c>
      <c r="AA83" s="3" t="s">
        <v>88</v>
      </c>
      <c r="AB83" s="3" t="s">
        <v>57</v>
      </c>
      <c r="AD83" s="3">
        <v>31.26</v>
      </c>
      <c r="AE83" s="3">
        <v>31.26</v>
      </c>
      <c r="AG83" s="3">
        <v>2.88</v>
      </c>
      <c r="AH83" s="3">
        <v>57.6</v>
      </c>
      <c r="AI83" s="3">
        <v>28.6</v>
      </c>
      <c r="AJ83" s="88">
        <v>66.582999999999998</v>
      </c>
      <c r="AK83" s="3" t="s">
        <v>58</v>
      </c>
      <c r="AL83" s="9">
        <f t="shared" si="1"/>
        <v>79.899599999999992</v>
      </c>
      <c r="AN83" t="s">
        <v>5519</v>
      </c>
      <c r="AO83" s="74" t="s">
        <v>5630</v>
      </c>
    </row>
    <row r="84" spans="1:41" ht="14.25" customHeight="1" x14ac:dyDescent="0.3">
      <c r="A84" s="3" t="s">
        <v>36</v>
      </c>
      <c r="B84" s="3" t="s">
        <v>65</v>
      </c>
      <c r="C84" s="3" t="s">
        <v>38</v>
      </c>
      <c r="D84" s="4" t="s">
        <v>66</v>
      </c>
      <c r="E84" s="3" t="s">
        <v>40</v>
      </c>
      <c r="F84" s="3" t="s">
        <v>41</v>
      </c>
      <c r="G84" s="5" t="s">
        <v>42</v>
      </c>
      <c r="H84" s="5" t="s">
        <v>43</v>
      </c>
      <c r="I84" s="5" t="s">
        <v>44</v>
      </c>
      <c r="J84" s="3" t="s">
        <v>45</v>
      </c>
      <c r="K84" s="3" t="s">
        <v>46</v>
      </c>
      <c r="L84" s="3" t="s">
        <v>67</v>
      </c>
      <c r="M84" s="3" t="s">
        <v>48</v>
      </c>
      <c r="N84" s="4" t="s">
        <v>49</v>
      </c>
      <c r="O84" s="67" t="s">
        <v>49</v>
      </c>
      <c r="P84" s="3" t="s">
        <v>50</v>
      </c>
      <c r="Q84" s="3" t="s">
        <v>68</v>
      </c>
      <c r="R84" s="6">
        <v>4</v>
      </c>
      <c r="S84" s="3" t="s">
        <v>52</v>
      </c>
      <c r="T84" s="3" t="s">
        <v>53</v>
      </c>
      <c r="U84" s="3" t="s">
        <v>54</v>
      </c>
      <c r="V84" s="7"/>
      <c r="W84" s="7"/>
      <c r="X84" s="7"/>
      <c r="Y84" s="7"/>
      <c r="Z84" s="3" t="s">
        <v>55</v>
      </c>
      <c r="AA84" s="3" t="s">
        <v>56</v>
      </c>
      <c r="AB84" s="3" t="s">
        <v>57</v>
      </c>
      <c r="AD84" s="8">
        <v>20.181999999999999</v>
      </c>
      <c r="AE84" s="8">
        <v>20.616</v>
      </c>
      <c r="AG84" s="3">
        <v>1.44</v>
      </c>
      <c r="AH84" s="3">
        <v>46.08</v>
      </c>
      <c r="AI84" s="3">
        <v>11.79</v>
      </c>
      <c r="AJ84" s="88">
        <v>30.75</v>
      </c>
      <c r="AK84" s="3" t="s">
        <v>58</v>
      </c>
      <c r="AL84" s="9">
        <f t="shared" si="1"/>
        <v>36.9</v>
      </c>
      <c r="AN84" t="s">
        <v>5519</v>
      </c>
      <c r="AO84" s="74" t="s">
        <v>5636</v>
      </c>
    </row>
    <row r="85" spans="1:41" ht="14.25" customHeight="1" x14ac:dyDescent="0.3">
      <c r="A85" s="3" t="s">
        <v>36</v>
      </c>
      <c r="B85" s="3" t="s">
        <v>69</v>
      </c>
      <c r="C85" s="3" t="s">
        <v>38</v>
      </c>
      <c r="D85" s="4" t="s">
        <v>70</v>
      </c>
      <c r="E85" s="3" t="s">
        <v>40</v>
      </c>
      <c r="F85" s="3" t="s">
        <v>41</v>
      </c>
      <c r="G85" s="5" t="s">
        <v>42</v>
      </c>
      <c r="H85" s="5" t="s">
        <v>43</v>
      </c>
      <c r="I85" s="5" t="s">
        <v>44</v>
      </c>
      <c r="J85" s="3" t="s">
        <v>45</v>
      </c>
      <c r="K85" s="3" t="s">
        <v>46</v>
      </c>
      <c r="L85" s="3" t="s">
        <v>67</v>
      </c>
      <c r="M85" s="3" t="s">
        <v>48</v>
      </c>
      <c r="N85" s="4" t="s">
        <v>61</v>
      </c>
      <c r="O85" s="68" t="s">
        <v>61</v>
      </c>
      <c r="P85" s="3" t="s">
        <v>50</v>
      </c>
      <c r="Q85" s="3" t="s">
        <v>68</v>
      </c>
      <c r="R85" s="6">
        <v>4</v>
      </c>
      <c r="S85" s="3" t="s">
        <v>52</v>
      </c>
      <c r="T85" s="3" t="s">
        <v>53</v>
      </c>
      <c r="U85" s="3" t="s">
        <v>54</v>
      </c>
      <c r="V85" s="7"/>
      <c r="W85" s="7"/>
      <c r="X85" s="7"/>
      <c r="Y85" s="7"/>
      <c r="Z85" s="3" t="s">
        <v>55</v>
      </c>
      <c r="AA85" s="3" t="s">
        <v>56</v>
      </c>
      <c r="AB85" s="3" t="s">
        <v>57</v>
      </c>
      <c r="AD85" s="8">
        <v>20.181999999999999</v>
      </c>
      <c r="AE85" s="8">
        <v>20.616</v>
      </c>
      <c r="AG85" s="3">
        <v>1.44</v>
      </c>
      <c r="AH85" s="3">
        <v>46.08</v>
      </c>
      <c r="AI85" s="3">
        <v>11.79</v>
      </c>
      <c r="AJ85" s="88">
        <v>30.75</v>
      </c>
      <c r="AK85" s="3" t="s">
        <v>58</v>
      </c>
      <c r="AL85" s="9">
        <f t="shared" si="1"/>
        <v>36.9</v>
      </c>
      <c r="AN85" t="s">
        <v>5519</v>
      </c>
      <c r="AO85" s="74" t="s">
        <v>5636</v>
      </c>
    </row>
    <row r="86" spans="1:41" ht="14.25" customHeight="1" x14ac:dyDescent="0.3">
      <c r="A86" s="3" t="s">
        <v>36</v>
      </c>
      <c r="B86" s="3" t="s">
        <v>71</v>
      </c>
      <c r="C86" s="3" t="s">
        <v>38</v>
      </c>
      <c r="D86" s="4" t="s">
        <v>72</v>
      </c>
      <c r="E86" s="3" t="s">
        <v>40</v>
      </c>
      <c r="F86" s="3" t="s">
        <v>41</v>
      </c>
      <c r="G86" s="5" t="s">
        <v>42</v>
      </c>
      <c r="H86" s="5" t="s">
        <v>43</v>
      </c>
      <c r="I86" s="5" t="s">
        <v>44</v>
      </c>
      <c r="J86" s="3" t="s">
        <v>45</v>
      </c>
      <c r="K86" s="3" t="s">
        <v>46</v>
      </c>
      <c r="L86" s="3" t="s">
        <v>67</v>
      </c>
      <c r="M86" s="3" t="s">
        <v>48</v>
      </c>
      <c r="N86" s="4" t="s">
        <v>64</v>
      </c>
      <c r="O86" s="68" t="s">
        <v>64</v>
      </c>
      <c r="P86" s="3" t="s">
        <v>50</v>
      </c>
      <c r="Q86" s="3" t="s">
        <v>68</v>
      </c>
      <c r="R86" s="6">
        <v>4</v>
      </c>
      <c r="S86" s="3" t="s">
        <v>52</v>
      </c>
      <c r="T86" s="3" t="s">
        <v>53</v>
      </c>
      <c r="U86" s="3" t="s">
        <v>54</v>
      </c>
      <c r="V86" s="7"/>
      <c r="W86" s="7"/>
      <c r="X86" s="7"/>
      <c r="Y86" s="7"/>
      <c r="Z86" s="3" t="s">
        <v>55</v>
      </c>
      <c r="AA86" s="3" t="s">
        <v>56</v>
      </c>
      <c r="AB86" s="3" t="s">
        <v>57</v>
      </c>
      <c r="AD86" s="8">
        <v>20.181999999999999</v>
      </c>
      <c r="AE86" s="8">
        <v>20.616</v>
      </c>
      <c r="AG86" s="3">
        <v>1.44</v>
      </c>
      <c r="AH86" s="3">
        <v>46.08</v>
      </c>
      <c r="AI86" s="3">
        <v>11.79</v>
      </c>
      <c r="AJ86" s="88">
        <v>30.75</v>
      </c>
      <c r="AK86" s="3" t="s">
        <v>58</v>
      </c>
      <c r="AL86" s="9">
        <f t="shared" si="1"/>
        <v>36.9</v>
      </c>
      <c r="AN86" t="s">
        <v>5519</v>
      </c>
      <c r="AO86" s="74" t="s">
        <v>5636</v>
      </c>
    </row>
    <row r="87" spans="1:41" ht="14.25" customHeight="1" x14ac:dyDescent="0.3">
      <c r="A87" s="3" t="s">
        <v>36</v>
      </c>
      <c r="B87" s="3" t="s">
        <v>37</v>
      </c>
      <c r="C87" s="3" t="s">
        <v>38</v>
      </c>
      <c r="D87" s="4" t="s">
        <v>39</v>
      </c>
      <c r="E87" s="3" t="s">
        <v>40</v>
      </c>
      <c r="F87" s="3" t="s">
        <v>41</v>
      </c>
      <c r="G87" s="5" t="s">
        <v>42</v>
      </c>
      <c r="H87" s="5" t="s">
        <v>43</v>
      </c>
      <c r="I87" s="5" t="s">
        <v>44</v>
      </c>
      <c r="J87" s="3" t="s">
        <v>45</v>
      </c>
      <c r="K87" s="3" t="s">
        <v>46</v>
      </c>
      <c r="L87" s="3" t="s">
        <v>47</v>
      </c>
      <c r="M87" s="3" t="s">
        <v>48</v>
      </c>
      <c r="N87" s="4" t="s">
        <v>49</v>
      </c>
      <c r="O87" s="68" t="s">
        <v>49</v>
      </c>
      <c r="P87" s="3" t="s">
        <v>50</v>
      </c>
      <c r="Q87" s="3" t="s">
        <v>51</v>
      </c>
      <c r="R87" s="6">
        <v>2</v>
      </c>
      <c r="S87" s="3" t="s">
        <v>52</v>
      </c>
      <c r="T87" s="3" t="s">
        <v>53</v>
      </c>
      <c r="U87" s="3" t="s">
        <v>54</v>
      </c>
      <c r="V87" s="7"/>
      <c r="W87" s="7"/>
      <c r="X87" s="7"/>
      <c r="Y87" s="7"/>
      <c r="Z87" s="3" t="s">
        <v>55</v>
      </c>
      <c r="AA87" s="3" t="s">
        <v>56</v>
      </c>
      <c r="AB87" s="3" t="s">
        <v>57</v>
      </c>
      <c r="AD87" s="8">
        <v>20.100000000000001</v>
      </c>
      <c r="AE87" s="8">
        <v>20.486000000000001</v>
      </c>
      <c r="AG87" s="3">
        <v>1.44</v>
      </c>
      <c r="AH87" s="3">
        <v>51.84</v>
      </c>
      <c r="AI87" s="3">
        <v>12.96</v>
      </c>
      <c r="AJ87" s="88">
        <v>35.75</v>
      </c>
      <c r="AK87" s="3" t="s">
        <v>58</v>
      </c>
      <c r="AL87" s="9">
        <f t="shared" si="1"/>
        <v>42.9</v>
      </c>
      <c r="AN87" t="s">
        <v>5519</v>
      </c>
      <c r="AO87" s="74" t="s">
        <v>5636</v>
      </c>
    </row>
    <row r="88" spans="1:41" ht="14.25" customHeight="1" x14ac:dyDescent="0.3">
      <c r="A88" s="3" t="s">
        <v>36</v>
      </c>
      <c r="B88" s="3" t="s">
        <v>59</v>
      </c>
      <c r="C88" s="3" t="s">
        <v>38</v>
      </c>
      <c r="D88" s="4" t="s">
        <v>60</v>
      </c>
      <c r="E88" s="3" t="s">
        <v>40</v>
      </c>
      <c r="F88" s="3" t="s">
        <v>41</v>
      </c>
      <c r="G88" s="5" t="s">
        <v>42</v>
      </c>
      <c r="H88" s="5" t="s">
        <v>43</v>
      </c>
      <c r="I88" s="5" t="s">
        <v>44</v>
      </c>
      <c r="J88" s="3" t="s">
        <v>45</v>
      </c>
      <c r="K88" s="3" t="s">
        <v>46</v>
      </c>
      <c r="L88" s="3" t="s">
        <v>47</v>
      </c>
      <c r="M88" s="3" t="s">
        <v>48</v>
      </c>
      <c r="N88" s="4" t="s">
        <v>61</v>
      </c>
      <c r="O88" s="68" t="s">
        <v>61</v>
      </c>
      <c r="P88" s="3" t="s">
        <v>50</v>
      </c>
      <c r="Q88" s="3" t="s">
        <v>51</v>
      </c>
      <c r="R88" s="6">
        <v>2</v>
      </c>
      <c r="S88" s="3" t="s">
        <v>52</v>
      </c>
      <c r="T88" s="3" t="s">
        <v>53</v>
      </c>
      <c r="U88" s="3" t="s">
        <v>54</v>
      </c>
      <c r="V88" s="7"/>
      <c r="W88" s="7"/>
      <c r="X88" s="7"/>
      <c r="Y88" s="7"/>
      <c r="Z88" s="3" t="s">
        <v>55</v>
      </c>
      <c r="AA88" s="3" t="s">
        <v>56</v>
      </c>
      <c r="AB88" s="3" t="s">
        <v>57</v>
      </c>
      <c r="AD88" s="8">
        <v>20.100000000000001</v>
      </c>
      <c r="AE88" s="8">
        <v>20.486000000000001</v>
      </c>
      <c r="AG88" s="3">
        <v>1.44</v>
      </c>
      <c r="AH88" s="3">
        <v>51.84</v>
      </c>
      <c r="AI88" s="3">
        <v>12.96</v>
      </c>
      <c r="AJ88" s="88">
        <v>35.75</v>
      </c>
      <c r="AK88" s="3" t="s">
        <v>58</v>
      </c>
      <c r="AL88" s="9">
        <f t="shared" si="1"/>
        <v>42.9</v>
      </c>
      <c r="AN88" t="s">
        <v>5519</v>
      </c>
      <c r="AO88" s="74" t="s">
        <v>5636</v>
      </c>
    </row>
    <row r="89" spans="1:41" ht="14.25" customHeight="1" x14ac:dyDescent="0.3">
      <c r="A89" s="3" t="s">
        <v>36</v>
      </c>
      <c r="B89" s="3" t="s">
        <v>62</v>
      </c>
      <c r="C89" s="3" t="s">
        <v>38</v>
      </c>
      <c r="D89" s="4" t="s">
        <v>63</v>
      </c>
      <c r="E89" s="3" t="s">
        <v>40</v>
      </c>
      <c r="F89" s="3" t="s">
        <v>41</v>
      </c>
      <c r="G89" s="5" t="s">
        <v>42</v>
      </c>
      <c r="H89" s="5" t="s">
        <v>43</v>
      </c>
      <c r="I89" s="5" t="s">
        <v>44</v>
      </c>
      <c r="J89" s="3" t="s">
        <v>45</v>
      </c>
      <c r="K89" s="3" t="s">
        <v>46</v>
      </c>
      <c r="L89" s="3" t="s">
        <v>47</v>
      </c>
      <c r="M89" s="3" t="s">
        <v>48</v>
      </c>
      <c r="N89" s="4" t="s">
        <v>64</v>
      </c>
      <c r="O89" s="68" t="s">
        <v>64</v>
      </c>
      <c r="P89" s="3" t="s">
        <v>50</v>
      </c>
      <c r="Q89" s="3" t="s">
        <v>51</v>
      </c>
      <c r="R89" s="6">
        <v>2</v>
      </c>
      <c r="S89" s="3" t="s">
        <v>52</v>
      </c>
      <c r="T89" s="3" t="s">
        <v>53</v>
      </c>
      <c r="U89" s="3" t="s">
        <v>54</v>
      </c>
      <c r="V89" s="7"/>
      <c r="W89" s="7"/>
      <c r="X89" s="7"/>
      <c r="Y89" s="7"/>
      <c r="Z89" s="3" t="s">
        <v>55</v>
      </c>
      <c r="AA89" s="3" t="s">
        <v>56</v>
      </c>
      <c r="AB89" s="3" t="s">
        <v>57</v>
      </c>
      <c r="AD89" s="8">
        <v>20.100000000000001</v>
      </c>
      <c r="AE89" s="8">
        <v>20.486000000000001</v>
      </c>
      <c r="AG89" s="3">
        <v>1.44</v>
      </c>
      <c r="AH89" s="3">
        <v>51.84</v>
      </c>
      <c r="AI89" s="3">
        <v>12.96</v>
      </c>
      <c r="AJ89" s="88">
        <v>35.75</v>
      </c>
      <c r="AK89" s="3" t="s">
        <v>58</v>
      </c>
      <c r="AL89" s="9">
        <f t="shared" si="1"/>
        <v>42.9</v>
      </c>
      <c r="AN89" t="s">
        <v>5519</v>
      </c>
      <c r="AO89" s="74" t="s">
        <v>5636</v>
      </c>
    </row>
    <row r="90" spans="1:41" ht="14.25" customHeight="1" x14ac:dyDescent="0.3">
      <c r="A90" s="3" t="s">
        <v>36</v>
      </c>
      <c r="B90" s="3" t="s">
        <v>73</v>
      </c>
      <c r="C90" s="3" t="s">
        <v>38</v>
      </c>
      <c r="D90" s="4" t="s">
        <v>74</v>
      </c>
      <c r="E90" s="3" t="s">
        <v>40</v>
      </c>
      <c r="F90" s="3" t="s">
        <v>41</v>
      </c>
      <c r="G90" s="5" t="s">
        <v>42</v>
      </c>
      <c r="H90" s="5" t="s">
        <v>43</v>
      </c>
      <c r="I90" s="5" t="s">
        <v>44</v>
      </c>
      <c r="J90" s="3" t="s">
        <v>45</v>
      </c>
      <c r="K90" s="3" t="s">
        <v>46</v>
      </c>
      <c r="L90" s="3" t="s">
        <v>75</v>
      </c>
      <c r="M90" s="3" t="s">
        <v>48</v>
      </c>
      <c r="N90" s="4" t="s">
        <v>49</v>
      </c>
      <c r="O90" s="68" t="s">
        <v>49</v>
      </c>
      <c r="P90" s="3" t="s">
        <v>50</v>
      </c>
      <c r="Q90" s="3" t="s">
        <v>68</v>
      </c>
      <c r="R90" s="6">
        <v>2</v>
      </c>
      <c r="S90" s="3" t="s">
        <v>52</v>
      </c>
      <c r="T90" s="3" t="s">
        <v>53</v>
      </c>
      <c r="U90" s="3" t="s">
        <v>54</v>
      </c>
      <c r="V90" s="7"/>
      <c r="W90" s="7"/>
      <c r="X90" s="7"/>
      <c r="Y90" s="7"/>
      <c r="Z90" s="3" t="s">
        <v>55</v>
      </c>
      <c r="AA90" s="3" t="s">
        <v>56</v>
      </c>
      <c r="AB90" s="3" t="s">
        <v>57</v>
      </c>
      <c r="AD90" s="8">
        <v>20.885000000000002</v>
      </c>
      <c r="AE90" s="8">
        <v>21.295999999999999</v>
      </c>
      <c r="AG90" s="3">
        <v>1.62</v>
      </c>
      <c r="AH90" s="3">
        <v>48.6</v>
      </c>
      <c r="AI90" s="8">
        <v>14.17</v>
      </c>
      <c r="AJ90" s="88">
        <v>39.082999999999998</v>
      </c>
      <c r="AK90" s="3" t="s">
        <v>58</v>
      </c>
      <c r="AL90" s="9">
        <f t="shared" si="1"/>
        <v>46.8996</v>
      </c>
      <c r="AN90" t="s">
        <v>5519</v>
      </c>
      <c r="AO90" s="74" t="s">
        <v>5636</v>
      </c>
    </row>
    <row r="91" spans="1:41" ht="14.25" customHeight="1" x14ac:dyDescent="0.3">
      <c r="A91" s="3" t="s">
        <v>36</v>
      </c>
      <c r="B91" s="3" t="s">
        <v>76</v>
      </c>
      <c r="C91" s="3" t="s">
        <v>38</v>
      </c>
      <c r="D91" s="4" t="s">
        <v>77</v>
      </c>
      <c r="E91" s="3" t="s">
        <v>40</v>
      </c>
      <c r="F91" s="3" t="s">
        <v>41</v>
      </c>
      <c r="G91" s="5" t="s">
        <v>42</v>
      </c>
      <c r="H91" s="5" t="s">
        <v>43</v>
      </c>
      <c r="I91" s="5" t="s">
        <v>44</v>
      </c>
      <c r="J91" s="3" t="s">
        <v>45</v>
      </c>
      <c r="K91" s="3" t="s">
        <v>46</v>
      </c>
      <c r="L91" s="3" t="s">
        <v>75</v>
      </c>
      <c r="M91" s="3" t="s">
        <v>48</v>
      </c>
      <c r="N91" s="4" t="s">
        <v>61</v>
      </c>
      <c r="O91" s="68" t="s">
        <v>61</v>
      </c>
      <c r="P91" s="3" t="s">
        <v>50</v>
      </c>
      <c r="Q91" s="3" t="s">
        <v>68</v>
      </c>
      <c r="R91" s="6">
        <v>2</v>
      </c>
      <c r="S91" s="3" t="s">
        <v>52</v>
      </c>
      <c r="T91" s="3" t="s">
        <v>53</v>
      </c>
      <c r="U91" s="3" t="s">
        <v>54</v>
      </c>
      <c r="V91" s="7"/>
      <c r="W91" s="7"/>
      <c r="X91" s="7"/>
      <c r="Y91" s="7"/>
      <c r="Z91" s="3" t="s">
        <v>55</v>
      </c>
      <c r="AA91" s="3" t="s">
        <v>56</v>
      </c>
      <c r="AB91" s="3" t="s">
        <v>57</v>
      </c>
      <c r="AD91" s="8">
        <v>20.885000000000002</v>
      </c>
      <c r="AE91" s="8">
        <v>21.295999999999999</v>
      </c>
      <c r="AG91" s="3">
        <v>1.62</v>
      </c>
      <c r="AH91" s="3">
        <v>48.6</v>
      </c>
      <c r="AI91" s="8">
        <v>14.17</v>
      </c>
      <c r="AJ91" s="88">
        <v>39.082999999999998</v>
      </c>
      <c r="AK91" s="3" t="s">
        <v>58</v>
      </c>
      <c r="AL91" s="9">
        <f t="shared" si="1"/>
        <v>46.8996</v>
      </c>
      <c r="AN91" t="s">
        <v>5519</v>
      </c>
      <c r="AO91" s="74" t="s">
        <v>5636</v>
      </c>
    </row>
    <row r="92" spans="1:41" ht="14.25" customHeight="1" x14ac:dyDescent="0.3">
      <c r="A92" s="3" t="s">
        <v>36</v>
      </c>
      <c r="B92" s="3" t="s">
        <v>78</v>
      </c>
      <c r="C92" s="3" t="s">
        <v>38</v>
      </c>
      <c r="D92" s="4" t="s">
        <v>79</v>
      </c>
      <c r="E92" s="3" t="s">
        <v>40</v>
      </c>
      <c r="F92" s="3" t="s">
        <v>41</v>
      </c>
      <c r="G92" s="5" t="s">
        <v>42</v>
      </c>
      <c r="H92" s="5" t="s">
        <v>43</v>
      </c>
      <c r="I92" s="5" t="s">
        <v>44</v>
      </c>
      <c r="J92" s="3" t="s">
        <v>45</v>
      </c>
      <c r="K92" s="3" t="s">
        <v>46</v>
      </c>
      <c r="L92" s="3" t="s">
        <v>75</v>
      </c>
      <c r="M92" s="3" t="s">
        <v>48</v>
      </c>
      <c r="N92" s="4" t="s">
        <v>64</v>
      </c>
      <c r="O92" s="67" t="s">
        <v>64</v>
      </c>
      <c r="P92" s="3" t="s">
        <v>50</v>
      </c>
      <c r="Q92" s="3" t="s">
        <v>68</v>
      </c>
      <c r="R92" s="6">
        <v>2</v>
      </c>
      <c r="S92" s="3" t="s">
        <v>52</v>
      </c>
      <c r="T92" s="3" t="s">
        <v>53</v>
      </c>
      <c r="U92" s="3" t="s">
        <v>54</v>
      </c>
      <c r="V92" s="7"/>
      <c r="W92" s="7"/>
      <c r="X92" s="7"/>
      <c r="Y92" s="7"/>
      <c r="Z92" s="3" t="s">
        <v>55</v>
      </c>
      <c r="AA92" s="3" t="s">
        <v>56</v>
      </c>
      <c r="AB92" s="3" t="s">
        <v>57</v>
      </c>
      <c r="AD92" s="8">
        <v>20.885000000000002</v>
      </c>
      <c r="AE92" s="8">
        <v>21.295999999999999</v>
      </c>
      <c r="AG92" s="3">
        <v>1.62</v>
      </c>
      <c r="AH92" s="3">
        <v>48.6</v>
      </c>
      <c r="AI92" s="8">
        <v>14.17</v>
      </c>
      <c r="AJ92" s="88">
        <v>39.082999999999998</v>
      </c>
      <c r="AK92" s="3" t="s">
        <v>58</v>
      </c>
      <c r="AL92" s="9">
        <f t="shared" si="1"/>
        <v>46.8996</v>
      </c>
      <c r="AN92" t="s">
        <v>5519</v>
      </c>
      <c r="AO92" s="74" t="s">
        <v>5636</v>
      </c>
    </row>
    <row r="93" spans="1:41" ht="14.25" customHeight="1" x14ac:dyDescent="0.3">
      <c r="A93" s="3" t="s">
        <v>1019</v>
      </c>
      <c r="B93" s="3" t="s">
        <v>1041</v>
      </c>
      <c r="C93" s="3" t="s">
        <v>1021</v>
      </c>
      <c r="D93" s="4" t="s">
        <v>1042</v>
      </c>
      <c r="E93" s="3" t="s">
        <v>1023</v>
      </c>
      <c r="F93" s="3" t="s">
        <v>41</v>
      </c>
      <c r="G93" s="5" t="s">
        <v>42</v>
      </c>
      <c r="H93" s="5" t="s">
        <v>43</v>
      </c>
      <c r="I93" s="5" t="s">
        <v>44</v>
      </c>
      <c r="J93" s="3" t="s">
        <v>45</v>
      </c>
      <c r="K93" s="3" t="s">
        <v>46</v>
      </c>
      <c r="L93" s="3" t="s">
        <v>67</v>
      </c>
      <c r="M93" s="3" t="s">
        <v>48</v>
      </c>
      <c r="N93" s="4" t="s">
        <v>328</v>
      </c>
      <c r="O93" s="67" t="s">
        <v>328</v>
      </c>
      <c r="P93" s="3" t="s">
        <v>50</v>
      </c>
      <c r="Q93" s="3" t="s">
        <v>68</v>
      </c>
      <c r="R93" s="3">
        <v>4</v>
      </c>
      <c r="S93" s="3" t="s">
        <v>52</v>
      </c>
      <c r="T93" s="3" t="s">
        <v>53</v>
      </c>
      <c r="U93" s="3" t="s">
        <v>54</v>
      </c>
      <c r="V93" s="7"/>
      <c r="W93" s="7"/>
      <c r="X93" s="7"/>
      <c r="Y93" s="7"/>
      <c r="Z93" s="3" t="s">
        <v>55</v>
      </c>
      <c r="AA93" s="3" t="s">
        <v>56</v>
      </c>
      <c r="AB93" s="3" t="s">
        <v>57</v>
      </c>
      <c r="AD93" s="3">
        <v>20.18</v>
      </c>
      <c r="AE93" s="3">
        <v>20.62</v>
      </c>
      <c r="AG93" s="3">
        <v>1.44</v>
      </c>
      <c r="AH93" s="3">
        <v>46.08</v>
      </c>
      <c r="AI93" s="3">
        <v>11.79</v>
      </c>
      <c r="AJ93" s="88">
        <v>30.75</v>
      </c>
      <c r="AK93" s="3" t="s">
        <v>58</v>
      </c>
      <c r="AL93" s="9">
        <f t="shared" si="1"/>
        <v>36.9</v>
      </c>
      <c r="AN93" t="s">
        <v>5519</v>
      </c>
      <c r="AO93" s="74" t="s">
        <v>5627</v>
      </c>
    </row>
    <row r="94" spans="1:41" ht="14.25" customHeight="1" x14ac:dyDescent="0.3">
      <c r="A94" s="3" t="s">
        <v>1019</v>
      </c>
      <c r="B94" s="3" t="s">
        <v>1043</v>
      </c>
      <c r="C94" s="3" t="s">
        <v>1021</v>
      </c>
      <c r="D94" s="4" t="s">
        <v>1044</v>
      </c>
      <c r="E94" s="3" t="s">
        <v>1023</v>
      </c>
      <c r="F94" s="3" t="s">
        <v>41</v>
      </c>
      <c r="G94" s="5" t="s">
        <v>1045</v>
      </c>
      <c r="H94" s="5" t="s">
        <v>1046</v>
      </c>
      <c r="J94" s="3" t="s">
        <v>45</v>
      </c>
      <c r="K94" s="3" t="s">
        <v>46</v>
      </c>
      <c r="L94" s="3" t="s">
        <v>67</v>
      </c>
      <c r="M94" s="3" t="s">
        <v>48</v>
      </c>
      <c r="N94" s="4" t="s">
        <v>49</v>
      </c>
      <c r="O94" s="67" t="s">
        <v>49</v>
      </c>
      <c r="P94" s="3" t="s">
        <v>50</v>
      </c>
      <c r="Q94" s="3" t="s">
        <v>68</v>
      </c>
      <c r="R94" s="3">
        <v>4</v>
      </c>
      <c r="S94" s="3" t="s">
        <v>52</v>
      </c>
      <c r="T94" s="3" t="s">
        <v>53</v>
      </c>
      <c r="U94" s="3" t="s">
        <v>54</v>
      </c>
      <c r="V94" s="7"/>
      <c r="W94" s="7"/>
      <c r="X94" s="7"/>
      <c r="Y94" s="7"/>
      <c r="Z94" s="3" t="s">
        <v>55</v>
      </c>
      <c r="AA94" s="3" t="s">
        <v>56</v>
      </c>
      <c r="AB94" s="3" t="s">
        <v>57</v>
      </c>
      <c r="AD94" s="3">
        <v>20.18</v>
      </c>
      <c r="AE94" s="3">
        <v>20.62</v>
      </c>
      <c r="AG94" s="3">
        <v>1.44</v>
      </c>
      <c r="AH94" s="3">
        <v>46.08</v>
      </c>
      <c r="AI94" s="3">
        <v>11.79</v>
      </c>
      <c r="AJ94" s="88">
        <v>30.75</v>
      </c>
      <c r="AK94" s="3" t="s">
        <v>58</v>
      </c>
      <c r="AL94" s="9">
        <f t="shared" si="1"/>
        <v>36.9</v>
      </c>
      <c r="AN94" t="s">
        <v>5519</v>
      </c>
      <c r="AO94" s="74" t="s">
        <v>5627</v>
      </c>
    </row>
    <row r="95" spans="1:41" ht="14.25" customHeight="1" x14ac:dyDescent="0.3">
      <c r="A95" s="3" t="s">
        <v>1019</v>
      </c>
      <c r="B95" s="3" t="s">
        <v>1047</v>
      </c>
      <c r="C95" s="3" t="s">
        <v>1021</v>
      </c>
      <c r="D95" s="4" t="s">
        <v>1048</v>
      </c>
      <c r="E95" s="3" t="s">
        <v>1023</v>
      </c>
      <c r="F95" s="3" t="s">
        <v>41</v>
      </c>
      <c r="G95" s="5" t="s">
        <v>1049</v>
      </c>
      <c r="H95" s="5" t="s">
        <v>1050</v>
      </c>
      <c r="I95" s="5" t="s">
        <v>1051</v>
      </c>
      <c r="J95" s="3" t="s">
        <v>45</v>
      </c>
      <c r="K95" s="3" t="s">
        <v>46</v>
      </c>
      <c r="L95" s="3" t="s">
        <v>67</v>
      </c>
      <c r="M95" s="3" t="s">
        <v>48</v>
      </c>
      <c r="N95" s="4" t="s">
        <v>1040</v>
      </c>
      <c r="O95" s="67" t="s">
        <v>49</v>
      </c>
      <c r="P95" s="3" t="s">
        <v>50</v>
      </c>
      <c r="Q95" s="3" t="s">
        <v>68</v>
      </c>
      <c r="R95" s="3">
        <v>4</v>
      </c>
      <c r="S95" s="3" t="s">
        <v>52</v>
      </c>
      <c r="T95" s="3" t="s">
        <v>53</v>
      </c>
      <c r="U95" s="3" t="s">
        <v>54</v>
      </c>
      <c r="V95" s="7"/>
      <c r="W95" s="7"/>
      <c r="X95" s="7"/>
      <c r="Y95" s="7"/>
      <c r="Z95" s="3" t="s">
        <v>55</v>
      </c>
      <c r="AA95" s="3" t="s">
        <v>56</v>
      </c>
      <c r="AB95" s="3" t="s">
        <v>57</v>
      </c>
      <c r="AD95" s="3">
        <v>20.18</v>
      </c>
      <c r="AE95" s="3">
        <v>20.62</v>
      </c>
      <c r="AG95" s="3">
        <v>1.44</v>
      </c>
      <c r="AH95" s="3">
        <v>46.08</v>
      </c>
      <c r="AI95" s="3">
        <v>11.79</v>
      </c>
      <c r="AJ95" s="88">
        <v>30.75</v>
      </c>
      <c r="AK95" s="3" t="s">
        <v>58</v>
      </c>
      <c r="AL95" s="9">
        <f t="shared" si="1"/>
        <v>36.9</v>
      </c>
      <c r="AN95" t="s">
        <v>5519</v>
      </c>
      <c r="AO95" s="74" t="s">
        <v>5627</v>
      </c>
    </row>
    <row r="96" spans="1:41" ht="14.25" customHeight="1" x14ac:dyDescent="0.3">
      <c r="A96" s="3" t="s">
        <v>1019</v>
      </c>
      <c r="B96" s="3" t="s">
        <v>1052</v>
      </c>
      <c r="C96" s="3" t="s">
        <v>1021</v>
      </c>
      <c r="D96" s="4" t="s">
        <v>1053</v>
      </c>
      <c r="E96" s="3" t="s">
        <v>1023</v>
      </c>
      <c r="F96" s="3" t="s">
        <v>41</v>
      </c>
      <c r="G96" s="5" t="s">
        <v>42</v>
      </c>
      <c r="H96" s="5" t="s">
        <v>43</v>
      </c>
      <c r="I96" s="5" t="s">
        <v>44</v>
      </c>
      <c r="J96" s="3" t="s">
        <v>45</v>
      </c>
      <c r="K96" s="3" t="s">
        <v>46</v>
      </c>
      <c r="L96" s="3" t="s">
        <v>67</v>
      </c>
      <c r="M96" s="3" t="s">
        <v>48</v>
      </c>
      <c r="N96" s="4" t="s">
        <v>61</v>
      </c>
      <c r="O96" s="68" t="s">
        <v>61</v>
      </c>
      <c r="P96" s="3" t="s">
        <v>50</v>
      </c>
      <c r="Q96" s="3" t="s">
        <v>68</v>
      </c>
      <c r="R96" s="3">
        <v>4</v>
      </c>
      <c r="S96" s="3" t="s">
        <v>52</v>
      </c>
      <c r="T96" s="3" t="s">
        <v>53</v>
      </c>
      <c r="U96" s="3" t="s">
        <v>54</v>
      </c>
      <c r="V96" s="7"/>
      <c r="W96" s="7"/>
      <c r="X96" s="7"/>
      <c r="Y96" s="7"/>
      <c r="Z96" s="3" t="s">
        <v>55</v>
      </c>
      <c r="AA96" s="3" t="s">
        <v>56</v>
      </c>
      <c r="AB96" s="3" t="s">
        <v>57</v>
      </c>
      <c r="AD96" s="3">
        <v>20.18</v>
      </c>
      <c r="AE96" s="3">
        <v>20.62</v>
      </c>
      <c r="AG96" s="3">
        <v>1.44</v>
      </c>
      <c r="AH96" s="3">
        <v>46.08</v>
      </c>
      <c r="AI96" s="3">
        <v>11.79</v>
      </c>
      <c r="AJ96" s="88">
        <v>30.75</v>
      </c>
      <c r="AK96" s="3" t="s">
        <v>58</v>
      </c>
      <c r="AL96" s="9">
        <f t="shared" si="1"/>
        <v>36.9</v>
      </c>
      <c r="AN96" t="s">
        <v>5519</v>
      </c>
      <c r="AO96" s="74" t="s">
        <v>5627</v>
      </c>
    </row>
    <row r="97" spans="1:41" ht="14.25" customHeight="1" x14ac:dyDescent="0.3">
      <c r="A97" s="3" t="s">
        <v>1019</v>
      </c>
      <c r="B97" s="3" t="s">
        <v>1032</v>
      </c>
      <c r="C97" s="3" t="s">
        <v>1021</v>
      </c>
      <c r="D97" s="4" t="s">
        <v>1033</v>
      </c>
      <c r="E97" s="3" t="s">
        <v>1023</v>
      </c>
      <c r="F97" s="3" t="s">
        <v>41</v>
      </c>
      <c r="G97" s="5" t="s">
        <v>42</v>
      </c>
      <c r="H97" s="5" t="s">
        <v>43</v>
      </c>
      <c r="I97" s="5" t="s">
        <v>44</v>
      </c>
      <c r="J97" s="3" t="s">
        <v>45</v>
      </c>
      <c r="K97" s="3" t="s">
        <v>46</v>
      </c>
      <c r="L97" s="3" t="s">
        <v>47</v>
      </c>
      <c r="M97" s="3" t="s">
        <v>48</v>
      </c>
      <c r="N97" s="4" t="s">
        <v>61</v>
      </c>
      <c r="O97" s="68" t="s">
        <v>61</v>
      </c>
      <c r="P97" s="3" t="s">
        <v>50</v>
      </c>
      <c r="Q97" s="3" t="s">
        <v>51</v>
      </c>
      <c r="R97" s="3">
        <v>2</v>
      </c>
      <c r="S97" s="3" t="s">
        <v>52</v>
      </c>
      <c r="T97" s="3" t="s">
        <v>53</v>
      </c>
      <c r="U97" s="3" t="s">
        <v>54</v>
      </c>
      <c r="V97" s="7"/>
      <c r="W97" s="7"/>
      <c r="X97" s="7"/>
      <c r="Y97" s="7"/>
      <c r="Z97" s="3" t="s">
        <v>55</v>
      </c>
      <c r="AA97" s="3" t="s">
        <v>56</v>
      </c>
      <c r="AB97" s="3" t="s">
        <v>57</v>
      </c>
      <c r="AD97" s="3">
        <v>20.100000000000001</v>
      </c>
      <c r="AE97" s="3">
        <v>20.49</v>
      </c>
      <c r="AG97" s="3">
        <v>1.44</v>
      </c>
      <c r="AH97" s="3">
        <v>51.84</v>
      </c>
      <c r="AI97" s="3">
        <v>12.96</v>
      </c>
      <c r="AJ97" s="88">
        <v>35.75</v>
      </c>
      <c r="AK97" s="3" t="s">
        <v>58</v>
      </c>
      <c r="AL97" s="9">
        <f t="shared" si="1"/>
        <v>42.9</v>
      </c>
      <c r="AN97" t="s">
        <v>5519</v>
      </c>
      <c r="AO97" s="74" t="s">
        <v>5627</v>
      </c>
    </row>
    <row r="98" spans="1:41" ht="14.25" customHeight="1" x14ac:dyDescent="0.3">
      <c r="A98" s="3" t="s">
        <v>1019</v>
      </c>
      <c r="B98" s="3" t="s">
        <v>1034</v>
      </c>
      <c r="C98" s="3" t="s">
        <v>1021</v>
      </c>
      <c r="D98" s="4" t="s">
        <v>1035</v>
      </c>
      <c r="E98" s="3" t="s">
        <v>1023</v>
      </c>
      <c r="F98" s="3" t="s">
        <v>41</v>
      </c>
      <c r="G98" s="5" t="s">
        <v>42</v>
      </c>
      <c r="H98" s="5" t="s">
        <v>43</v>
      </c>
      <c r="I98" s="5" t="s">
        <v>44</v>
      </c>
      <c r="J98" s="3" t="s">
        <v>45</v>
      </c>
      <c r="K98" s="3" t="s">
        <v>46</v>
      </c>
      <c r="L98" s="3" t="s">
        <v>47</v>
      </c>
      <c r="M98" s="3" t="s">
        <v>48</v>
      </c>
      <c r="N98" s="4" t="s">
        <v>328</v>
      </c>
      <c r="O98" s="68" t="s">
        <v>328</v>
      </c>
      <c r="P98" s="3" t="s">
        <v>50</v>
      </c>
      <c r="Q98" s="3" t="s">
        <v>51</v>
      </c>
      <c r="R98" s="3">
        <v>2</v>
      </c>
      <c r="S98" s="3" t="s">
        <v>52</v>
      </c>
      <c r="T98" s="3" t="s">
        <v>53</v>
      </c>
      <c r="U98" s="3" t="s">
        <v>54</v>
      </c>
      <c r="V98" s="7"/>
      <c r="W98" s="7"/>
      <c r="X98" s="7"/>
      <c r="Y98" s="7"/>
      <c r="Z98" s="3" t="s">
        <v>55</v>
      </c>
      <c r="AA98" s="3" t="s">
        <v>56</v>
      </c>
      <c r="AB98" s="3" t="s">
        <v>57</v>
      </c>
      <c r="AD98" s="3">
        <v>20.100000000000001</v>
      </c>
      <c r="AE98" s="3">
        <v>20.49</v>
      </c>
      <c r="AG98" s="3">
        <v>1.44</v>
      </c>
      <c r="AH98" s="3">
        <v>51.84</v>
      </c>
      <c r="AI98" s="3">
        <v>12.96</v>
      </c>
      <c r="AJ98" s="88">
        <v>35.75</v>
      </c>
      <c r="AK98" s="3" t="s">
        <v>58</v>
      </c>
      <c r="AL98" s="9">
        <f t="shared" si="1"/>
        <v>42.9</v>
      </c>
      <c r="AN98" t="s">
        <v>5519</v>
      </c>
      <c r="AO98" s="74" t="s">
        <v>5627</v>
      </c>
    </row>
    <row r="99" spans="1:41" ht="14.25" customHeight="1" x14ac:dyDescent="0.3">
      <c r="A99" s="3" t="s">
        <v>1019</v>
      </c>
      <c r="B99" s="3" t="s">
        <v>1036</v>
      </c>
      <c r="C99" s="3" t="s">
        <v>1021</v>
      </c>
      <c r="D99" s="4" t="s">
        <v>1037</v>
      </c>
      <c r="E99" s="3" t="s">
        <v>1023</v>
      </c>
      <c r="F99" s="3" t="s">
        <v>41</v>
      </c>
      <c r="G99" s="5" t="s">
        <v>42</v>
      </c>
      <c r="H99" s="5" t="s">
        <v>43</v>
      </c>
      <c r="I99" s="5" t="s">
        <v>44</v>
      </c>
      <c r="J99" s="3" t="s">
        <v>45</v>
      </c>
      <c r="K99" s="3" t="s">
        <v>46</v>
      </c>
      <c r="L99" s="3" t="s">
        <v>47</v>
      </c>
      <c r="M99" s="3" t="s">
        <v>48</v>
      </c>
      <c r="N99" s="4" t="s">
        <v>49</v>
      </c>
      <c r="O99" s="67" t="s">
        <v>49</v>
      </c>
      <c r="P99" s="3" t="s">
        <v>50</v>
      </c>
      <c r="Q99" s="3" t="s">
        <v>51</v>
      </c>
      <c r="R99" s="3">
        <v>2</v>
      </c>
      <c r="S99" s="3" t="s">
        <v>52</v>
      </c>
      <c r="T99" s="3" t="s">
        <v>53</v>
      </c>
      <c r="U99" s="3" t="s">
        <v>54</v>
      </c>
      <c r="V99" s="7"/>
      <c r="W99" s="7"/>
      <c r="X99" s="7"/>
      <c r="Y99" s="7"/>
      <c r="Z99" s="3" t="s">
        <v>55</v>
      </c>
      <c r="AA99" s="3" t="s">
        <v>56</v>
      </c>
      <c r="AB99" s="3" t="s">
        <v>57</v>
      </c>
      <c r="AD99" s="3">
        <v>20.100000000000001</v>
      </c>
      <c r="AE99" s="3">
        <v>20.49</v>
      </c>
      <c r="AG99" s="3">
        <v>1.44</v>
      </c>
      <c r="AH99" s="3">
        <v>51.84</v>
      </c>
      <c r="AI99" s="3">
        <v>12.96</v>
      </c>
      <c r="AJ99" s="88">
        <v>35.75</v>
      </c>
      <c r="AK99" s="3" t="s">
        <v>58</v>
      </c>
      <c r="AL99" s="9">
        <f t="shared" si="1"/>
        <v>42.9</v>
      </c>
      <c r="AN99" t="s">
        <v>5519</v>
      </c>
      <c r="AO99" s="74" t="s">
        <v>5627</v>
      </c>
    </row>
    <row r="100" spans="1:41" ht="14.25" customHeight="1" x14ac:dyDescent="0.3">
      <c r="A100" s="3" t="s">
        <v>1019</v>
      </c>
      <c r="B100" s="3" t="s">
        <v>1038</v>
      </c>
      <c r="C100" s="3" t="s">
        <v>1021</v>
      </c>
      <c r="D100" s="4" t="s">
        <v>1039</v>
      </c>
      <c r="E100" s="3" t="s">
        <v>1023</v>
      </c>
      <c r="F100" s="3" t="s">
        <v>41</v>
      </c>
      <c r="G100" s="5" t="s">
        <v>42</v>
      </c>
      <c r="H100" s="5" t="s">
        <v>43</v>
      </c>
      <c r="I100" s="5" t="s">
        <v>44</v>
      </c>
      <c r="J100" s="3" t="s">
        <v>45</v>
      </c>
      <c r="K100" s="3" t="s">
        <v>46</v>
      </c>
      <c r="L100" s="3" t="s">
        <v>47</v>
      </c>
      <c r="M100" s="3" t="s">
        <v>48</v>
      </c>
      <c r="N100" s="4" t="s">
        <v>1040</v>
      </c>
      <c r="O100" s="68" t="s">
        <v>49</v>
      </c>
      <c r="P100" s="3" t="s">
        <v>50</v>
      </c>
      <c r="Q100" s="3" t="s">
        <v>51</v>
      </c>
      <c r="R100" s="3">
        <v>2</v>
      </c>
      <c r="S100" s="3" t="s">
        <v>52</v>
      </c>
      <c r="T100" s="3" t="s">
        <v>53</v>
      </c>
      <c r="U100" s="3" t="s">
        <v>54</v>
      </c>
      <c r="V100" s="7"/>
      <c r="W100" s="7"/>
      <c r="X100" s="7"/>
      <c r="Y100" s="7"/>
      <c r="Z100" s="3" t="s">
        <v>55</v>
      </c>
      <c r="AA100" s="3" t="s">
        <v>56</v>
      </c>
      <c r="AB100" s="3" t="s">
        <v>57</v>
      </c>
      <c r="AD100" s="3">
        <v>20.100000000000001</v>
      </c>
      <c r="AE100" s="3">
        <v>20.49</v>
      </c>
      <c r="AG100" s="3">
        <v>1.44</v>
      </c>
      <c r="AH100" s="3">
        <v>51.84</v>
      </c>
      <c r="AI100" s="3">
        <v>12.96</v>
      </c>
      <c r="AJ100" s="88">
        <v>35.75</v>
      </c>
      <c r="AK100" s="3" t="s">
        <v>58</v>
      </c>
      <c r="AL100" s="9">
        <f t="shared" si="1"/>
        <v>42.9</v>
      </c>
      <c r="AN100" t="s">
        <v>5519</v>
      </c>
      <c r="AO100" s="74" t="s">
        <v>5627</v>
      </c>
    </row>
    <row r="101" spans="1:41" ht="14.25" customHeight="1" x14ac:dyDescent="0.3">
      <c r="A101" s="3" t="s">
        <v>1019</v>
      </c>
      <c r="B101" s="3" t="s">
        <v>1054</v>
      </c>
      <c r="C101" s="3" t="s">
        <v>1021</v>
      </c>
      <c r="D101" s="4" t="s">
        <v>1055</v>
      </c>
      <c r="E101" s="3" t="s">
        <v>1023</v>
      </c>
      <c r="F101" s="3" t="s">
        <v>41</v>
      </c>
      <c r="G101" s="5" t="s">
        <v>42</v>
      </c>
      <c r="H101" s="5" t="s">
        <v>43</v>
      </c>
      <c r="I101" s="5" t="s">
        <v>44</v>
      </c>
      <c r="J101" s="3" t="s">
        <v>45</v>
      </c>
      <c r="K101" s="3" t="s">
        <v>46</v>
      </c>
      <c r="L101" s="3" t="s">
        <v>75</v>
      </c>
      <c r="M101" s="3" t="s">
        <v>48</v>
      </c>
      <c r="N101" s="4" t="s">
        <v>49</v>
      </c>
      <c r="O101" s="67" t="s">
        <v>49</v>
      </c>
      <c r="P101" s="3" t="s">
        <v>50</v>
      </c>
      <c r="Q101" s="3" t="s">
        <v>68</v>
      </c>
      <c r="R101" s="3">
        <v>2</v>
      </c>
      <c r="S101" s="3" t="s">
        <v>52</v>
      </c>
      <c r="T101" s="3" t="s">
        <v>53</v>
      </c>
      <c r="U101" s="3" t="s">
        <v>54</v>
      </c>
      <c r="V101" s="7"/>
      <c r="W101" s="7"/>
      <c r="X101" s="7"/>
      <c r="Y101" s="7"/>
      <c r="Z101" s="3" t="s">
        <v>55</v>
      </c>
      <c r="AA101" s="3" t="s">
        <v>56</v>
      </c>
      <c r="AB101" s="3" t="s">
        <v>57</v>
      </c>
      <c r="AD101" s="3">
        <v>20.88</v>
      </c>
      <c r="AE101" s="3">
        <v>21.3</v>
      </c>
      <c r="AG101" s="3">
        <v>1.62</v>
      </c>
      <c r="AH101" s="3">
        <v>48.6</v>
      </c>
      <c r="AI101" s="8">
        <v>14.17</v>
      </c>
      <c r="AJ101" s="88">
        <v>39.082999999999998</v>
      </c>
      <c r="AK101" s="3" t="s">
        <v>58</v>
      </c>
      <c r="AL101" s="9">
        <f t="shared" si="1"/>
        <v>46.8996</v>
      </c>
      <c r="AN101" t="s">
        <v>5519</v>
      </c>
      <c r="AO101" s="74" t="s">
        <v>5627</v>
      </c>
    </row>
    <row r="102" spans="1:41" ht="14.25" customHeight="1" x14ac:dyDescent="0.3">
      <c r="A102" s="3" t="s">
        <v>1019</v>
      </c>
      <c r="B102" s="3" t="s">
        <v>1056</v>
      </c>
      <c r="C102" s="3" t="s">
        <v>1021</v>
      </c>
      <c r="D102" s="4" t="s">
        <v>1057</v>
      </c>
      <c r="E102" s="3" t="s">
        <v>1023</v>
      </c>
      <c r="F102" s="3" t="s">
        <v>41</v>
      </c>
      <c r="G102" s="5" t="s">
        <v>42</v>
      </c>
      <c r="H102" s="5" t="s">
        <v>43</v>
      </c>
      <c r="I102" s="5" t="s">
        <v>44</v>
      </c>
      <c r="J102" s="3" t="s">
        <v>45</v>
      </c>
      <c r="K102" s="3" t="s">
        <v>46</v>
      </c>
      <c r="L102" s="3" t="s">
        <v>75</v>
      </c>
      <c r="M102" s="3" t="s">
        <v>48</v>
      </c>
      <c r="N102" s="4" t="s">
        <v>61</v>
      </c>
      <c r="O102" s="67" t="s">
        <v>61</v>
      </c>
      <c r="P102" s="3" t="s">
        <v>50</v>
      </c>
      <c r="Q102" s="3" t="s">
        <v>68</v>
      </c>
      <c r="R102" s="3">
        <v>2</v>
      </c>
      <c r="S102" s="3" t="s">
        <v>52</v>
      </c>
      <c r="T102" s="3" t="s">
        <v>53</v>
      </c>
      <c r="U102" s="3" t="s">
        <v>54</v>
      </c>
      <c r="V102" s="7"/>
      <c r="W102" s="7"/>
      <c r="X102" s="7"/>
      <c r="Y102" s="7"/>
      <c r="Z102" s="3" t="s">
        <v>55</v>
      </c>
      <c r="AA102" s="3" t="s">
        <v>56</v>
      </c>
      <c r="AB102" s="3" t="s">
        <v>57</v>
      </c>
      <c r="AD102" s="3">
        <v>20.88</v>
      </c>
      <c r="AE102" s="3">
        <v>21.3</v>
      </c>
      <c r="AG102" s="3">
        <v>1.62</v>
      </c>
      <c r="AH102" s="3">
        <v>48.6</v>
      </c>
      <c r="AI102" s="8">
        <v>14.17</v>
      </c>
      <c r="AJ102" s="88">
        <v>39.082999999999998</v>
      </c>
      <c r="AK102" s="3" t="s">
        <v>58</v>
      </c>
      <c r="AL102" s="9">
        <f t="shared" si="1"/>
        <v>46.8996</v>
      </c>
      <c r="AN102" t="s">
        <v>5519</v>
      </c>
      <c r="AO102" s="74" t="s">
        <v>5627</v>
      </c>
    </row>
    <row r="103" spans="1:41" ht="14.25" customHeight="1" x14ac:dyDescent="0.3">
      <c r="A103" s="3" t="s">
        <v>1019</v>
      </c>
      <c r="B103" s="3" t="s">
        <v>1058</v>
      </c>
      <c r="C103" s="3" t="s">
        <v>1021</v>
      </c>
      <c r="D103" s="4" t="s">
        <v>1059</v>
      </c>
      <c r="E103" s="3" t="s">
        <v>1023</v>
      </c>
      <c r="F103" s="3" t="s">
        <v>41</v>
      </c>
      <c r="G103" s="5" t="s">
        <v>42</v>
      </c>
      <c r="H103" s="5" t="s">
        <v>43</v>
      </c>
      <c r="I103" s="5" t="s">
        <v>44</v>
      </c>
      <c r="J103" s="3" t="s">
        <v>45</v>
      </c>
      <c r="K103" s="3" t="s">
        <v>46</v>
      </c>
      <c r="L103" s="3" t="s">
        <v>75</v>
      </c>
      <c r="M103" s="3" t="s">
        <v>48</v>
      </c>
      <c r="N103" s="4" t="s">
        <v>1026</v>
      </c>
      <c r="O103" s="68" t="s">
        <v>49</v>
      </c>
      <c r="P103" s="3" t="s">
        <v>50</v>
      </c>
      <c r="Q103" s="3" t="s">
        <v>68</v>
      </c>
      <c r="R103" s="3">
        <v>2</v>
      </c>
      <c r="S103" s="3" t="s">
        <v>52</v>
      </c>
      <c r="T103" s="3" t="s">
        <v>53</v>
      </c>
      <c r="U103" s="3" t="s">
        <v>54</v>
      </c>
      <c r="V103" s="7"/>
      <c r="W103" s="7"/>
      <c r="X103" s="7"/>
      <c r="Y103" s="7"/>
      <c r="Z103" s="3" t="s">
        <v>55</v>
      </c>
      <c r="AA103" s="3" t="s">
        <v>56</v>
      </c>
      <c r="AB103" s="3" t="s">
        <v>57</v>
      </c>
      <c r="AD103" s="3">
        <v>20.88</v>
      </c>
      <c r="AE103" s="3">
        <v>21.3</v>
      </c>
      <c r="AG103" s="3">
        <v>1.62</v>
      </c>
      <c r="AH103" s="3">
        <v>48.6</v>
      </c>
      <c r="AI103" s="8">
        <v>14.17</v>
      </c>
      <c r="AJ103" s="88">
        <v>39.082999999999998</v>
      </c>
      <c r="AK103" s="3" t="s">
        <v>58</v>
      </c>
      <c r="AL103" s="9">
        <f t="shared" si="1"/>
        <v>46.8996</v>
      </c>
      <c r="AN103" t="s">
        <v>5519</v>
      </c>
      <c r="AO103" s="74" t="s">
        <v>5627</v>
      </c>
    </row>
    <row r="104" spans="1:41" ht="14.25" customHeight="1" x14ac:dyDescent="0.3">
      <c r="A104" s="3" t="s">
        <v>1019</v>
      </c>
      <c r="B104" s="3" t="s">
        <v>1060</v>
      </c>
      <c r="C104" s="3" t="s">
        <v>1021</v>
      </c>
      <c r="D104" s="4" t="s">
        <v>1061</v>
      </c>
      <c r="E104" s="3" t="s">
        <v>1023</v>
      </c>
      <c r="F104" s="3" t="s">
        <v>41</v>
      </c>
      <c r="G104" s="5" t="s">
        <v>42</v>
      </c>
      <c r="H104" s="5" t="s">
        <v>43</v>
      </c>
      <c r="I104" s="5" t="s">
        <v>44</v>
      </c>
      <c r="J104" s="3" t="s">
        <v>45</v>
      </c>
      <c r="K104" s="3" t="s">
        <v>46</v>
      </c>
      <c r="L104" s="3" t="s">
        <v>75</v>
      </c>
      <c r="M104" s="3" t="s">
        <v>48</v>
      </c>
      <c r="N104" s="4" t="s">
        <v>328</v>
      </c>
      <c r="O104" s="67" t="s">
        <v>328</v>
      </c>
      <c r="P104" s="3" t="s">
        <v>50</v>
      </c>
      <c r="Q104" s="3" t="s">
        <v>68</v>
      </c>
      <c r="R104" s="3">
        <v>2</v>
      </c>
      <c r="S104" s="3" t="s">
        <v>52</v>
      </c>
      <c r="T104" s="3" t="s">
        <v>53</v>
      </c>
      <c r="U104" s="3" t="s">
        <v>54</v>
      </c>
      <c r="V104" s="7"/>
      <c r="W104" s="7"/>
      <c r="X104" s="7"/>
      <c r="Y104" s="7"/>
      <c r="Z104" s="3" t="s">
        <v>55</v>
      </c>
      <c r="AA104" s="3" t="s">
        <v>56</v>
      </c>
      <c r="AB104" s="3" t="s">
        <v>57</v>
      </c>
      <c r="AD104" s="3">
        <v>20.88</v>
      </c>
      <c r="AE104" s="3">
        <v>21.3</v>
      </c>
      <c r="AG104" s="3">
        <v>1.62</v>
      </c>
      <c r="AH104" s="3">
        <v>48.6</v>
      </c>
      <c r="AI104" s="8">
        <v>14.17</v>
      </c>
      <c r="AJ104" s="88">
        <v>39.082999999999998</v>
      </c>
      <c r="AK104" s="3" t="s">
        <v>58</v>
      </c>
      <c r="AL104" s="9">
        <f t="shared" si="1"/>
        <v>46.8996</v>
      </c>
      <c r="AN104" t="s">
        <v>5519</v>
      </c>
      <c r="AO104" s="74" t="s">
        <v>5627</v>
      </c>
    </row>
    <row r="105" spans="1:41" ht="14.25" customHeight="1" x14ac:dyDescent="0.3">
      <c r="A105" s="3" t="s">
        <v>1019</v>
      </c>
      <c r="B105" s="3" t="s">
        <v>1020</v>
      </c>
      <c r="C105" s="3" t="s">
        <v>1021</v>
      </c>
      <c r="D105" s="4" t="s">
        <v>1022</v>
      </c>
      <c r="E105" s="3" t="s">
        <v>1023</v>
      </c>
      <c r="F105" s="3" t="s">
        <v>41</v>
      </c>
      <c r="G105" s="5" t="s">
        <v>42</v>
      </c>
      <c r="H105" s="5" t="s">
        <v>43</v>
      </c>
      <c r="I105" s="5" t="s">
        <v>44</v>
      </c>
      <c r="J105" s="3" t="s">
        <v>45</v>
      </c>
      <c r="K105" s="3" t="s">
        <v>46</v>
      </c>
      <c r="L105" s="3" t="s">
        <v>132</v>
      </c>
      <c r="M105" s="3" t="s">
        <v>48</v>
      </c>
      <c r="N105" s="4" t="s">
        <v>328</v>
      </c>
      <c r="O105" s="67" t="s">
        <v>328</v>
      </c>
      <c r="P105" s="3" t="s">
        <v>50</v>
      </c>
      <c r="Q105" s="3" t="s">
        <v>68</v>
      </c>
      <c r="R105" s="3">
        <v>1</v>
      </c>
      <c r="S105" s="3" t="s">
        <v>52</v>
      </c>
      <c r="T105" s="3" t="s">
        <v>53</v>
      </c>
      <c r="U105" s="3" t="s">
        <v>54</v>
      </c>
      <c r="V105" s="7"/>
      <c r="W105" s="7"/>
      <c r="X105" s="7"/>
      <c r="Y105" s="7"/>
      <c r="Z105" s="3" t="s">
        <v>55</v>
      </c>
      <c r="AA105" s="3" t="s">
        <v>56</v>
      </c>
      <c r="AB105" s="3" t="s">
        <v>57</v>
      </c>
      <c r="AD105" s="3">
        <v>21.76</v>
      </c>
      <c r="AE105" s="3">
        <v>21.96</v>
      </c>
      <c r="AG105" s="3">
        <v>1.44</v>
      </c>
      <c r="AH105" s="3">
        <v>57.6</v>
      </c>
      <c r="AI105" s="3">
        <v>20.32</v>
      </c>
      <c r="AJ105" s="88">
        <v>58.25</v>
      </c>
      <c r="AK105" s="3" t="s">
        <v>58</v>
      </c>
      <c r="AL105" s="9">
        <f t="shared" si="1"/>
        <v>69.899999999999991</v>
      </c>
      <c r="AN105" t="s">
        <v>5519</v>
      </c>
      <c r="AO105" s="74" t="s">
        <v>5627</v>
      </c>
    </row>
    <row r="106" spans="1:41" ht="14.25" customHeight="1" x14ac:dyDescent="0.3">
      <c r="A106" s="3" t="s">
        <v>1019</v>
      </c>
      <c r="B106" s="3" t="s">
        <v>1024</v>
      </c>
      <c r="C106" s="3" t="s">
        <v>1021</v>
      </c>
      <c r="D106" s="4" t="s">
        <v>1025</v>
      </c>
      <c r="E106" s="3" t="s">
        <v>1023</v>
      </c>
      <c r="F106" s="3" t="s">
        <v>41</v>
      </c>
      <c r="G106" s="5" t="s">
        <v>42</v>
      </c>
      <c r="H106" s="5" t="s">
        <v>43</v>
      </c>
      <c r="I106" s="5" t="s">
        <v>44</v>
      </c>
      <c r="J106" s="3" t="s">
        <v>45</v>
      </c>
      <c r="K106" s="3" t="s">
        <v>46</v>
      </c>
      <c r="L106" s="3" t="s">
        <v>132</v>
      </c>
      <c r="M106" s="3" t="s">
        <v>48</v>
      </c>
      <c r="N106" s="4" t="s">
        <v>1026</v>
      </c>
      <c r="O106" s="67" t="s">
        <v>49</v>
      </c>
      <c r="P106" s="3" t="s">
        <v>50</v>
      </c>
      <c r="Q106" s="3" t="s">
        <v>68</v>
      </c>
      <c r="R106" s="3">
        <v>1</v>
      </c>
      <c r="S106" s="3" t="s">
        <v>52</v>
      </c>
      <c r="T106" s="3" t="s">
        <v>53</v>
      </c>
      <c r="U106" s="3" t="s">
        <v>54</v>
      </c>
      <c r="V106" s="7"/>
      <c r="W106" s="7"/>
      <c r="X106" s="7"/>
      <c r="Y106" s="7"/>
      <c r="Z106" s="3" t="s">
        <v>55</v>
      </c>
      <c r="AA106" s="3" t="s">
        <v>56</v>
      </c>
      <c r="AB106" s="3" t="s">
        <v>57</v>
      </c>
      <c r="AD106" s="3">
        <v>21.76</v>
      </c>
      <c r="AE106" s="3">
        <v>21.96</v>
      </c>
      <c r="AG106" s="3">
        <v>1.44</v>
      </c>
      <c r="AH106" s="3">
        <v>57.6</v>
      </c>
      <c r="AI106" s="3">
        <v>20.32</v>
      </c>
      <c r="AJ106" s="88">
        <v>58.25</v>
      </c>
      <c r="AK106" s="3" t="s">
        <v>58</v>
      </c>
      <c r="AL106" s="9">
        <f t="shared" si="1"/>
        <v>69.899999999999991</v>
      </c>
      <c r="AN106" t="s">
        <v>5519</v>
      </c>
      <c r="AO106" s="74" t="s">
        <v>5627</v>
      </c>
    </row>
    <row r="107" spans="1:41" ht="14.25" customHeight="1" x14ac:dyDescent="0.3">
      <c r="A107" s="3" t="s">
        <v>1019</v>
      </c>
      <c r="B107" s="3" t="s">
        <v>1027</v>
      </c>
      <c r="C107" s="3" t="s">
        <v>1021</v>
      </c>
      <c r="D107" s="4" t="s">
        <v>1028</v>
      </c>
      <c r="E107" s="3" t="s">
        <v>1023</v>
      </c>
      <c r="F107" s="3" t="s">
        <v>41</v>
      </c>
      <c r="G107" s="5" t="s">
        <v>42</v>
      </c>
      <c r="H107" s="5" t="s">
        <v>43</v>
      </c>
      <c r="I107" s="5" t="s">
        <v>44</v>
      </c>
      <c r="J107" s="3" t="s">
        <v>45</v>
      </c>
      <c r="K107" s="3" t="s">
        <v>46</v>
      </c>
      <c r="L107" s="3" t="s">
        <v>132</v>
      </c>
      <c r="M107" s="3" t="s">
        <v>48</v>
      </c>
      <c r="N107" s="4" t="s">
        <v>1029</v>
      </c>
      <c r="O107" s="67" t="s">
        <v>61</v>
      </c>
      <c r="P107" s="3" t="s">
        <v>50</v>
      </c>
      <c r="Q107" s="3" t="s">
        <v>68</v>
      </c>
      <c r="R107" s="3">
        <v>1</v>
      </c>
      <c r="S107" s="3" t="s">
        <v>52</v>
      </c>
      <c r="T107" s="3" t="s">
        <v>53</v>
      </c>
      <c r="U107" s="3" t="s">
        <v>54</v>
      </c>
      <c r="V107" s="7"/>
      <c r="W107" s="7"/>
      <c r="X107" s="7"/>
      <c r="Y107" s="7"/>
      <c r="Z107" s="3" t="s">
        <v>55</v>
      </c>
      <c r="AA107" s="3" t="s">
        <v>56</v>
      </c>
      <c r="AB107" s="3" t="s">
        <v>57</v>
      </c>
      <c r="AD107" s="3">
        <v>21.76</v>
      </c>
      <c r="AE107" s="3">
        <v>21.96</v>
      </c>
      <c r="AG107" s="3">
        <v>1.44</v>
      </c>
      <c r="AH107" s="3">
        <v>57.6</v>
      </c>
      <c r="AI107" s="3">
        <v>20.32</v>
      </c>
      <c r="AJ107" s="88">
        <v>58.25</v>
      </c>
      <c r="AK107" s="3" t="s">
        <v>58</v>
      </c>
      <c r="AL107" s="9">
        <f t="shared" si="1"/>
        <v>69.899999999999991</v>
      </c>
      <c r="AN107" t="s">
        <v>5519</v>
      </c>
      <c r="AO107" s="74" t="s">
        <v>5627</v>
      </c>
    </row>
    <row r="108" spans="1:41" ht="14.25" customHeight="1" x14ac:dyDescent="0.3">
      <c r="A108" s="3" t="s">
        <v>1019</v>
      </c>
      <c r="B108" s="3" t="s">
        <v>1030</v>
      </c>
      <c r="C108" s="3" t="s">
        <v>1021</v>
      </c>
      <c r="D108" s="4" t="s">
        <v>1031</v>
      </c>
      <c r="E108" s="3" t="s">
        <v>1023</v>
      </c>
      <c r="F108" s="3" t="s">
        <v>41</v>
      </c>
      <c r="G108" s="5" t="s">
        <v>42</v>
      </c>
      <c r="H108" s="5" t="s">
        <v>43</v>
      </c>
      <c r="I108" s="5" t="s">
        <v>44</v>
      </c>
      <c r="J108" s="3" t="s">
        <v>45</v>
      </c>
      <c r="K108" s="3" t="s">
        <v>46</v>
      </c>
      <c r="L108" s="3" t="s">
        <v>132</v>
      </c>
      <c r="M108" s="3" t="s">
        <v>48</v>
      </c>
      <c r="N108" s="3" t="s">
        <v>49</v>
      </c>
      <c r="O108" s="67" t="s">
        <v>49</v>
      </c>
      <c r="P108" s="3" t="s">
        <v>50</v>
      </c>
      <c r="Q108" s="3" t="s">
        <v>68</v>
      </c>
      <c r="R108" s="3">
        <v>1</v>
      </c>
      <c r="S108" s="3" t="s">
        <v>52</v>
      </c>
      <c r="T108" s="3" t="s">
        <v>53</v>
      </c>
      <c r="U108" s="3" t="s">
        <v>54</v>
      </c>
      <c r="V108" s="7"/>
      <c r="W108" s="7"/>
      <c r="X108" s="7"/>
      <c r="Y108" s="7"/>
      <c r="Z108" s="3" t="s">
        <v>55</v>
      </c>
      <c r="AA108" s="3" t="s">
        <v>56</v>
      </c>
      <c r="AB108" s="3" t="s">
        <v>57</v>
      </c>
      <c r="AD108" s="3">
        <v>21.76</v>
      </c>
      <c r="AE108" s="3">
        <v>21.96</v>
      </c>
      <c r="AG108" s="3">
        <v>1.44</v>
      </c>
      <c r="AH108" s="3">
        <v>57.6</v>
      </c>
      <c r="AI108" s="3">
        <v>20.32</v>
      </c>
      <c r="AJ108" s="88">
        <v>58.25</v>
      </c>
      <c r="AK108" s="3" t="s">
        <v>58</v>
      </c>
      <c r="AL108" s="9">
        <f t="shared" si="1"/>
        <v>69.899999999999991</v>
      </c>
      <c r="AN108" t="s">
        <v>5519</v>
      </c>
      <c r="AO108" s="74" t="s">
        <v>5627</v>
      </c>
    </row>
    <row r="109" spans="1:41" ht="14.25" customHeight="1" x14ac:dyDescent="0.3">
      <c r="A109" s="3" t="s">
        <v>726</v>
      </c>
      <c r="B109" s="3" t="s">
        <v>751</v>
      </c>
      <c r="C109" s="3" t="s">
        <v>728</v>
      </c>
      <c r="D109" s="3" t="s">
        <v>752</v>
      </c>
      <c r="E109" s="3" t="s">
        <v>730</v>
      </c>
      <c r="F109" s="3" t="s">
        <v>41</v>
      </c>
      <c r="G109" s="5" t="s">
        <v>42</v>
      </c>
      <c r="H109" s="5" t="s">
        <v>43</v>
      </c>
      <c r="I109" s="5" t="s">
        <v>44</v>
      </c>
      <c r="J109" s="3" t="s">
        <v>45</v>
      </c>
      <c r="K109" s="3" t="s">
        <v>46</v>
      </c>
      <c r="L109" s="3" t="s">
        <v>67</v>
      </c>
      <c r="M109" s="3" t="s">
        <v>48</v>
      </c>
      <c r="N109" s="4" t="s">
        <v>49</v>
      </c>
      <c r="O109" s="68" t="s">
        <v>49</v>
      </c>
      <c r="P109" s="3" t="s">
        <v>50</v>
      </c>
      <c r="Q109" s="3" t="s">
        <v>68</v>
      </c>
      <c r="R109" s="30">
        <v>4</v>
      </c>
      <c r="S109" s="3" t="s">
        <v>52</v>
      </c>
      <c r="T109" s="3" t="s">
        <v>53</v>
      </c>
      <c r="U109" s="3" t="s">
        <v>54</v>
      </c>
      <c r="V109" s="7"/>
      <c r="W109" s="7"/>
      <c r="X109" s="7"/>
      <c r="Y109" s="7"/>
      <c r="Z109" s="3" t="s">
        <v>55</v>
      </c>
      <c r="AA109" s="3" t="s">
        <v>56</v>
      </c>
      <c r="AB109" s="3" t="s">
        <v>57</v>
      </c>
      <c r="AD109" s="3">
        <v>20.181999999999999</v>
      </c>
      <c r="AE109" s="3">
        <v>20.616</v>
      </c>
      <c r="AG109" s="3">
        <v>1.44</v>
      </c>
      <c r="AH109" s="3">
        <v>46.08</v>
      </c>
      <c r="AI109" s="3">
        <v>11.79</v>
      </c>
      <c r="AJ109" s="88">
        <v>30.75</v>
      </c>
      <c r="AK109" s="3" t="s">
        <v>58</v>
      </c>
      <c r="AL109" s="9">
        <f t="shared" si="1"/>
        <v>36.9</v>
      </c>
      <c r="AN109" t="s">
        <v>5519</v>
      </c>
      <c r="AO109" s="74" t="s">
        <v>5628</v>
      </c>
    </row>
    <row r="110" spans="1:41" ht="14.25" customHeight="1" x14ac:dyDescent="0.3">
      <c r="A110" s="3" t="s">
        <v>726</v>
      </c>
      <c r="B110" s="3" t="s">
        <v>753</v>
      </c>
      <c r="C110" s="3" t="s">
        <v>728</v>
      </c>
      <c r="D110" s="3" t="s">
        <v>754</v>
      </c>
      <c r="E110" s="3" t="s">
        <v>730</v>
      </c>
      <c r="F110" s="3" t="s">
        <v>41</v>
      </c>
      <c r="G110" s="5" t="s">
        <v>42</v>
      </c>
      <c r="H110" s="5" t="s">
        <v>43</v>
      </c>
      <c r="I110" s="5" t="s">
        <v>44</v>
      </c>
      <c r="J110" s="3" t="s">
        <v>45</v>
      </c>
      <c r="K110" s="3" t="s">
        <v>46</v>
      </c>
      <c r="L110" s="3" t="s">
        <v>67</v>
      </c>
      <c r="M110" s="3" t="s">
        <v>48</v>
      </c>
      <c r="N110" s="4" t="s">
        <v>61</v>
      </c>
      <c r="O110" s="68" t="s">
        <v>61</v>
      </c>
      <c r="P110" s="3" t="s">
        <v>50</v>
      </c>
      <c r="Q110" s="3" t="s">
        <v>68</v>
      </c>
      <c r="R110" s="30">
        <v>4</v>
      </c>
      <c r="S110" s="3" t="s">
        <v>52</v>
      </c>
      <c r="T110" s="3" t="s">
        <v>53</v>
      </c>
      <c r="U110" s="3" t="s">
        <v>54</v>
      </c>
      <c r="V110" s="7"/>
      <c r="W110" s="7"/>
      <c r="X110" s="7"/>
      <c r="Y110" s="7"/>
      <c r="Z110" s="3" t="s">
        <v>55</v>
      </c>
      <c r="AA110" s="3" t="s">
        <v>56</v>
      </c>
      <c r="AB110" s="3" t="s">
        <v>57</v>
      </c>
      <c r="AD110" s="3">
        <v>20.181999999999999</v>
      </c>
      <c r="AE110" s="3">
        <v>20.616</v>
      </c>
      <c r="AG110" s="3">
        <v>1.44</v>
      </c>
      <c r="AH110" s="3">
        <v>46.08</v>
      </c>
      <c r="AI110" s="3">
        <v>11.79</v>
      </c>
      <c r="AJ110" s="88">
        <v>30.75</v>
      </c>
      <c r="AK110" s="3" t="s">
        <v>58</v>
      </c>
      <c r="AL110" s="9">
        <f t="shared" si="1"/>
        <v>36.9</v>
      </c>
      <c r="AN110" t="s">
        <v>5519</v>
      </c>
      <c r="AO110" s="74" t="s">
        <v>5628</v>
      </c>
    </row>
    <row r="111" spans="1:41" ht="14.25" customHeight="1" x14ac:dyDescent="0.3">
      <c r="A111" s="3" t="s">
        <v>726</v>
      </c>
      <c r="B111" s="3" t="s">
        <v>755</v>
      </c>
      <c r="C111" s="3" t="s">
        <v>728</v>
      </c>
      <c r="D111" s="3" t="s">
        <v>756</v>
      </c>
      <c r="E111" s="3" t="s">
        <v>730</v>
      </c>
      <c r="F111" s="3" t="s">
        <v>41</v>
      </c>
      <c r="G111" s="5" t="s">
        <v>42</v>
      </c>
      <c r="H111" s="5" t="s">
        <v>43</v>
      </c>
      <c r="I111" s="5" t="s">
        <v>44</v>
      </c>
      <c r="J111" s="3" t="s">
        <v>45</v>
      </c>
      <c r="K111" s="3" t="s">
        <v>46</v>
      </c>
      <c r="L111" s="3" t="s">
        <v>67</v>
      </c>
      <c r="M111" s="3" t="s">
        <v>48</v>
      </c>
      <c r="N111" s="4" t="s">
        <v>64</v>
      </c>
      <c r="O111" s="68" t="s">
        <v>64</v>
      </c>
      <c r="P111" s="3" t="s">
        <v>50</v>
      </c>
      <c r="Q111" s="3" t="s">
        <v>68</v>
      </c>
      <c r="R111" s="30">
        <v>4</v>
      </c>
      <c r="S111" s="3" t="s">
        <v>52</v>
      </c>
      <c r="T111" s="3" t="s">
        <v>53</v>
      </c>
      <c r="U111" s="3" t="s">
        <v>54</v>
      </c>
      <c r="V111" s="7"/>
      <c r="W111" s="7"/>
      <c r="X111" s="7"/>
      <c r="Y111" s="7"/>
      <c r="Z111" s="3" t="s">
        <v>55</v>
      </c>
      <c r="AA111" s="3" t="s">
        <v>56</v>
      </c>
      <c r="AB111" s="3" t="s">
        <v>57</v>
      </c>
      <c r="AD111" s="3">
        <v>20.181999999999999</v>
      </c>
      <c r="AE111" s="3">
        <v>20.616</v>
      </c>
      <c r="AG111" s="3">
        <v>1.44</v>
      </c>
      <c r="AH111" s="3">
        <v>46.08</v>
      </c>
      <c r="AI111" s="3">
        <v>11.79</v>
      </c>
      <c r="AJ111" s="88">
        <v>30.75</v>
      </c>
      <c r="AK111" s="3" t="s">
        <v>58</v>
      </c>
      <c r="AL111" s="9">
        <f t="shared" si="1"/>
        <v>36.9</v>
      </c>
      <c r="AN111" t="s">
        <v>5519</v>
      </c>
      <c r="AO111" s="74" t="s">
        <v>5628</v>
      </c>
    </row>
    <row r="112" spans="1:41" ht="14.25" customHeight="1" x14ac:dyDescent="0.3">
      <c r="A112" s="3" t="s">
        <v>726</v>
      </c>
      <c r="B112" s="3" t="s">
        <v>757</v>
      </c>
      <c r="C112" s="3" t="s">
        <v>728</v>
      </c>
      <c r="D112" s="3" t="s">
        <v>758</v>
      </c>
      <c r="E112" s="3" t="s">
        <v>730</v>
      </c>
      <c r="F112" s="3" t="s">
        <v>41</v>
      </c>
      <c r="G112" s="5" t="s">
        <v>42</v>
      </c>
      <c r="H112" s="5" t="s">
        <v>43</v>
      </c>
      <c r="I112" s="5" t="s">
        <v>44</v>
      </c>
      <c r="J112" s="3" t="s">
        <v>45</v>
      </c>
      <c r="K112" s="3" t="s">
        <v>46</v>
      </c>
      <c r="L112" s="3" t="s">
        <v>67</v>
      </c>
      <c r="M112" s="3" t="s">
        <v>48</v>
      </c>
      <c r="N112" s="4" t="s">
        <v>328</v>
      </c>
      <c r="O112" s="67" t="s">
        <v>328</v>
      </c>
      <c r="P112" s="3" t="s">
        <v>50</v>
      </c>
      <c r="Q112" s="3" t="s">
        <v>68</v>
      </c>
      <c r="R112" s="30">
        <v>4</v>
      </c>
      <c r="S112" s="3" t="s">
        <v>52</v>
      </c>
      <c r="T112" s="3" t="s">
        <v>53</v>
      </c>
      <c r="U112" s="3" t="s">
        <v>54</v>
      </c>
      <c r="V112" s="7"/>
      <c r="W112" s="7"/>
      <c r="X112" s="7"/>
      <c r="Y112" s="7"/>
      <c r="Z112" s="3" t="s">
        <v>55</v>
      </c>
      <c r="AA112" s="3" t="s">
        <v>56</v>
      </c>
      <c r="AB112" s="3" t="s">
        <v>57</v>
      </c>
      <c r="AD112" s="3">
        <v>20.181999999999999</v>
      </c>
      <c r="AE112" s="3">
        <v>20.616</v>
      </c>
      <c r="AG112" s="3">
        <v>1.44</v>
      </c>
      <c r="AH112" s="3">
        <v>46.08</v>
      </c>
      <c r="AI112" s="3">
        <v>11.79</v>
      </c>
      <c r="AJ112" s="88">
        <v>30.75</v>
      </c>
      <c r="AK112" s="3" t="s">
        <v>58</v>
      </c>
      <c r="AL112" s="9">
        <f t="shared" si="1"/>
        <v>36.9</v>
      </c>
      <c r="AN112" t="s">
        <v>5519</v>
      </c>
      <c r="AO112" s="74" t="s">
        <v>5628</v>
      </c>
    </row>
    <row r="113" spans="1:41" ht="14.25" customHeight="1" x14ac:dyDescent="0.3">
      <c r="A113" s="3" t="s">
        <v>726</v>
      </c>
      <c r="B113" s="3" t="s">
        <v>759</v>
      </c>
      <c r="C113" s="3" t="s">
        <v>728</v>
      </c>
      <c r="D113" s="3" t="s">
        <v>760</v>
      </c>
      <c r="E113" s="3" t="s">
        <v>730</v>
      </c>
      <c r="F113" s="3" t="s">
        <v>41</v>
      </c>
      <c r="G113" s="5" t="s">
        <v>42</v>
      </c>
      <c r="H113" s="5" t="s">
        <v>43</v>
      </c>
      <c r="I113" s="5" t="s">
        <v>44</v>
      </c>
      <c r="J113" s="3" t="s">
        <v>45</v>
      </c>
      <c r="K113" s="3" t="s">
        <v>46</v>
      </c>
      <c r="L113" s="3" t="s">
        <v>67</v>
      </c>
      <c r="M113" s="3" t="s">
        <v>48</v>
      </c>
      <c r="N113" s="4" t="s">
        <v>747</v>
      </c>
      <c r="O113" s="68" t="s">
        <v>586</v>
      </c>
      <c r="P113" s="3" t="s">
        <v>50</v>
      </c>
      <c r="Q113" s="3" t="s">
        <v>68</v>
      </c>
      <c r="R113" s="30">
        <v>4</v>
      </c>
      <c r="S113" s="3" t="s">
        <v>52</v>
      </c>
      <c r="T113" s="3" t="s">
        <v>53</v>
      </c>
      <c r="U113" s="3" t="s">
        <v>54</v>
      </c>
      <c r="V113" s="7"/>
      <c r="W113" s="7"/>
      <c r="X113" s="7"/>
      <c r="Y113" s="7"/>
      <c r="Z113" s="3" t="s">
        <v>55</v>
      </c>
      <c r="AA113" s="3" t="s">
        <v>56</v>
      </c>
      <c r="AB113" s="3" t="s">
        <v>57</v>
      </c>
      <c r="AD113" s="3">
        <v>20.181999999999999</v>
      </c>
      <c r="AE113" s="3">
        <v>20.616</v>
      </c>
      <c r="AG113" s="3">
        <v>1.44</v>
      </c>
      <c r="AH113" s="3">
        <v>46.08</v>
      </c>
      <c r="AI113" s="3">
        <v>11.79</v>
      </c>
      <c r="AJ113" s="88">
        <v>30.75</v>
      </c>
      <c r="AK113" s="3" t="s">
        <v>58</v>
      </c>
      <c r="AL113" s="9">
        <f t="shared" si="1"/>
        <v>36.9</v>
      </c>
      <c r="AN113" t="s">
        <v>5519</v>
      </c>
      <c r="AO113" s="74" t="s">
        <v>5628</v>
      </c>
    </row>
    <row r="114" spans="1:41" ht="14.25" customHeight="1" x14ac:dyDescent="0.3">
      <c r="A114" s="3" t="s">
        <v>726</v>
      </c>
      <c r="B114" s="3" t="s">
        <v>761</v>
      </c>
      <c r="C114" s="3" t="s">
        <v>728</v>
      </c>
      <c r="D114" s="3" t="s">
        <v>762</v>
      </c>
      <c r="E114" s="3" t="s">
        <v>730</v>
      </c>
      <c r="F114" s="3" t="s">
        <v>41</v>
      </c>
      <c r="G114" s="5" t="s">
        <v>42</v>
      </c>
      <c r="H114" s="5" t="s">
        <v>43</v>
      </c>
      <c r="I114" s="5" t="s">
        <v>44</v>
      </c>
      <c r="J114" s="3" t="s">
        <v>45</v>
      </c>
      <c r="K114" s="3" t="s">
        <v>46</v>
      </c>
      <c r="L114" s="3" t="s">
        <v>67</v>
      </c>
      <c r="M114" s="3" t="s">
        <v>48</v>
      </c>
      <c r="N114" s="4" t="s">
        <v>750</v>
      </c>
      <c r="O114" s="67" t="s">
        <v>1463</v>
      </c>
      <c r="P114" s="3" t="s">
        <v>50</v>
      </c>
      <c r="Q114" s="3" t="s">
        <v>68</v>
      </c>
      <c r="R114" s="30">
        <v>4</v>
      </c>
      <c r="S114" s="3" t="s">
        <v>52</v>
      </c>
      <c r="T114" s="3" t="s">
        <v>53</v>
      </c>
      <c r="U114" s="3" t="s">
        <v>54</v>
      </c>
      <c r="V114" s="7"/>
      <c r="W114" s="7"/>
      <c r="X114" s="7"/>
      <c r="Y114" s="7"/>
      <c r="Z114" s="3" t="s">
        <v>55</v>
      </c>
      <c r="AA114" s="3" t="s">
        <v>56</v>
      </c>
      <c r="AB114" s="3" t="s">
        <v>57</v>
      </c>
      <c r="AD114" s="3">
        <v>20.181999999999999</v>
      </c>
      <c r="AE114" s="3">
        <v>20.616</v>
      </c>
      <c r="AG114" s="3">
        <v>1.44</v>
      </c>
      <c r="AH114" s="3">
        <v>46.08</v>
      </c>
      <c r="AI114" s="3">
        <v>11.79</v>
      </c>
      <c r="AJ114" s="88">
        <v>30.75</v>
      </c>
      <c r="AK114" s="3" t="s">
        <v>58</v>
      </c>
      <c r="AL114" s="9">
        <f t="shared" si="1"/>
        <v>36.9</v>
      </c>
      <c r="AN114" t="s">
        <v>5519</v>
      </c>
      <c r="AO114" s="74" t="s">
        <v>5628</v>
      </c>
    </row>
    <row r="115" spans="1:41" ht="14.25" customHeight="1" x14ac:dyDescent="0.3">
      <c r="A115" s="3" t="s">
        <v>726</v>
      </c>
      <c r="B115" s="3" t="s">
        <v>737</v>
      </c>
      <c r="C115" s="3" t="s">
        <v>728</v>
      </c>
      <c r="D115" s="3" t="s">
        <v>738</v>
      </c>
      <c r="E115" s="3" t="s">
        <v>730</v>
      </c>
      <c r="F115" s="3" t="s">
        <v>41</v>
      </c>
      <c r="G115" s="5" t="s">
        <v>42</v>
      </c>
      <c r="H115" s="5" t="s">
        <v>43</v>
      </c>
      <c r="I115" s="5" t="s">
        <v>44</v>
      </c>
      <c r="J115" s="3" t="s">
        <v>45</v>
      </c>
      <c r="K115" s="3" t="s">
        <v>46</v>
      </c>
      <c r="L115" s="3" t="s">
        <v>47</v>
      </c>
      <c r="M115" s="3" t="s">
        <v>48</v>
      </c>
      <c r="N115" s="4" t="s">
        <v>49</v>
      </c>
      <c r="O115" s="68" t="s">
        <v>49</v>
      </c>
      <c r="P115" s="3" t="s">
        <v>50</v>
      </c>
      <c r="Q115" s="3" t="s">
        <v>51</v>
      </c>
      <c r="R115" s="3">
        <v>2</v>
      </c>
      <c r="S115" s="3" t="s">
        <v>52</v>
      </c>
      <c r="T115" s="3" t="s">
        <v>53</v>
      </c>
      <c r="U115" s="3" t="s">
        <v>54</v>
      </c>
      <c r="V115" s="7"/>
      <c r="W115" s="7"/>
      <c r="X115" s="7"/>
      <c r="Y115" s="7"/>
      <c r="Z115" s="3" t="s">
        <v>55</v>
      </c>
      <c r="AA115" s="3" t="s">
        <v>56</v>
      </c>
      <c r="AB115" s="3" t="s">
        <v>57</v>
      </c>
      <c r="AD115" s="3">
        <v>20.100000000000001</v>
      </c>
      <c r="AE115" s="3">
        <v>20.486000000000001</v>
      </c>
      <c r="AG115" s="3">
        <v>1.44</v>
      </c>
      <c r="AH115" s="3">
        <v>51.84</v>
      </c>
      <c r="AI115" s="3">
        <v>12.96</v>
      </c>
      <c r="AJ115" s="88">
        <v>35.75</v>
      </c>
      <c r="AK115" s="3" t="s">
        <v>58</v>
      </c>
      <c r="AL115" s="9">
        <f t="shared" si="1"/>
        <v>42.9</v>
      </c>
      <c r="AN115" t="s">
        <v>5519</v>
      </c>
      <c r="AO115" s="74" t="s">
        <v>5628</v>
      </c>
    </row>
    <row r="116" spans="1:41" ht="14.25" customHeight="1" x14ac:dyDescent="0.3">
      <c r="A116" s="3" t="s">
        <v>726</v>
      </c>
      <c r="B116" s="3" t="s">
        <v>739</v>
      </c>
      <c r="C116" s="3" t="s">
        <v>728</v>
      </c>
      <c r="D116" s="3" t="s">
        <v>740</v>
      </c>
      <c r="E116" s="3" t="s">
        <v>730</v>
      </c>
      <c r="F116" s="3" t="s">
        <v>41</v>
      </c>
      <c r="G116" s="5" t="s">
        <v>42</v>
      </c>
      <c r="H116" s="5" t="s">
        <v>43</v>
      </c>
      <c r="I116" s="5" t="s">
        <v>44</v>
      </c>
      <c r="J116" s="3" t="s">
        <v>45</v>
      </c>
      <c r="K116" s="3" t="s">
        <v>46</v>
      </c>
      <c r="L116" s="3" t="s">
        <v>47</v>
      </c>
      <c r="M116" s="3" t="s">
        <v>48</v>
      </c>
      <c r="N116" s="4" t="s">
        <v>61</v>
      </c>
      <c r="O116" s="68" t="s">
        <v>61</v>
      </c>
      <c r="P116" s="3" t="s">
        <v>50</v>
      </c>
      <c r="Q116" s="3" t="s">
        <v>51</v>
      </c>
      <c r="R116" s="3">
        <v>2</v>
      </c>
      <c r="S116" s="3" t="s">
        <v>52</v>
      </c>
      <c r="T116" s="3" t="s">
        <v>53</v>
      </c>
      <c r="U116" s="3" t="s">
        <v>54</v>
      </c>
      <c r="V116" s="7"/>
      <c r="W116" s="7"/>
      <c r="X116" s="7"/>
      <c r="Y116" s="7"/>
      <c r="Z116" s="3" t="s">
        <v>55</v>
      </c>
      <c r="AA116" s="3" t="s">
        <v>56</v>
      </c>
      <c r="AB116" s="3" t="s">
        <v>57</v>
      </c>
      <c r="AD116" s="3">
        <v>20.100000000000001</v>
      </c>
      <c r="AE116" s="3">
        <v>20.486000000000001</v>
      </c>
      <c r="AG116" s="3">
        <v>1.44</v>
      </c>
      <c r="AH116" s="3">
        <v>51.84</v>
      </c>
      <c r="AI116" s="3">
        <v>12.96</v>
      </c>
      <c r="AJ116" s="88">
        <v>35.75</v>
      </c>
      <c r="AK116" s="3" t="s">
        <v>58</v>
      </c>
      <c r="AL116" s="9">
        <f t="shared" si="1"/>
        <v>42.9</v>
      </c>
      <c r="AN116" t="s">
        <v>5519</v>
      </c>
      <c r="AO116" s="74" t="s">
        <v>5628</v>
      </c>
    </row>
    <row r="117" spans="1:41" ht="14.25" customHeight="1" x14ac:dyDescent="0.3">
      <c r="A117" s="3" t="s">
        <v>726</v>
      </c>
      <c r="B117" s="3" t="s">
        <v>741</v>
      </c>
      <c r="C117" s="3" t="s">
        <v>728</v>
      </c>
      <c r="D117" s="3" t="s">
        <v>742</v>
      </c>
      <c r="E117" s="3" t="s">
        <v>730</v>
      </c>
      <c r="F117" s="3" t="s">
        <v>41</v>
      </c>
      <c r="G117" s="5" t="s">
        <v>42</v>
      </c>
      <c r="H117" s="5" t="s">
        <v>43</v>
      </c>
      <c r="I117" s="5" t="s">
        <v>44</v>
      </c>
      <c r="J117" s="3" t="s">
        <v>45</v>
      </c>
      <c r="K117" s="3" t="s">
        <v>46</v>
      </c>
      <c r="L117" s="3" t="s">
        <v>47</v>
      </c>
      <c r="M117" s="3" t="s">
        <v>48</v>
      </c>
      <c r="N117" s="4" t="s">
        <v>64</v>
      </c>
      <c r="O117" s="67" t="s">
        <v>64</v>
      </c>
      <c r="P117" s="3" t="s">
        <v>50</v>
      </c>
      <c r="Q117" s="3" t="s">
        <v>51</v>
      </c>
      <c r="R117" s="3">
        <v>2</v>
      </c>
      <c r="S117" s="3" t="s">
        <v>52</v>
      </c>
      <c r="T117" s="3" t="s">
        <v>53</v>
      </c>
      <c r="U117" s="3" t="s">
        <v>54</v>
      </c>
      <c r="V117" s="7"/>
      <c r="W117" s="7"/>
      <c r="X117" s="7"/>
      <c r="Y117" s="7"/>
      <c r="Z117" s="3" t="s">
        <v>55</v>
      </c>
      <c r="AA117" s="3" t="s">
        <v>56</v>
      </c>
      <c r="AB117" s="3" t="s">
        <v>57</v>
      </c>
      <c r="AD117" s="3">
        <v>20.100000000000001</v>
      </c>
      <c r="AE117" s="3">
        <v>20.486000000000001</v>
      </c>
      <c r="AG117" s="3">
        <v>1.44</v>
      </c>
      <c r="AH117" s="3">
        <v>51.84</v>
      </c>
      <c r="AI117" s="3">
        <v>12.96</v>
      </c>
      <c r="AJ117" s="88">
        <v>35.75</v>
      </c>
      <c r="AK117" s="3" t="s">
        <v>58</v>
      </c>
      <c r="AL117" s="9">
        <f t="shared" si="1"/>
        <v>42.9</v>
      </c>
      <c r="AN117" t="s">
        <v>5519</v>
      </c>
      <c r="AO117" s="74" t="s">
        <v>5628</v>
      </c>
    </row>
    <row r="118" spans="1:41" ht="14.25" customHeight="1" x14ac:dyDescent="0.3">
      <c r="A118" s="3" t="s">
        <v>726</v>
      </c>
      <c r="B118" s="3" t="s">
        <v>743</v>
      </c>
      <c r="C118" s="3" t="s">
        <v>728</v>
      </c>
      <c r="D118" s="3" t="s">
        <v>744</v>
      </c>
      <c r="E118" s="3" t="s">
        <v>730</v>
      </c>
      <c r="F118" s="3" t="s">
        <v>41</v>
      </c>
      <c r="G118" s="5" t="s">
        <v>42</v>
      </c>
      <c r="H118" s="5" t="s">
        <v>43</v>
      </c>
      <c r="I118" s="5" t="s">
        <v>44</v>
      </c>
      <c r="J118" s="3" t="s">
        <v>45</v>
      </c>
      <c r="K118" s="3" t="s">
        <v>46</v>
      </c>
      <c r="L118" s="3" t="s">
        <v>47</v>
      </c>
      <c r="M118" s="3" t="s">
        <v>48</v>
      </c>
      <c r="N118" s="4" t="s">
        <v>328</v>
      </c>
      <c r="O118" s="67" t="s">
        <v>328</v>
      </c>
      <c r="P118" s="3" t="s">
        <v>50</v>
      </c>
      <c r="Q118" s="3" t="s">
        <v>51</v>
      </c>
      <c r="R118" s="3">
        <v>2</v>
      </c>
      <c r="S118" s="3" t="s">
        <v>52</v>
      </c>
      <c r="T118" s="3" t="s">
        <v>53</v>
      </c>
      <c r="U118" s="3" t="s">
        <v>54</v>
      </c>
      <c r="V118" s="7"/>
      <c r="W118" s="7"/>
      <c r="X118" s="7"/>
      <c r="Y118" s="7"/>
      <c r="Z118" s="3" t="s">
        <v>55</v>
      </c>
      <c r="AA118" s="3" t="s">
        <v>56</v>
      </c>
      <c r="AB118" s="3" t="s">
        <v>57</v>
      </c>
      <c r="AD118" s="3">
        <v>20.100000000000001</v>
      </c>
      <c r="AE118" s="3">
        <v>20.486000000000001</v>
      </c>
      <c r="AG118" s="3">
        <v>1.44</v>
      </c>
      <c r="AH118" s="3">
        <v>51.84</v>
      </c>
      <c r="AI118" s="3">
        <v>12.96</v>
      </c>
      <c r="AJ118" s="88">
        <v>35.75</v>
      </c>
      <c r="AK118" s="3" t="s">
        <v>58</v>
      </c>
      <c r="AL118" s="9">
        <f t="shared" si="1"/>
        <v>42.9</v>
      </c>
      <c r="AN118" t="s">
        <v>5519</v>
      </c>
      <c r="AO118" s="74" t="s">
        <v>5628</v>
      </c>
    </row>
    <row r="119" spans="1:41" ht="14.25" customHeight="1" x14ac:dyDescent="0.3">
      <c r="A119" s="3" t="s">
        <v>726</v>
      </c>
      <c r="B119" s="3" t="s">
        <v>745</v>
      </c>
      <c r="C119" s="3" t="s">
        <v>728</v>
      </c>
      <c r="D119" s="3" t="s">
        <v>746</v>
      </c>
      <c r="E119" s="3" t="s">
        <v>730</v>
      </c>
      <c r="F119" s="3" t="s">
        <v>41</v>
      </c>
      <c r="G119" s="5" t="s">
        <v>42</v>
      </c>
      <c r="H119" s="5" t="s">
        <v>43</v>
      </c>
      <c r="I119" s="5" t="s">
        <v>44</v>
      </c>
      <c r="J119" s="3" t="s">
        <v>45</v>
      </c>
      <c r="K119" s="3" t="s">
        <v>46</v>
      </c>
      <c r="L119" s="3" t="s">
        <v>47</v>
      </c>
      <c r="M119" s="3" t="s">
        <v>48</v>
      </c>
      <c r="N119" s="4" t="s">
        <v>747</v>
      </c>
      <c r="O119" s="68" t="s">
        <v>586</v>
      </c>
      <c r="P119" s="3" t="s">
        <v>50</v>
      </c>
      <c r="Q119" s="3" t="s">
        <v>51</v>
      </c>
      <c r="R119" s="3">
        <v>2</v>
      </c>
      <c r="S119" s="3" t="s">
        <v>52</v>
      </c>
      <c r="T119" s="3" t="s">
        <v>53</v>
      </c>
      <c r="U119" s="3" t="s">
        <v>54</v>
      </c>
      <c r="V119" s="7"/>
      <c r="W119" s="7"/>
      <c r="X119" s="7"/>
      <c r="Y119" s="7"/>
      <c r="Z119" s="3" t="s">
        <v>55</v>
      </c>
      <c r="AA119" s="3" t="s">
        <v>56</v>
      </c>
      <c r="AB119" s="3" t="s">
        <v>57</v>
      </c>
      <c r="AD119" s="3">
        <v>20.100000000000001</v>
      </c>
      <c r="AE119" s="3">
        <v>20.486000000000001</v>
      </c>
      <c r="AG119" s="3">
        <v>1.44</v>
      </c>
      <c r="AH119" s="3">
        <v>51.84</v>
      </c>
      <c r="AI119" s="3">
        <v>12.96</v>
      </c>
      <c r="AJ119" s="88">
        <v>35.75</v>
      </c>
      <c r="AK119" s="3" t="s">
        <v>58</v>
      </c>
      <c r="AL119" s="9">
        <f t="shared" si="1"/>
        <v>42.9</v>
      </c>
      <c r="AN119" t="s">
        <v>5519</v>
      </c>
      <c r="AO119" s="74" t="s">
        <v>5628</v>
      </c>
    </row>
    <row r="120" spans="1:41" ht="14.25" customHeight="1" x14ac:dyDescent="0.3">
      <c r="A120" s="3" t="s">
        <v>726</v>
      </c>
      <c r="B120" s="3" t="s">
        <v>748</v>
      </c>
      <c r="C120" s="3" t="s">
        <v>728</v>
      </c>
      <c r="D120" s="3" t="s">
        <v>749</v>
      </c>
      <c r="E120" s="3" t="s">
        <v>730</v>
      </c>
      <c r="F120" s="3" t="s">
        <v>41</v>
      </c>
      <c r="G120" s="5" t="s">
        <v>42</v>
      </c>
      <c r="H120" s="5" t="s">
        <v>43</v>
      </c>
      <c r="I120" s="5" t="s">
        <v>44</v>
      </c>
      <c r="J120" s="3" t="s">
        <v>45</v>
      </c>
      <c r="K120" s="3" t="s">
        <v>46</v>
      </c>
      <c r="L120" s="3" t="s">
        <v>47</v>
      </c>
      <c r="M120" s="3" t="s">
        <v>48</v>
      </c>
      <c r="N120" s="4" t="s">
        <v>750</v>
      </c>
      <c r="O120" s="67" t="s">
        <v>1463</v>
      </c>
      <c r="P120" s="3" t="s">
        <v>50</v>
      </c>
      <c r="Q120" s="3" t="s">
        <v>51</v>
      </c>
      <c r="R120" s="3">
        <v>2</v>
      </c>
      <c r="S120" s="3" t="s">
        <v>52</v>
      </c>
      <c r="T120" s="3" t="s">
        <v>53</v>
      </c>
      <c r="U120" s="3" t="s">
        <v>54</v>
      </c>
      <c r="V120" s="7"/>
      <c r="W120" s="7"/>
      <c r="X120" s="7"/>
      <c r="Y120" s="7"/>
      <c r="Z120" s="3" t="s">
        <v>55</v>
      </c>
      <c r="AA120" s="3" t="s">
        <v>56</v>
      </c>
      <c r="AB120" s="3" t="s">
        <v>57</v>
      </c>
      <c r="AD120" s="3">
        <v>20.100000000000001</v>
      </c>
      <c r="AE120" s="3">
        <v>20.486000000000001</v>
      </c>
      <c r="AG120" s="3">
        <v>1.44</v>
      </c>
      <c r="AH120" s="3">
        <v>51.84</v>
      </c>
      <c r="AI120" s="3">
        <v>12.96</v>
      </c>
      <c r="AJ120" s="88">
        <v>35.75</v>
      </c>
      <c r="AK120" s="3" t="s">
        <v>58</v>
      </c>
      <c r="AL120" s="9">
        <f t="shared" si="1"/>
        <v>42.9</v>
      </c>
      <c r="AN120" t="s">
        <v>5519</v>
      </c>
      <c r="AO120" s="74" t="s">
        <v>5628</v>
      </c>
    </row>
    <row r="121" spans="1:41" ht="14.25" customHeight="1" x14ac:dyDescent="0.3">
      <c r="A121" s="3" t="s">
        <v>726</v>
      </c>
      <c r="B121" s="3" t="s">
        <v>727</v>
      </c>
      <c r="C121" s="3" t="s">
        <v>728</v>
      </c>
      <c r="D121" s="3" t="s">
        <v>729</v>
      </c>
      <c r="E121" s="3" t="s">
        <v>730</v>
      </c>
      <c r="F121" s="3" t="s">
        <v>41</v>
      </c>
      <c r="G121" s="5" t="s">
        <v>42</v>
      </c>
      <c r="H121" s="5" t="s">
        <v>43</v>
      </c>
      <c r="I121" s="5" t="s">
        <v>44</v>
      </c>
      <c r="J121" s="3" t="s">
        <v>45</v>
      </c>
      <c r="K121" s="3" t="s">
        <v>46</v>
      </c>
      <c r="L121" s="3" t="s">
        <v>132</v>
      </c>
      <c r="M121" s="3" t="s">
        <v>48</v>
      </c>
      <c r="N121" s="4" t="s">
        <v>49</v>
      </c>
      <c r="O121" s="67" t="s">
        <v>49</v>
      </c>
      <c r="P121" s="3" t="s">
        <v>50</v>
      </c>
      <c r="Q121" s="3" t="s">
        <v>68</v>
      </c>
      <c r="R121" s="3">
        <v>1</v>
      </c>
      <c r="S121" s="3" t="s">
        <v>52</v>
      </c>
      <c r="T121" s="3" t="s">
        <v>53</v>
      </c>
      <c r="U121" s="3" t="s">
        <v>54</v>
      </c>
      <c r="V121" s="7"/>
      <c r="W121" s="7"/>
      <c r="X121" s="7"/>
      <c r="Y121" s="7"/>
      <c r="Z121" s="3" t="s">
        <v>55</v>
      </c>
      <c r="AA121" s="3" t="s">
        <v>56</v>
      </c>
      <c r="AB121" s="3" t="s">
        <v>57</v>
      </c>
      <c r="AD121" s="3">
        <v>21.762</v>
      </c>
      <c r="AE121" s="3">
        <v>21.962</v>
      </c>
      <c r="AG121" s="3">
        <v>1.44</v>
      </c>
      <c r="AH121" s="3">
        <v>57.6</v>
      </c>
      <c r="AI121" s="3">
        <v>20.32</v>
      </c>
      <c r="AJ121" s="88">
        <v>58.25</v>
      </c>
      <c r="AK121" s="3" t="s">
        <v>58</v>
      </c>
      <c r="AL121" s="9">
        <f t="shared" si="1"/>
        <v>69.899999999999991</v>
      </c>
      <c r="AN121" t="s">
        <v>5519</v>
      </c>
      <c r="AO121" s="74" t="s">
        <v>5628</v>
      </c>
    </row>
    <row r="122" spans="1:41" ht="14.25" customHeight="1" x14ac:dyDescent="0.3">
      <c r="A122" s="3" t="s">
        <v>726</v>
      </c>
      <c r="B122" s="3" t="s">
        <v>731</v>
      </c>
      <c r="C122" s="3" t="s">
        <v>728</v>
      </c>
      <c r="D122" s="3" t="s">
        <v>732</v>
      </c>
      <c r="E122" s="3" t="s">
        <v>730</v>
      </c>
      <c r="F122" s="3" t="s">
        <v>41</v>
      </c>
      <c r="G122" s="5" t="s">
        <v>42</v>
      </c>
      <c r="H122" s="5" t="s">
        <v>43</v>
      </c>
      <c r="I122" s="5" t="s">
        <v>44</v>
      </c>
      <c r="J122" s="3" t="s">
        <v>45</v>
      </c>
      <c r="K122" s="3" t="s">
        <v>46</v>
      </c>
      <c r="L122" s="3" t="s">
        <v>132</v>
      </c>
      <c r="M122" s="3" t="s">
        <v>48</v>
      </c>
      <c r="N122" s="4" t="s">
        <v>61</v>
      </c>
      <c r="O122" s="67" t="s">
        <v>61</v>
      </c>
      <c r="P122" s="3" t="s">
        <v>50</v>
      </c>
      <c r="Q122" s="3" t="s">
        <v>68</v>
      </c>
      <c r="R122" s="3">
        <v>1</v>
      </c>
      <c r="S122" s="3" t="s">
        <v>52</v>
      </c>
      <c r="T122" s="3" t="s">
        <v>53</v>
      </c>
      <c r="U122" s="3" t="s">
        <v>54</v>
      </c>
      <c r="V122" s="7"/>
      <c r="W122" s="7"/>
      <c r="X122" s="7"/>
      <c r="Y122" s="7"/>
      <c r="Z122" s="3" t="s">
        <v>55</v>
      </c>
      <c r="AA122" s="3" t="s">
        <v>56</v>
      </c>
      <c r="AB122" s="3" t="s">
        <v>57</v>
      </c>
      <c r="AD122" s="3">
        <v>21.762</v>
      </c>
      <c r="AE122" s="3">
        <v>21.962</v>
      </c>
      <c r="AG122" s="3">
        <v>1.44</v>
      </c>
      <c r="AH122" s="3">
        <v>57.6</v>
      </c>
      <c r="AI122" s="3">
        <v>20.32</v>
      </c>
      <c r="AJ122" s="88">
        <v>58.25</v>
      </c>
      <c r="AK122" s="3" t="s">
        <v>58</v>
      </c>
      <c r="AL122" s="9">
        <f t="shared" si="1"/>
        <v>69.899999999999991</v>
      </c>
      <c r="AN122" t="s">
        <v>5519</v>
      </c>
      <c r="AO122" s="74" t="s">
        <v>5628</v>
      </c>
    </row>
    <row r="123" spans="1:41" ht="14.25" customHeight="1" x14ac:dyDescent="0.3">
      <c r="A123" s="3" t="s">
        <v>726</v>
      </c>
      <c r="B123" s="3" t="s">
        <v>733</v>
      </c>
      <c r="C123" s="3" t="s">
        <v>728</v>
      </c>
      <c r="D123" s="3" t="s">
        <v>734</v>
      </c>
      <c r="E123" s="3" t="s">
        <v>730</v>
      </c>
      <c r="F123" s="3" t="s">
        <v>41</v>
      </c>
      <c r="G123" s="5" t="s">
        <v>42</v>
      </c>
      <c r="H123" s="5" t="s">
        <v>43</v>
      </c>
      <c r="I123" s="5" t="s">
        <v>44</v>
      </c>
      <c r="J123" s="3" t="s">
        <v>45</v>
      </c>
      <c r="K123" s="3" t="s">
        <v>46</v>
      </c>
      <c r="L123" s="3" t="s">
        <v>132</v>
      </c>
      <c r="M123" s="3" t="s">
        <v>48</v>
      </c>
      <c r="N123" s="4" t="s">
        <v>64</v>
      </c>
      <c r="O123" s="67" t="s">
        <v>64</v>
      </c>
      <c r="P123" s="3" t="s">
        <v>50</v>
      </c>
      <c r="Q123" s="3" t="s">
        <v>68</v>
      </c>
      <c r="R123" s="3">
        <v>1</v>
      </c>
      <c r="S123" s="3" t="s">
        <v>52</v>
      </c>
      <c r="T123" s="3" t="s">
        <v>53</v>
      </c>
      <c r="U123" s="3" t="s">
        <v>54</v>
      </c>
      <c r="V123" s="7"/>
      <c r="W123" s="7"/>
      <c r="X123" s="7"/>
      <c r="Y123" s="7"/>
      <c r="Z123" s="3" t="s">
        <v>55</v>
      </c>
      <c r="AA123" s="3" t="s">
        <v>56</v>
      </c>
      <c r="AB123" s="3" t="s">
        <v>57</v>
      </c>
      <c r="AD123" s="3">
        <v>21.762</v>
      </c>
      <c r="AE123" s="3">
        <v>21.962</v>
      </c>
      <c r="AG123" s="3">
        <v>1.44</v>
      </c>
      <c r="AH123" s="3">
        <v>57.6</v>
      </c>
      <c r="AI123" s="3">
        <v>20.32</v>
      </c>
      <c r="AJ123" s="88">
        <v>58.25</v>
      </c>
      <c r="AK123" s="3" t="s">
        <v>58</v>
      </c>
      <c r="AL123" s="9">
        <f t="shared" si="1"/>
        <v>69.899999999999991</v>
      </c>
      <c r="AN123" t="s">
        <v>5519</v>
      </c>
      <c r="AO123" s="74" t="s">
        <v>5628</v>
      </c>
    </row>
    <row r="124" spans="1:41" ht="14.25" customHeight="1" x14ac:dyDescent="0.3">
      <c r="A124" s="3" t="s">
        <v>726</v>
      </c>
      <c r="B124" s="3" t="s">
        <v>735</v>
      </c>
      <c r="C124" s="3" t="s">
        <v>728</v>
      </c>
      <c r="D124" s="3" t="s">
        <v>736</v>
      </c>
      <c r="E124" s="3" t="s">
        <v>730</v>
      </c>
      <c r="F124" s="3" t="s">
        <v>41</v>
      </c>
      <c r="G124" s="5" t="s">
        <v>42</v>
      </c>
      <c r="H124" s="5" t="s">
        <v>43</v>
      </c>
      <c r="I124" s="5" t="s">
        <v>44</v>
      </c>
      <c r="J124" s="3" t="s">
        <v>45</v>
      </c>
      <c r="K124" s="3" t="s">
        <v>46</v>
      </c>
      <c r="L124" s="3" t="s">
        <v>132</v>
      </c>
      <c r="M124" s="3" t="s">
        <v>48</v>
      </c>
      <c r="N124" s="4" t="s">
        <v>328</v>
      </c>
      <c r="O124" s="67" t="s">
        <v>328</v>
      </c>
      <c r="P124" s="3" t="s">
        <v>50</v>
      </c>
      <c r="Q124" s="3" t="s">
        <v>68</v>
      </c>
      <c r="R124" s="3">
        <v>1</v>
      </c>
      <c r="S124" s="3" t="s">
        <v>52</v>
      </c>
      <c r="T124" s="3" t="s">
        <v>53</v>
      </c>
      <c r="U124" s="3" t="s">
        <v>54</v>
      </c>
      <c r="V124" s="7"/>
      <c r="W124" s="7"/>
      <c r="X124" s="7"/>
      <c r="Y124" s="7"/>
      <c r="Z124" s="3" t="s">
        <v>55</v>
      </c>
      <c r="AA124" s="3" t="s">
        <v>56</v>
      </c>
      <c r="AB124" s="3" t="s">
        <v>57</v>
      </c>
      <c r="AD124" s="3">
        <v>21.762</v>
      </c>
      <c r="AE124" s="3">
        <v>21.962</v>
      </c>
      <c r="AG124" s="3">
        <v>1.44</v>
      </c>
      <c r="AH124" s="3">
        <v>57.6</v>
      </c>
      <c r="AI124" s="3">
        <v>20.32</v>
      </c>
      <c r="AJ124" s="88">
        <v>58.25</v>
      </c>
      <c r="AK124" s="3" t="s">
        <v>58</v>
      </c>
      <c r="AL124" s="9">
        <f t="shared" si="1"/>
        <v>69.899999999999991</v>
      </c>
      <c r="AN124" t="s">
        <v>5519</v>
      </c>
      <c r="AO124" s="74" t="s">
        <v>5628</v>
      </c>
    </row>
    <row r="125" spans="1:41" ht="14.25" customHeight="1" x14ac:dyDescent="0.3">
      <c r="A125" s="3" t="s">
        <v>316</v>
      </c>
      <c r="B125" s="3" t="s">
        <v>317</v>
      </c>
      <c r="C125" s="3" t="s">
        <v>318</v>
      </c>
      <c r="D125" s="4" t="s">
        <v>319</v>
      </c>
      <c r="E125" s="3" t="s">
        <v>320</v>
      </c>
      <c r="F125" s="3" t="s">
        <v>41</v>
      </c>
      <c r="G125" s="5" t="s">
        <v>42</v>
      </c>
      <c r="H125" s="5" t="s">
        <v>43</v>
      </c>
      <c r="I125" s="5" t="s">
        <v>44</v>
      </c>
      <c r="J125" s="3" t="s">
        <v>45</v>
      </c>
      <c r="K125" s="3" t="s">
        <v>46</v>
      </c>
      <c r="L125" s="3" t="s">
        <v>47</v>
      </c>
      <c r="M125" s="3" t="s">
        <v>48</v>
      </c>
      <c r="N125" s="4" t="s">
        <v>49</v>
      </c>
      <c r="O125" s="67" t="s">
        <v>49</v>
      </c>
      <c r="P125" s="3" t="s">
        <v>50</v>
      </c>
      <c r="Q125" s="3" t="s">
        <v>51</v>
      </c>
      <c r="R125" s="6">
        <v>2</v>
      </c>
      <c r="S125" s="3" t="s">
        <v>52</v>
      </c>
      <c r="T125" s="3" t="s">
        <v>53</v>
      </c>
      <c r="U125" s="3" t="s">
        <v>54</v>
      </c>
      <c r="V125" s="7"/>
      <c r="W125" s="7"/>
      <c r="X125" s="7"/>
      <c r="Y125" s="7"/>
      <c r="Z125" s="3" t="s">
        <v>55</v>
      </c>
      <c r="AA125" s="3" t="s">
        <v>56</v>
      </c>
      <c r="AB125" s="3" t="s">
        <v>57</v>
      </c>
      <c r="AD125" s="3">
        <v>20.100000000000001</v>
      </c>
      <c r="AE125" s="3">
        <v>20.486000000000001</v>
      </c>
      <c r="AG125" s="3">
        <v>1.44</v>
      </c>
      <c r="AH125" s="11">
        <v>51.84</v>
      </c>
      <c r="AI125" s="3">
        <v>12.96</v>
      </c>
      <c r="AJ125" s="88">
        <v>35.75</v>
      </c>
      <c r="AK125" s="3" t="s">
        <v>58</v>
      </c>
      <c r="AL125" s="9">
        <f t="shared" si="1"/>
        <v>42.9</v>
      </c>
      <c r="AN125" t="s">
        <v>5519</v>
      </c>
      <c r="AO125" s="74" t="s">
        <v>5637</v>
      </c>
    </row>
    <row r="126" spans="1:41" ht="14.25" customHeight="1" x14ac:dyDescent="0.3">
      <c r="A126" s="3" t="s">
        <v>316</v>
      </c>
      <c r="B126" s="3" t="s">
        <v>321</v>
      </c>
      <c r="C126" s="3" t="s">
        <v>318</v>
      </c>
      <c r="D126" s="4" t="s">
        <v>322</v>
      </c>
      <c r="E126" s="3" t="s">
        <v>320</v>
      </c>
      <c r="F126" s="3" t="s">
        <v>41</v>
      </c>
      <c r="G126" s="5" t="s">
        <v>42</v>
      </c>
      <c r="H126" s="5" t="s">
        <v>43</v>
      </c>
      <c r="I126" s="5" t="s">
        <v>44</v>
      </c>
      <c r="J126" s="3" t="s">
        <v>45</v>
      </c>
      <c r="K126" s="3" t="s">
        <v>46</v>
      </c>
      <c r="L126" s="3" t="s">
        <v>47</v>
      </c>
      <c r="M126" s="3" t="s">
        <v>48</v>
      </c>
      <c r="N126" s="4" t="s">
        <v>61</v>
      </c>
      <c r="O126" s="67" t="s">
        <v>61</v>
      </c>
      <c r="P126" s="3" t="s">
        <v>50</v>
      </c>
      <c r="Q126" s="3" t="s">
        <v>51</v>
      </c>
      <c r="R126" s="6">
        <v>2</v>
      </c>
      <c r="S126" s="3" t="s">
        <v>52</v>
      </c>
      <c r="T126" s="3" t="s">
        <v>53</v>
      </c>
      <c r="U126" s="3" t="s">
        <v>54</v>
      </c>
      <c r="V126" s="7"/>
      <c r="W126" s="7"/>
      <c r="X126" s="7"/>
      <c r="Y126" s="7"/>
      <c r="Z126" s="3" t="s">
        <v>55</v>
      </c>
      <c r="AA126" s="3" t="s">
        <v>56</v>
      </c>
      <c r="AB126" s="3" t="s">
        <v>57</v>
      </c>
      <c r="AD126" s="3">
        <v>20.100000000000001</v>
      </c>
      <c r="AE126" s="3">
        <v>20.486000000000001</v>
      </c>
      <c r="AG126" s="3">
        <v>1.44</v>
      </c>
      <c r="AH126" s="11">
        <v>51.84</v>
      </c>
      <c r="AI126" s="3">
        <v>12.96</v>
      </c>
      <c r="AJ126" s="88">
        <v>35.75</v>
      </c>
      <c r="AK126" s="3" t="s">
        <v>58</v>
      </c>
      <c r="AL126" s="9">
        <f t="shared" si="1"/>
        <v>42.9</v>
      </c>
      <c r="AN126" t="s">
        <v>5519</v>
      </c>
      <c r="AO126" s="74" t="s">
        <v>5637</v>
      </c>
    </row>
    <row r="127" spans="1:41" ht="14.25" customHeight="1" x14ac:dyDescent="0.3">
      <c r="A127" s="3" t="s">
        <v>316</v>
      </c>
      <c r="B127" s="3" t="s">
        <v>323</v>
      </c>
      <c r="C127" s="3" t="s">
        <v>318</v>
      </c>
      <c r="D127" s="4" t="s">
        <v>324</v>
      </c>
      <c r="E127" s="3" t="s">
        <v>320</v>
      </c>
      <c r="F127" s="3" t="s">
        <v>41</v>
      </c>
      <c r="G127" s="5" t="s">
        <v>42</v>
      </c>
      <c r="H127" s="5" t="s">
        <v>43</v>
      </c>
      <c r="I127" s="5" t="s">
        <v>44</v>
      </c>
      <c r="J127" s="3" t="s">
        <v>45</v>
      </c>
      <c r="K127" s="3" t="s">
        <v>46</v>
      </c>
      <c r="L127" s="3" t="s">
        <v>47</v>
      </c>
      <c r="M127" s="3" t="s">
        <v>48</v>
      </c>
      <c r="N127" s="4" t="s">
        <v>325</v>
      </c>
      <c r="O127" s="67" t="s">
        <v>586</v>
      </c>
      <c r="P127" s="3" t="s">
        <v>50</v>
      </c>
      <c r="Q127" s="3" t="s">
        <v>51</v>
      </c>
      <c r="R127" s="6">
        <v>2</v>
      </c>
      <c r="S127" s="3" t="s">
        <v>52</v>
      </c>
      <c r="T127" s="3" t="s">
        <v>53</v>
      </c>
      <c r="U127" s="3" t="s">
        <v>54</v>
      </c>
      <c r="V127" s="7"/>
      <c r="W127" s="7"/>
      <c r="X127" s="7"/>
      <c r="Y127" s="7"/>
      <c r="Z127" s="3" t="s">
        <v>55</v>
      </c>
      <c r="AA127" s="3" t="s">
        <v>56</v>
      </c>
      <c r="AB127" s="3" t="s">
        <v>57</v>
      </c>
      <c r="AD127" s="3">
        <v>20.100000000000001</v>
      </c>
      <c r="AE127" s="3">
        <v>20.486000000000001</v>
      </c>
      <c r="AG127" s="3">
        <v>1.44</v>
      </c>
      <c r="AH127" s="11">
        <v>51.84</v>
      </c>
      <c r="AI127" s="3">
        <v>12.96</v>
      </c>
      <c r="AJ127" s="88">
        <v>35.75</v>
      </c>
      <c r="AK127" s="3" t="s">
        <v>58</v>
      </c>
      <c r="AL127" s="9">
        <f t="shared" si="1"/>
        <v>42.9</v>
      </c>
      <c r="AN127" t="s">
        <v>5519</v>
      </c>
      <c r="AO127" s="74" t="s">
        <v>5637</v>
      </c>
    </row>
    <row r="128" spans="1:41" ht="14.25" customHeight="1" x14ac:dyDescent="0.3">
      <c r="A128" s="3" t="s">
        <v>316</v>
      </c>
      <c r="B128" s="3" t="s">
        <v>326</v>
      </c>
      <c r="C128" s="3" t="s">
        <v>318</v>
      </c>
      <c r="D128" s="4" t="s">
        <v>327</v>
      </c>
      <c r="E128" s="3" t="s">
        <v>320</v>
      </c>
      <c r="F128" s="3" t="s">
        <v>41</v>
      </c>
      <c r="G128" s="5" t="s">
        <v>42</v>
      </c>
      <c r="H128" s="5" t="s">
        <v>43</v>
      </c>
      <c r="I128" s="5" t="s">
        <v>44</v>
      </c>
      <c r="J128" s="3" t="s">
        <v>45</v>
      </c>
      <c r="K128" s="3" t="s">
        <v>46</v>
      </c>
      <c r="L128" s="3" t="s">
        <v>47</v>
      </c>
      <c r="M128" s="3" t="s">
        <v>48</v>
      </c>
      <c r="N128" s="4" t="s">
        <v>328</v>
      </c>
      <c r="O128" s="67" t="s">
        <v>328</v>
      </c>
      <c r="P128" s="3" t="s">
        <v>50</v>
      </c>
      <c r="Q128" s="3" t="s">
        <v>51</v>
      </c>
      <c r="R128" s="6">
        <v>2</v>
      </c>
      <c r="S128" s="3" t="s">
        <v>52</v>
      </c>
      <c r="T128" s="3" t="s">
        <v>53</v>
      </c>
      <c r="U128" s="3" t="s">
        <v>54</v>
      </c>
      <c r="V128" s="7"/>
      <c r="W128" s="7"/>
      <c r="X128" s="7"/>
      <c r="Y128" s="7"/>
      <c r="Z128" s="3" t="s">
        <v>55</v>
      </c>
      <c r="AA128" s="3" t="s">
        <v>56</v>
      </c>
      <c r="AB128" s="3" t="s">
        <v>57</v>
      </c>
      <c r="AD128" s="3">
        <v>20.100000000000001</v>
      </c>
      <c r="AE128" s="3">
        <v>20.486000000000001</v>
      </c>
      <c r="AG128" s="3">
        <v>1.44</v>
      </c>
      <c r="AH128" s="11">
        <v>51.84</v>
      </c>
      <c r="AI128" s="3">
        <v>12.96</v>
      </c>
      <c r="AJ128" s="88">
        <v>35.75</v>
      </c>
      <c r="AK128" s="3" t="s">
        <v>58</v>
      </c>
      <c r="AL128" s="9">
        <f t="shared" si="1"/>
        <v>42.9</v>
      </c>
      <c r="AN128" t="s">
        <v>5519</v>
      </c>
      <c r="AO128" s="74" t="s">
        <v>5637</v>
      </c>
    </row>
    <row r="129" spans="1:41" ht="14.25" customHeight="1" x14ac:dyDescent="0.3">
      <c r="A129" s="3" t="s">
        <v>316</v>
      </c>
      <c r="B129" s="3" t="s">
        <v>329</v>
      </c>
      <c r="C129" s="3" t="s">
        <v>318</v>
      </c>
      <c r="D129" s="4" t="s">
        <v>330</v>
      </c>
      <c r="E129" s="3" t="s">
        <v>320</v>
      </c>
      <c r="F129" s="3" t="s">
        <v>41</v>
      </c>
      <c r="G129" s="5" t="s">
        <v>42</v>
      </c>
      <c r="H129" s="5" t="s">
        <v>43</v>
      </c>
      <c r="I129" s="5" t="s">
        <v>44</v>
      </c>
      <c r="J129" s="3" t="s">
        <v>45</v>
      </c>
      <c r="K129" s="3" t="s">
        <v>46</v>
      </c>
      <c r="L129" s="3" t="s">
        <v>75</v>
      </c>
      <c r="M129" s="3" t="s">
        <v>48</v>
      </c>
      <c r="N129" s="4" t="s">
        <v>325</v>
      </c>
      <c r="O129" s="67" t="s">
        <v>586</v>
      </c>
      <c r="P129" s="3" t="s">
        <v>50</v>
      </c>
      <c r="Q129" s="3" t="s">
        <v>68</v>
      </c>
      <c r="R129" s="6">
        <v>2</v>
      </c>
      <c r="S129" s="3" t="s">
        <v>52</v>
      </c>
      <c r="T129" s="3" t="s">
        <v>53</v>
      </c>
      <c r="U129" s="3" t="s">
        <v>54</v>
      </c>
      <c r="V129" s="7"/>
      <c r="W129" s="7"/>
      <c r="X129" s="7"/>
      <c r="Y129" s="7"/>
      <c r="Z129" s="3" t="s">
        <v>55</v>
      </c>
      <c r="AA129" s="3" t="s">
        <v>56</v>
      </c>
      <c r="AB129" s="3" t="s">
        <v>57</v>
      </c>
      <c r="AD129" s="3">
        <v>20.885000000000002</v>
      </c>
      <c r="AE129" s="3">
        <v>21.295999999999999</v>
      </c>
      <c r="AG129" s="3">
        <v>1.62</v>
      </c>
      <c r="AH129" s="11">
        <v>48.6</v>
      </c>
      <c r="AI129" s="8">
        <v>14.17</v>
      </c>
      <c r="AJ129" s="88">
        <v>39.082999999999998</v>
      </c>
      <c r="AK129" s="3" t="s">
        <v>58</v>
      </c>
      <c r="AL129" s="9">
        <f t="shared" si="1"/>
        <v>46.8996</v>
      </c>
      <c r="AN129" t="s">
        <v>5519</v>
      </c>
      <c r="AO129" s="74" t="s">
        <v>5637</v>
      </c>
    </row>
    <row r="130" spans="1:41" ht="14.25" customHeight="1" x14ac:dyDescent="0.3">
      <c r="A130" s="3" t="s">
        <v>316</v>
      </c>
      <c r="B130" s="3" t="s">
        <v>331</v>
      </c>
      <c r="C130" s="3" t="s">
        <v>318</v>
      </c>
      <c r="D130" s="4" t="s">
        <v>332</v>
      </c>
      <c r="E130" s="3" t="s">
        <v>320</v>
      </c>
      <c r="F130" s="3" t="s">
        <v>41</v>
      </c>
      <c r="G130" s="5" t="s">
        <v>42</v>
      </c>
      <c r="H130" s="5" t="s">
        <v>43</v>
      </c>
      <c r="I130" s="5" t="s">
        <v>44</v>
      </c>
      <c r="J130" s="3" t="s">
        <v>45</v>
      </c>
      <c r="K130" s="3" t="s">
        <v>46</v>
      </c>
      <c r="L130" s="3" t="s">
        <v>75</v>
      </c>
      <c r="M130" s="3" t="s">
        <v>48</v>
      </c>
      <c r="N130" s="4" t="s">
        <v>61</v>
      </c>
      <c r="O130" s="67" t="s">
        <v>61</v>
      </c>
      <c r="P130" s="3" t="s">
        <v>50</v>
      </c>
      <c r="Q130" s="3" t="s">
        <v>68</v>
      </c>
      <c r="R130" s="6">
        <v>2</v>
      </c>
      <c r="S130" s="3" t="s">
        <v>52</v>
      </c>
      <c r="T130" s="3" t="s">
        <v>53</v>
      </c>
      <c r="U130" s="3" t="s">
        <v>54</v>
      </c>
      <c r="V130" s="7"/>
      <c r="W130" s="7"/>
      <c r="X130" s="7"/>
      <c r="Y130" s="7"/>
      <c r="Z130" s="3" t="s">
        <v>55</v>
      </c>
      <c r="AA130" s="3" t="s">
        <v>56</v>
      </c>
      <c r="AB130" s="3" t="s">
        <v>57</v>
      </c>
      <c r="AD130" s="3">
        <v>20.885000000000002</v>
      </c>
      <c r="AE130" s="3">
        <v>21.295999999999999</v>
      </c>
      <c r="AG130" s="3">
        <v>1.62</v>
      </c>
      <c r="AH130" s="11">
        <v>48.6</v>
      </c>
      <c r="AI130" s="8">
        <v>14.17</v>
      </c>
      <c r="AJ130" s="88">
        <v>39.082999999999998</v>
      </c>
      <c r="AK130" s="3" t="s">
        <v>58</v>
      </c>
      <c r="AL130" s="9">
        <f t="shared" ref="AL130:AL193" si="2">AJ130*1.2</f>
        <v>46.8996</v>
      </c>
      <c r="AN130" t="s">
        <v>5519</v>
      </c>
      <c r="AO130" s="74" t="s">
        <v>5637</v>
      </c>
    </row>
    <row r="131" spans="1:41" ht="14.25" customHeight="1" x14ac:dyDescent="0.3">
      <c r="A131" s="3" t="s">
        <v>316</v>
      </c>
      <c r="B131" s="3" t="s">
        <v>333</v>
      </c>
      <c r="C131" s="3" t="s">
        <v>318</v>
      </c>
      <c r="D131" s="4" t="s">
        <v>334</v>
      </c>
      <c r="E131" s="3" t="s">
        <v>320</v>
      </c>
      <c r="F131" s="3" t="s">
        <v>41</v>
      </c>
      <c r="G131" s="5" t="s">
        <v>42</v>
      </c>
      <c r="H131" s="5" t="s">
        <v>43</v>
      </c>
      <c r="I131" s="5" t="s">
        <v>44</v>
      </c>
      <c r="J131" s="3" t="s">
        <v>45</v>
      </c>
      <c r="K131" s="3" t="s">
        <v>46</v>
      </c>
      <c r="L131" s="3" t="s">
        <v>75</v>
      </c>
      <c r="M131" s="3" t="s">
        <v>48</v>
      </c>
      <c r="N131" s="4" t="s">
        <v>49</v>
      </c>
      <c r="O131" s="67" t="s">
        <v>49</v>
      </c>
      <c r="P131" s="3" t="s">
        <v>50</v>
      </c>
      <c r="Q131" s="3" t="s">
        <v>68</v>
      </c>
      <c r="R131" s="6">
        <v>2</v>
      </c>
      <c r="S131" s="3" t="s">
        <v>52</v>
      </c>
      <c r="T131" s="3" t="s">
        <v>53</v>
      </c>
      <c r="U131" s="3" t="s">
        <v>54</v>
      </c>
      <c r="V131" s="7"/>
      <c r="W131" s="7"/>
      <c r="X131" s="7"/>
      <c r="Y131" s="7"/>
      <c r="Z131" s="3" t="s">
        <v>55</v>
      </c>
      <c r="AA131" s="3" t="s">
        <v>56</v>
      </c>
      <c r="AB131" s="3" t="s">
        <v>57</v>
      </c>
      <c r="AD131" s="3">
        <v>20.885000000000002</v>
      </c>
      <c r="AE131" s="3">
        <v>21.295999999999999</v>
      </c>
      <c r="AG131" s="3">
        <v>1.62</v>
      </c>
      <c r="AH131" s="11">
        <v>48.6</v>
      </c>
      <c r="AI131" s="8">
        <v>14.17</v>
      </c>
      <c r="AJ131" s="88">
        <v>39.082999999999998</v>
      </c>
      <c r="AK131" s="3" t="s">
        <v>58</v>
      </c>
      <c r="AL131" s="9">
        <f t="shared" si="2"/>
        <v>46.8996</v>
      </c>
      <c r="AN131" t="s">
        <v>5519</v>
      </c>
      <c r="AO131" s="74" t="s">
        <v>5637</v>
      </c>
    </row>
    <row r="132" spans="1:41" ht="14.25" customHeight="1" x14ac:dyDescent="0.3">
      <c r="A132" s="3" t="s">
        <v>316</v>
      </c>
      <c r="B132" s="3" t="s">
        <v>335</v>
      </c>
      <c r="C132" s="3" t="s">
        <v>318</v>
      </c>
      <c r="D132" s="4" t="s">
        <v>336</v>
      </c>
      <c r="E132" s="3" t="s">
        <v>320</v>
      </c>
      <c r="F132" s="3" t="s">
        <v>41</v>
      </c>
      <c r="G132" s="5" t="s">
        <v>42</v>
      </c>
      <c r="H132" s="5" t="s">
        <v>43</v>
      </c>
      <c r="I132" s="5" t="s">
        <v>44</v>
      </c>
      <c r="J132" s="3" t="s">
        <v>45</v>
      </c>
      <c r="K132" s="3" t="s">
        <v>46</v>
      </c>
      <c r="L132" s="3" t="s">
        <v>75</v>
      </c>
      <c r="M132" s="3" t="s">
        <v>48</v>
      </c>
      <c r="N132" s="4" t="s">
        <v>328</v>
      </c>
      <c r="O132" s="67" t="s">
        <v>328</v>
      </c>
      <c r="P132" s="3" t="s">
        <v>50</v>
      </c>
      <c r="Q132" s="3" t="s">
        <v>68</v>
      </c>
      <c r="R132" s="6">
        <v>2</v>
      </c>
      <c r="S132" s="3" t="s">
        <v>52</v>
      </c>
      <c r="T132" s="3" t="s">
        <v>53</v>
      </c>
      <c r="U132" s="3" t="s">
        <v>54</v>
      </c>
      <c r="V132" s="7"/>
      <c r="W132" s="7"/>
      <c r="X132" s="7"/>
      <c r="Y132" s="7"/>
      <c r="Z132" s="3" t="s">
        <v>55</v>
      </c>
      <c r="AA132" s="3" t="s">
        <v>56</v>
      </c>
      <c r="AB132" s="3" t="s">
        <v>57</v>
      </c>
      <c r="AD132" s="3">
        <v>20.885000000000002</v>
      </c>
      <c r="AE132" s="3">
        <v>21.295999999999999</v>
      </c>
      <c r="AG132" s="3">
        <v>1.62</v>
      </c>
      <c r="AH132" s="11">
        <v>48.6</v>
      </c>
      <c r="AI132" s="8">
        <v>14.17</v>
      </c>
      <c r="AJ132" s="88">
        <v>39.082999999999998</v>
      </c>
      <c r="AK132" s="3" t="s">
        <v>58</v>
      </c>
      <c r="AL132" s="9">
        <f t="shared" si="2"/>
        <v>46.8996</v>
      </c>
      <c r="AN132" t="s">
        <v>5519</v>
      </c>
      <c r="AO132" s="74" t="s">
        <v>5637</v>
      </c>
    </row>
    <row r="133" spans="1:41" ht="14.25" customHeight="1" x14ac:dyDescent="0.3">
      <c r="A133" s="3" t="s">
        <v>80</v>
      </c>
      <c r="B133" s="3" t="s">
        <v>81</v>
      </c>
      <c r="C133" s="3" t="s">
        <v>82</v>
      </c>
      <c r="D133" s="3" t="s">
        <v>83</v>
      </c>
      <c r="E133" s="3" t="s">
        <v>84</v>
      </c>
      <c r="F133" s="3" t="s">
        <v>41</v>
      </c>
      <c r="G133" s="5" t="s">
        <v>42</v>
      </c>
      <c r="H133" s="5" t="s">
        <v>43</v>
      </c>
      <c r="I133" s="5" t="s">
        <v>44</v>
      </c>
      <c r="J133" s="3" t="s">
        <v>45</v>
      </c>
      <c r="K133" s="3" t="s">
        <v>85</v>
      </c>
      <c r="L133" s="3" t="s">
        <v>67</v>
      </c>
      <c r="M133" s="3" t="s">
        <v>48</v>
      </c>
      <c r="N133" s="4" t="s">
        <v>86</v>
      </c>
      <c r="O133" s="68" t="s">
        <v>586</v>
      </c>
      <c r="P133" s="3" t="s">
        <v>87</v>
      </c>
      <c r="Q133" s="3" t="s">
        <v>68</v>
      </c>
      <c r="R133" s="3">
        <v>3</v>
      </c>
      <c r="S133" s="3" t="s">
        <v>52</v>
      </c>
      <c r="T133" s="3" t="s">
        <v>53</v>
      </c>
      <c r="U133" s="3" t="s">
        <v>54</v>
      </c>
      <c r="V133" s="7"/>
      <c r="W133" s="7"/>
      <c r="X133" s="7"/>
      <c r="Y133" s="7"/>
      <c r="Z133" s="3" t="s">
        <v>55</v>
      </c>
      <c r="AA133" s="3" t="s">
        <v>88</v>
      </c>
      <c r="AB133" s="3" t="s">
        <v>57</v>
      </c>
      <c r="AD133" s="3">
        <v>7.83</v>
      </c>
      <c r="AE133" s="3">
        <v>7.83</v>
      </c>
      <c r="AF133" s="3">
        <v>752</v>
      </c>
      <c r="AG133" s="3">
        <v>1.08</v>
      </c>
      <c r="AH133" s="3">
        <v>34.56</v>
      </c>
      <c r="AI133" s="3">
        <v>18.5</v>
      </c>
      <c r="AJ133" s="89">
        <v>41.582999999999998</v>
      </c>
      <c r="AK133" s="3" t="s">
        <v>58</v>
      </c>
      <c r="AL133" s="10">
        <f t="shared" si="2"/>
        <v>49.8996</v>
      </c>
      <c r="AN133" t="s">
        <v>5519</v>
      </c>
      <c r="AO133" s="74" t="s">
        <v>5635</v>
      </c>
    </row>
    <row r="134" spans="1:41" ht="14.25" customHeight="1" x14ac:dyDescent="0.3">
      <c r="A134" s="3" t="s">
        <v>80</v>
      </c>
      <c r="B134" s="3" t="s">
        <v>89</v>
      </c>
      <c r="C134" s="3" t="s">
        <v>82</v>
      </c>
      <c r="D134" s="3" t="s">
        <v>90</v>
      </c>
      <c r="E134" s="3" t="s">
        <v>84</v>
      </c>
      <c r="F134" s="3" t="s">
        <v>41</v>
      </c>
      <c r="G134" s="5" t="s">
        <v>42</v>
      </c>
      <c r="H134" s="5" t="s">
        <v>43</v>
      </c>
      <c r="I134" s="5" t="s">
        <v>44</v>
      </c>
      <c r="J134" s="3" t="s">
        <v>45</v>
      </c>
      <c r="K134" s="3" t="s">
        <v>85</v>
      </c>
      <c r="L134" s="3" t="s">
        <v>67</v>
      </c>
      <c r="M134" s="3" t="s">
        <v>48</v>
      </c>
      <c r="N134" s="4" t="s">
        <v>91</v>
      </c>
      <c r="O134" s="68" t="s">
        <v>64</v>
      </c>
      <c r="P134" s="3" t="s">
        <v>87</v>
      </c>
      <c r="Q134" s="3" t="s">
        <v>68</v>
      </c>
      <c r="R134" s="3">
        <v>3</v>
      </c>
      <c r="S134" s="3" t="s">
        <v>52</v>
      </c>
      <c r="T134" s="3" t="s">
        <v>53</v>
      </c>
      <c r="U134" s="3" t="s">
        <v>54</v>
      </c>
      <c r="V134" s="7"/>
      <c r="W134" s="7"/>
      <c r="X134" s="7"/>
      <c r="Y134" s="7"/>
      <c r="Z134" s="3" t="s">
        <v>55</v>
      </c>
      <c r="AA134" s="3" t="s">
        <v>88</v>
      </c>
      <c r="AB134" s="3" t="s">
        <v>57</v>
      </c>
      <c r="AD134" s="3">
        <v>7.83</v>
      </c>
      <c r="AE134" s="3">
        <v>7.83</v>
      </c>
      <c r="AF134" s="3">
        <v>752</v>
      </c>
      <c r="AG134" s="3">
        <v>1.08</v>
      </c>
      <c r="AH134" s="3">
        <v>34.56</v>
      </c>
      <c r="AI134" s="3">
        <v>18.5</v>
      </c>
      <c r="AJ134" s="89">
        <v>41.582999999999998</v>
      </c>
      <c r="AK134" s="3" t="s">
        <v>58</v>
      </c>
      <c r="AL134" s="10">
        <f t="shared" si="2"/>
        <v>49.8996</v>
      </c>
      <c r="AN134" t="s">
        <v>5519</v>
      </c>
      <c r="AO134" s="74" t="s">
        <v>5635</v>
      </c>
    </row>
    <row r="135" spans="1:41" ht="14.25" customHeight="1" x14ac:dyDescent="0.3">
      <c r="A135" s="3" t="s">
        <v>80</v>
      </c>
      <c r="B135" s="3" t="s">
        <v>92</v>
      </c>
      <c r="C135" s="3" t="s">
        <v>82</v>
      </c>
      <c r="D135" s="3" t="s">
        <v>93</v>
      </c>
      <c r="E135" s="3" t="s">
        <v>84</v>
      </c>
      <c r="F135" s="3" t="s">
        <v>41</v>
      </c>
      <c r="G135" s="5" t="s">
        <v>42</v>
      </c>
      <c r="H135" s="5" t="s">
        <v>43</v>
      </c>
      <c r="I135" s="5" t="s">
        <v>44</v>
      </c>
      <c r="J135" s="3" t="s">
        <v>45</v>
      </c>
      <c r="K135" s="3" t="s">
        <v>85</v>
      </c>
      <c r="L135" s="3" t="s">
        <v>67</v>
      </c>
      <c r="M135" s="3" t="s">
        <v>48</v>
      </c>
      <c r="N135" s="4" t="s">
        <v>94</v>
      </c>
      <c r="O135" s="68" t="s">
        <v>586</v>
      </c>
      <c r="P135" s="3" t="s">
        <v>87</v>
      </c>
      <c r="Q135" s="3" t="s">
        <v>68</v>
      </c>
      <c r="R135" s="3">
        <v>3</v>
      </c>
      <c r="S135" s="3" t="s">
        <v>52</v>
      </c>
      <c r="T135" s="3" t="s">
        <v>53</v>
      </c>
      <c r="U135" s="3" t="s">
        <v>54</v>
      </c>
      <c r="V135" s="7"/>
      <c r="W135" s="7"/>
      <c r="X135" s="7"/>
      <c r="Y135" s="7"/>
      <c r="Z135" s="3" t="s">
        <v>55</v>
      </c>
      <c r="AA135" s="3" t="s">
        <v>88</v>
      </c>
      <c r="AB135" s="3" t="s">
        <v>57</v>
      </c>
      <c r="AD135" s="3">
        <v>7.83</v>
      </c>
      <c r="AE135" s="3">
        <v>7.83</v>
      </c>
      <c r="AF135" s="3">
        <v>752</v>
      </c>
      <c r="AG135" s="3">
        <v>1.08</v>
      </c>
      <c r="AH135" s="3">
        <v>34.56</v>
      </c>
      <c r="AI135" s="3">
        <v>18.5</v>
      </c>
      <c r="AJ135" s="89">
        <v>41.582999999999998</v>
      </c>
      <c r="AK135" s="3" t="s">
        <v>58</v>
      </c>
      <c r="AL135" s="10">
        <f t="shared" si="2"/>
        <v>49.8996</v>
      </c>
      <c r="AN135" t="s">
        <v>5519</v>
      </c>
      <c r="AO135" s="74" t="s">
        <v>5635</v>
      </c>
    </row>
    <row r="136" spans="1:41" ht="14.25" customHeight="1" x14ac:dyDescent="0.3">
      <c r="A136" s="3" t="s">
        <v>80</v>
      </c>
      <c r="B136" s="3" t="s">
        <v>95</v>
      </c>
      <c r="C136" s="3" t="s">
        <v>82</v>
      </c>
      <c r="D136" s="3" t="s">
        <v>96</v>
      </c>
      <c r="E136" s="3" t="s">
        <v>84</v>
      </c>
      <c r="F136" s="3" t="s">
        <v>41</v>
      </c>
      <c r="G136" s="5" t="s">
        <v>42</v>
      </c>
      <c r="H136" s="5" t="s">
        <v>43</v>
      </c>
      <c r="I136" s="5" t="s">
        <v>44</v>
      </c>
      <c r="J136" s="3" t="s">
        <v>45</v>
      </c>
      <c r="K136" s="3" t="s">
        <v>85</v>
      </c>
      <c r="L136" s="3" t="s">
        <v>67</v>
      </c>
      <c r="M136" s="3" t="s">
        <v>48</v>
      </c>
      <c r="N136" s="4" t="s">
        <v>97</v>
      </c>
      <c r="O136" s="70" t="s">
        <v>3268</v>
      </c>
      <c r="P136" s="3" t="s">
        <v>87</v>
      </c>
      <c r="Q136" s="3" t="s">
        <v>68</v>
      </c>
      <c r="R136" s="3">
        <v>3</v>
      </c>
      <c r="S136" s="3" t="s">
        <v>52</v>
      </c>
      <c r="T136" s="3" t="s">
        <v>53</v>
      </c>
      <c r="U136" s="3" t="s">
        <v>54</v>
      </c>
      <c r="V136" s="7"/>
      <c r="W136" s="7"/>
      <c r="X136" s="7"/>
      <c r="Y136" s="7"/>
      <c r="Z136" s="3" t="s">
        <v>55</v>
      </c>
      <c r="AA136" s="3" t="s">
        <v>88</v>
      </c>
      <c r="AB136" s="3" t="s">
        <v>57</v>
      </c>
      <c r="AD136" s="3">
        <v>7.83</v>
      </c>
      <c r="AE136" s="3">
        <v>7.83</v>
      </c>
      <c r="AF136" s="3">
        <v>752</v>
      </c>
      <c r="AG136" s="3">
        <v>1.08</v>
      </c>
      <c r="AH136" s="3">
        <v>34.56</v>
      </c>
      <c r="AI136" s="3">
        <v>18.5</v>
      </c>
      <c r="AJ136" s="89">
        <v>41.582999999999998</v>
      </c>
      <c r="AK136" s="3" t="s">
        <v>58</v>
      </c>
      <c r="AL136" s="10">
        <f t="shared" si="2"/>
        <v>49.8996</v>
      </c>
      <c r="AN136" t="s">
        <v>5519</v>
      </c>
      <c r="AO136" s="74" t="s">
        <v>5635</v>
      </c>
    </row>
    <row r="137" spans="1:41" ht="14.25" customHeight="1" x14ac:dyDescent="0.3">
      <c r="A137" s="3" t="s">
        <v>80</v>
      </c>
      <c r="B137" s="3" t="s">
        <v>98</v>
      </c>
      <c r="C137" s="3" t="s">
        <v>82</v>
      </c>
      <c r="D137" s="3" t="s">
        <v>99</v>
      </c>
      <c r="E137" s="3" t="s">
        <v>84</v>
      </c>
      <c r="F137" s="3" t="s">
        <v>41</v>
      </c>
      <c r="G137" s="5" t="s">
        <v>42</v>
      </c>
      <c r="H137" s="5" t="s">
        <v>43</v>
      </c>
      <c r="I137" s="5" t="s">
        <v>44</v>
      </c>
      <c r="J137" s="3" t="s">
        <v>45</v>
      </c>
      <c r="K137" s="3" t="s">
        <v>85</v>
      </c>
      <c r="L137" s="3" t="s">
        <v>67</v>
      </c>
      <c r="M137" s="3" t="s">
        <v>48</v>
      </c>
      <c r="N137" s="4" t="s">
        <v>100</v>
      </c>
      <c r="O137" s="69" t="s">
        <v>3268</v>
      </c>
      <c r="P137" s="3" t="s">
        <v>87</v>
      </c>
      <c r="Q137" s="3" t="s">
        <v>68</v>
      </c>
      <c r="R137" s="3">
        <v>3</v>
      </c>
      <c r="S137" s="3" t="s">
        <v>52</v>
      </c>
      <c r="T137" s="3" t="s">
        <v>53</v>
      </c>
      <c r="U137" s="3" t="s">
        <v>54</v>
      </c>
      <c r="V137" s="7"/>
      <c r="W137" s="7"/>
      <c r="X137" s="7"/>
      <c r="Y137" s="7"/>
      <c r="Z137" s="3" t="s">
        <v>55</v>
      </c>
      <c r="AA137" s="3" t="s">
        <v>88</v>
      </c>
      <c r="AB137" s="3" t="s">
        <v>57</v>
      </c>
      <c r="AD137" s="3">
        <v>7.83</v>
      </c>
      <c r="AE137" s="3">
        <v>7.83</v>
      </c>
      <c r="AF137" s="3">
        <v>752</v>
      </c>
      <c r="AG137" s="3">
        <v>1.08</v>
      </c>
      <c r="AH137" s="3">
        <v>34.56</v>
      </c>
      <c r="AI137" s="3">
        <v>18.5</v>
      </c>
      <c r="AJ137" s="89">
        <v>41.582999999999998</v>
      </c>
      <c r="AK137" s="3" t="s">
        <v>58</v>
      </c>
      <c r="AL137" s="10">
        <f t="shared" si="2"/>
        <v>49.8996</v>
      </c>
      <c r="AN137" t="s">
        <v>5519</v>
      </c>
      <c r="AO137" s="74" t="s">
        <v>5635</v>
      </c>
    </row>
    <row r="138" spans="1:41" ht="14.25" customHeight="1" x14ac:dyDescent="0.3">
      <c r="A138" s="3" t="s">
        <v>1192</v>
      </c>
      <c r="B138" s="3" t="s">
        <v>1193</v>
      </c>
      <c r="C138" s="3" t="s">
        <v>1194</v>
      </c>
      <c r="D138" s="3" t="s">
        <v>1195</v>
      </c>
      <c r="E138" s="3" t="s">
        <v>1196</v>
      </c>
      <c r="F138" s="3" t="s">
        <v>41</v>
      </c>
      <c r="G138" s="5" t="s">
        <v>42</v>
      </c>
      <c r="H138" s="5" t="s">
        <v>43</v>
      </c>
      <c r="I138" s="5" t="s">
        <v>44</v>
      </c>
      <c r="J138" s="3" t="s">
        <v>45</v>
      </c>
      <c r="K138" s="3" t="s">
        <v>85</v>
      </c>
      <c r="L138" s="3" t="s">
        <v>1197</v>
      </c>
      <c r="M138" s="3" t="s">
        <v>48</v>
      </c>
      <c r="N138" s="4" t="s">
        <v>86</v>
      </c>
      <c r="O138" s="68" t="s">
        <v>586</v>
      </c>
      <c r="P138" s="3" t="s">
        <v>87</v>
      </c>
      <c r="Q138" s="3" t="s">
        <v>51</v>
      </c>
      <c r="R138" s="3">
        <v>12</v>
      </c>
      <c r="S138" s="3" t="s">
        <v>52</v>
      </c>
      <c r="T138" s="3" t="s">
        <v>53</v>
      </c>
      <c r="U138" s="3" t="s">
        <v>54</v>
      </c>
      <c r="V138" s="7"/>
      <c r="W138" s="7"/>
      <c r="X138" s="7"/>
      <c r="Y138" s="7"/>
      <c r="Z138" s="3" t="s">
        <v>55</v>
      </c>
      <c r="AA138" s="3" t="s">
        <v>88</v>
      </c>
      <c r="AB138" s="3" t="s">
        <v>57</v>
      </c>
      <c r="AC138" s="9"/>
      <c r="AD138" s="3">
        <v>0.92</v>
      </c>
      <c r="AE138" s="3">
        <v>0.92</v>
      </c>
      <c r="AF138" s="3">
        <v>780</v>
      </c>
      <c r="AG138" s="3">
        <v>0.57599999999999996</v>
      </c>
      <c r="AH138" s="3">
        <v>36.56</v>
      </c>
      <c r="AI138" s="3">
        <v>32</v>
      </c>
      <c r="AJ138" s="89">
        <f>79.9/1.2</f>
        <v>66.583333333333343</v>
      </c>
      <c r="AK138" s="3" t="s">
        <v>58</v>
      </c>
      <c r="AL138" s="3">
        <f t="shared" si="2"/>
        <v>79.900000000000006</v>
      </c>
      <c r="AN138" t="s">
        <v>5519</v>
      </c>
      <c r="AO138" s="74" t="s">
        <v>5639</v>
      </c>
    </row>
    <row r="139" spans="1:41" ht="14.25" customHeight="1" x14ac:dyDescent="0.3">
      <c r="A139" s="3" t="s">
        <v>1192</v>
      </c>
      <c r="B139" s="3" t="s">
        <v>1198</v>
      </c>
      <c r="C139" s="3" t="s">
        <v>1194</v>
      </c>
      <c r="D139" s="3" t="s">
        <v>1199</v>
      </c>
      <c r="E139" s="3" t="s">
        <v>1196</v>
      </c>
      <c r="F139" s="3" t="s">
        <v>41</v>
      </c>
      <c r="G139" s="5" t="s">
        <v>42</v>
      </c>
      <c r="H139" s="5" t="s">
        <v>43</v>
      </c>
      <c r="I139" s="5" t="s">
        <v>44</v>
      </c>
      <c r="J139" s="3" t="s">
        <v>45</v>
      </c>
      <c r="K139" s="3" t="s">
        <v>85</v>
      </c>
      <c r="L139" s="3" t="s">
        <v>1197</v>
      </c>
      <c r="M139" s="3" t="s">
        <v>48</v>
      </c>
      <c r="N139" s="4" t="s">
        <v>1200</v>
      </c>
      <c r="O139" s="67" t="s">
        <v>586</v>
      </c>
      <c r="P139" s="3" t="s">
        <v>87</v>
      </c>
      <c r="Q139" s="3" t="s">
        <v>51</v>
      </c>
      <c r="R139" s="3">
        <v>12</v>
      </c>
      <c r="S139" s="3" t="s">
        <v>52</v>
      </c>
      <c r="T139" s="3" t="s">
        <v>53</v>
      </c>
      <c r="U139" s="3" t="s">
        <v>54</v>
      </c>
      <c r="V139" s="7"/>
      <c r="W139" s="7"/>
      <c r="X139" s="7"/>
      <c r="Y139" s="7"/>
      <c r="Z139" s="3" t="s">
        <v>55</v>
      </c>
      <c r="AA139" s="3" t="s">
        <v>88</v>
      </c>
      <c r="AB139" s="3" t="s">
        <v>57</v>
      </c>
      <c r="AD139" s="3">
        <v>0.92</v>
      </c>
      <c r="AE139" s="3">
        <v>0.92</v>
      </c>
      <c r="AF139" s="3">
        <v>780</v>
      </c>
      <c r="AG139" s="3">
        <v>0.57599999999999996</v>
      </c>
      <c r="AH139" s="3">
        <v>36.56</v>
      </c>
      <c r="AI139" s="3">
        <v>32</v>
      </c>
      <c r="AJ139" s="89">
        <f>79.9/1.2</f>
        <v>66.583333333333343</v>
      </c>
      <c r="AK139" s="3" t="s">
        <v>58</v>
      </c>
      <c r="AL139" s="3">
        <f t="shared" si="2"/>
        <v>79.900000000000006</v>
      </c>
      <c r="AN139" t="s">
        <v>5519</v>
      </c>
      <c r="AO139" s="74" t="s">
        <v>5639</v>
      </c>
    </row>
    <row r="140" spans="1:41" ht="14.25" customHeight="1" x14ac:dyDescent="0.3">
      <c r="A140" s="3" t="s">
        <v>1192</v>
      </c>
      <c r="B140" s="3" t="s">
        <v>1201</v>
      </c>
      <c r="C140" s="3" t="s">
        <v>1194</v>
      </c>
      <c r="D140" s="3" t="s">
        <v>1202</v>
      </c>
      <c r="E140" s="3" t="s">
        <v>1196</v>
      </c>
      <c r="F140" s="3" t="s">
        <v>41</v>
      </c>
      <c r="G140" s="5" t="s">
        <v>42</v>
      </c>
      <c r="H140" s="5" t="s">
        <v>43</v>
      </c>
      <c r="I140" s="5" t="s">
        <v>44</v>
      </c>
      <c r="J140" s="3" t="s">
        <v>45</v>
      </c>
      <c r="K140" s="3" t="s">
        <v>85</v>
      </c>
      <c r="L140" s="3" t="s">
        <v>1197</v>
      </c>
      <c r="M140" s="3" t="s">
        <v>48</v>
      </c>
      <c r="N140" s="4" t="s">
        <v>61</v>
      </c>
      <c r="O140" s="67" t="s">
        <v>61</v>
      </c>
      <c r="P140" s="3" t="s">
        <v>87</v>
      </c>
      <c r="Q140" s="3" t="s">
        <v>51</v>
      </c>
      <c r="R140" s="3">
        <v>12</v>
      </c>
      <c r="S140" s="3" t="s">
        <v>52</v>
      </c>
      <c r="T140" s="3" t="s">
        <v>53</v>
      </c>
      <c r="U140" s="3" t="s">
        <v>54</v>
      </c>
      <c r="V140" s="7"/>
      <c r="W140" s="7"/>
      <c r="X140" s="7"/>
      <c r="Y140" s="7"/>
      <c r="Z140" s="3" t="s">
        <v>55</v>
      </c>
      <c r="AA140" s="3" t="s">
        <v>88</v>
      </c>
      <c r="AB140" s="3" t="s">
        <v>57</v>
      </c>
      <c r="AD140" s="3">
        <v>0.92</v>
      </c>
      <c r="AE140" s="3">
        <v>0.92</v>
      </c>
      <c r="AF140" s="3">
        <v>780</v>
      </c>
      <c r="AG140" s="3">
        <v>0.57599999999999996</v>
      </c>
      <c r="AH140" s="3">
        <v>36.56</v>
      </c>
      <c r="AI140" s="3">
        <v>32</v>
      </c>
      <c r="AJ140" s="89">
        <f>79.9/1.2</f>
        <v>66.583333333333343</v>
      </c>
      <c r="AK140" s="3" t="s">
        <v>58</v>
      </c>
      <c r="AL140" s="3">
        <f t="shared" si="2"/>
        <v>79.900000000000006</v>
      </c>
      <c r="AN140" t="s">
        <v>5519</v>
      </c>
      <c r="AO140" s="74" t="s">
        <v>5639</v>
      </c>
    </row>
    <row r="141" spans="1:41" ht="14.25" customHeight="1" x14ac:dyDescent="0.3">
      <c r="A141" s="3" t="s">
        <v>1192</v>
      </c>
      <c r="B141" s="3" t="s">
        <v>1203</v>
      </c>
      <c r="C141" s="3" t="s">
        <v>1194</v>
      </c>
      <c r="D141" s="3" t="s">
        <v>1204</v>
      </c>
      <c r="E141" s="3" t="s">
        <v>1196</v>
      </c>
      <c r="F141" s="3" t="s">
        <v>41</v>
      </c>
      <c r="G141" s="5" t="s">
        <v>42</v>
      </c>
      <c r="H141" s="5" t="s">
        <v>43</v>
      </c>
      <c r="I141" s="5" t="s">
        <v>44</v>
      </c>
      <c r="J141" s="3" t="s">
        <v>45</v>
      </c>
      <c r="K141" s="3" t="s">
        <v>85</v>
      </c>
      <c r="L141" s="3" t="s">
        <v>1197</v>
      </c>
      <c r="M141" s="3" t="s">
        <v>48</v>
      </c>
      <c r="N141" s="4" t="s">
        <v>94</v>
      </c>
      <c r="O141" s="67" t="s">
        <v>586</v>
      </c>
      <c r="P141" s="3" t="s">
        <v>87</v>
      </c>
      <c r="Q141" s="3" t="s">
        <v>51</v>
      </c>
      <c r="R141" s="3">
        <v>12</v>
      </c>
      <c r="S141" s="3" t="s">
        <v>52</v>
      </c>
      <c r="T141" s="3" t="s">
        <v>53</v>
      </c>
      <c r="U141" s="3" t="s">
        <v>54</v>
      </c>
      <c r="V141" s="7"/>
      <c r="W141" s="7"/>
      <c r="X141" s="7"/>
      <c r="Y141" s="7"/>
      <c r="Z141" s="3" t="s">
        <v>55</v>
      </c>
      <c r="AA141" s="3" t="s">
        <v>88</v>
      </c>
      <c r="AB141" s="3" t="s">
        <v>57</v>
      </c>
      <c r="AD141" s="3">
        <v>0.92</v>
      </c>
      <c r="AE141" s="3">
        <v>0.92</v>
      </c>
      <c r="AF141" s="3">
        <v>780</v>
      </c>
      <c r="AG141" s="3">
        <v>0.57599999999999996</v>
      </c>
      <c r="AH141" s="3">
        <v>36.56</v>
      </c>
      <c r="AI141" s="3">
        <v>32</v>
      </c>
      <c r="AJ141" s="89">
        <f>79.9/1.2</f>
        <v>66.583333333333343</v>
      </c>
      <c r="AK141" s="3" t="s">
        <v>58</v>
      </c>
      <c r="AL141" s="3">
        <f t="shared" si="2"/>
        <v>79.900000000000006</v>
      </c>
      <c r="AN141" t="s">
        <v>5519</v>
      </c>
      <c r="AO141" s="74" t="s">
        <v>5639</v>
      </c>
    </row>
    <row r="142" spans="1:41" ht="14.25" customHeight="1" x14ac:dyDescent="0.3">
      <c r="A142" s="3" t="s">
        <v>1192</v>
      </c>
      <c r="B142" s="3" t="s">
        <v>1205</v>
      </c>
      <c r="C142" s="3" t="s">
        <v>1194</v>
      </c>
      <c r="D142" s="3" t="s">
        <v>1206</v>
      </c>
      <c r="E142" s="3" t="s">
        <v>1196</v>
      </c>
      <c r="F142" s="3" t="s">
        <v>41</v>
      </c>
      <c r="G142" s="5" t="s">
        <v>42</v>
      </c>
      <c r="H142" s="5" t="s">
        <v>43</v>
      </c>
      <c r="I142" s="5" t="s">
        <v>44</v>
      </c>
      <c r="J142" s="3" t="s">
        <v>45</v>
      </c>
      <c r="K142" s="3" t="s">
        <v>85</v>
      </c>
      <c r="L142" s="3" t="s">
        <v>1197</v>
      </c>
      <c r="M142" s="3" t="s">
        <v>48</v>
      </c>
      <c r="N142" s="4" t="s">
        <v>97</v>
      </c>
      <c r="O142" s="68" t="s">
        <v>586</v>
      </c>
      <c r="P142" s="3" t="s">
        <v>87</v>
      </c>
      <c r="Q142" s="3" t="s">
        <v>51</v>
      </c>
      <c r="R142" s="3">
        <v>12</v>
      </c>
      <c r="S142" s="3" t="s">
        <v>52</v>
      </c>
      <c r="T142" s="3" t="s">
        <v>53</v>
      </c>
      <c r="U142" s="3" t="s">
        <v>54</v>
      </c>
      <c r="V142" s="7"/>
      <c r="W142" s="7"/>
      <c r="X142" s="7"/>
      <c r="Y142" s="7"/>
      <c r="Z142" s="3" t="s">
        <v>55</v>
      </c>
      <c r="AA142" s="3" t="s">
        <v>88</v>
      </c>
      <c r="AB142" s="3" t="s">
        <v>57</v>
      </c>
      <c r="AD142" s="3">
        <v>0.92</v>
      </c>
      <c r="AE142" s="3">
        <v>0.92</v>
      </c>
      <c r="AF142" s="3">
        <v>780</v>
      </c>
      <c r="AG142" s="3">
        <v>0.57599999999999996</v>
      </c>
      <c r="AH142" s="3">
        <v>36.56</v>
      </c>
      <c r="AI142" s="3">
        <v>32</v>
      </c>
      <c r="AJ142" s="89">
        <f>79.9/1.2</f>
        <v>66.583333333333343</v>
      </c>
      <c r="AK142" s="3" t="s">
        <v>58</v>
      </c>
      <c r="AL142" s="3">
        <f t="shared" si="2"/>
        <v>79.900000000000006</v>
      </c>
      <c r="AN142" t="s">
        <v>5519</v>
      </c>
      <c r="AO142" s="74" t="s">
        <v>5639</v>
      </c>
    </row>
    <row r="143" spans="1:41" ht="14.25" customHeight="1" x14ac:dyDescent="0.3">
      <c r="A143" s="3" t="s">
        <v>418</v>
      </c>
      <c r="B143" s="3" t="s">
        <v>419</v>
      </c>
      <c r="C143" s="3" t="s">
        <v>420</v>
      </c>
      <c r="D143" s="4" t="s">
        <v>421</v>
      </c>
      <c r="E143" s="3" t="s">
        <v>422</v>
      </c>
      <c r="F143" s="3" t="s">
        <v>41</v>
      </c>
      <c r="G143" s="5" t="s">
        <v>42</v>
      </c>
      <c r="H143" s="5" t="s">
        <v>43</v>
      </c>
      <c r="I143" s="5" t="s">
        <v>44</v>
      </c>
      <c r="J143" s="3" t="s">
        <v>45</v>
      </c>
      <c r="K143" s="3" t="s">
        <v>85</v>
      </c>
      <c r="L143" s="3" t="s">
        <v>157</v>
      </c>
      <c r="M143" s="3" t="s">
        <v>48</v>
      </c>
      <c r="N143" s="4" t="s">
        <v>61</v>
      </c>
      <c r="O143" s="68" t="s">
        <v>61</v>
      </c>
      <c r="P143" s="3" t="s">
        <v>50</v>
      </c>
      <c r="Q143" s="3" t="s">
        <v>51</v>
      </c>
      <c r="R143" s="6">
        <v>5</v>
      </c>
      <c r="S143" s="3" t="s">
        <v>52</v>
      </c>
      <c r="T143" s="3" t="s">
        <v>53</v>
      </c>
      <c r="U143" s="3" t="s">
        <v>54</v>
      </c>
      <c r="V143" s="7"/>
      <c r="W143" s="7"/>
      <c r="X143" s="7"/>
      <c r="Y143" s="7"/>
      <c r="Z143" s="3" t="s">
        <v>55</v>
      </c>
      <c r="AA143" s="3" t="s">
        <v>56</v>
      </c>
      <c r="AB143" s="3" t="s">
        <v>57</v>
      </c>
      <c r="AD143" s="8">
        <v>19.536999999999999</v>
      </c>
      <c r="AE143" s="8">
        <v>19.907</v>
      </c>
      <c r="AG143" s="3">
        <v>1.2</v>
      </c>
      <c r="AH143" s="11">
        <v>54</v>
      </c>
      <c r="AI143" s="8">
        <v>11.87</v>
      </c>
      <c r="AJ143" s="88">
        <v>30.75</v>
      </c>
      <c r="AK143" s="3" t="s">
        <v>58</v>
      </c>
      <c r="AL143" s="9">
        <f t="shared" si="2"/>
        <v>36.9</v>
      </c>
      <c r="AN143" t="s">
        <v>5519</v>
      </c>
      <c r="AO143" s="74" t="s">
        <v>5635</v>
      </c>
    </row>
    <row r="144" spans="1:41" ht="14.25" customHeight="1" x14ac:dyDescent="0.3">
      <c r="A144" s="3" t="s">
        <v>418</v>
      </c>
      <c r="B144" s="3" t="s">
        <v>423</v>
      </c>
      <c r="C144" s="3" t="s">
        <v>420</v>
      </c>
      <c r="D144" s="4" t="s">
        <v>424</v>
      </c>
      <c r="E144" s="3" t="s">
        <v>422</v>
      </c>
      <c r="F144" s="3" t="s">
        <v>41</v>
      </c>
      <c r="G144" s="5" t="s">
        <v>42</v>
      </c>
      <c r="H144" s="5" t="s">
        <v>43</v>
      </c>
      <c r="I144" s="5" t="s">
        <v>44</v>
      </c>
      <c r="J144" s="3" t="s">
        <v>45</v>
      </c>
      <c r="K144" s="3" t="s">
        <v>85</v>
      </c>
      <c r="L144" s="3" t="s">
        <v>157</v>
      </c>
      <c r="M144" s="3" t="s">
        <v>48</v>
      </c>
      <c r="N144" s="4" t="s">
        <v>158</v>
      </c>
      <c r="O144" s="67" t="s">
        <v>586</v>
      </c>
      <c r="P144" s="3" t="s">
        <v>50</v>
      </c>
      <c r="Q144" s="3" t="s">
        <v>51</v>
      </c>
      <c r="R144" s="6">
        <v>5</v>
      </c>
      <c r="S144" s="3" t="s">
        <v>52</v>
      </c>
      <c r="T144" s="3" t="s">
        <v>53</v>
      </c>
      <c r="U144" s="3" t="s">
        <v>54</v>
      </c>
      <c r="V144" s="7"/>
      <c r="W144" s="7"/>
      <c r="X144" s="7"/>
      <c r="Y144" s="7"/>
      <c r="Z144" s="3" t="s">
        <v>55</v>
      </c>
      <c r="AA144" s="3" t="s">
        <v>56</v>
      </c>
      <c r="AB144" s="3" t="s">
        <v>57</v>
      </c>
      <c r="AD144" s="8">
        <v>19.536999999999999</v>
      </c>
      <c r="AE144" s="8">
        <v>19.907</v>
      </c>
      <c r="AG144" s="3">
        <v>1.2</v>
      </c>
      <c r="AH144" s="11">
        <v>54</v>
      </c>
      <c r="AI144" s="8">
        <v>11.87</v>
      </c>
      <c r="AJ144" s="88">
        <v>30.75</v>
      </c>
      <c r="AK144" s="3" t="s">
        <v>58</v>
      </c>
      <c r="AL144" s="9">
        <f t="shared" si="2"/>
        <v>36.9</v>
      </c>
      <c r="AN144" t="s">
        <v>5519</v>
      </c>
      <c r="AO144" s="74" t="s">
        <v>5635</v>
      </c>
    </row>
    <row r="145" spans="1:41" ht="14.25" customHeight="1" x14ac:dyDescent="0.3">
      <c r="A145" s="3" t="s">
        <v>418</v>
      </c>
      <c r="B145" s="3" t="s">
        <v>425</v>
      </c>
      <c r="C145" s="3" t="s">
        <v>420</v>
      </c>
      <c r="D145" s="4" t="s">
        <v>426</v>
      </c>
      <c r="E145" s="3" t="s">
        <v>422</v>
      </c>
      <c r="F145" s="3" t="s">
        <v>41</v>
      </c>
      <c r="G145" s="5" t="s">
        <v>42</v>
      </c>
      <c r="H145" s="5" t="s">
        <v>43</v>
      </c>
      <c r="I145" s="5" t="s">
        <v>44</v>
      </c>
      <c r="J145" s="3" t="s">
        <v>45</v>
      </c>
      <c r="K145" s="3" t="s">
        <v>85</v>
      </c>
      <c r="L145" s="3" t="s">
        <v>157</v>
      </c>
      <c r="M145" s="3" t="s">
        <v>48</v>
      </c>
      <c r="N145" s="4" t="s">
        <v>427</v>
      </c>
      <c r="O145" s="70" t="s">
        <v>3268</v>
      </c>
      <c r="P145" s="3" t="s">
        <v>50</v>
      </c>
      <c r="Q145" s="3" t="s">
        <v>51</v>
      </c>
      <c r="R145" s="6">
        <v>5</v>
      </c>
      <c r="S145" s="3" t="s">
        <v>52</v>
      </c>
      <c r="T145" s="3" t="s">
        <v>53</v>
      </c>
      <c r="U145" s="3" t="s">
        <v>54</v>
      </c>
      <c r="V145" s="7"/>
      <c r="W145" s="7"/>
      <c r="X145" s="7"/>
      <c r="Y145" s="7"/>
      <c r="Z145" s="3" t="s">
        <v>55</v>
      </c>
      <c r="AA145" s="3" t="s">
        <v>56</v>
      </c>
      <c r="AB145" s="3" t="s">
        <v>57</v>
      </c>
      <c r="AD145" s="8">
        <v>19.536999999999999</v>
      </c>
      <c r="AE145" s="8">
        <v>19.907</v>
      </c>
      <c r="AG145" s="3">
        <v>1.2</v>
      </c>
      <c r="AH145" s="11">
        <v>54</v>
      </c>
      <c r="AI145" s="8">
        <v>11.87</v>
      </c>
      <c r="AJ145" s="88">
        <v>30.75</v>
      </c>
      <c r="AK145" s="3" t="s">
        <v>58</v>
      </c>
      <c r="AL145" s="9">
        <f t="shared" si="2"/>
        <v>36.9</v>
      </c>
      <c r="AN145" t="s">
        <v>5519</v>
      </c>
      <c r="AO145" s="74" t="s">
        <v>5635</v>
      </c>
    </row>
    <row r="146" spans="1:41" ht="14.25" customHeight="1" x14ac:dyDescent="0.3">
      <c r="A146" s="3" t="s">
        <v>418</v>
      </c>
      <c r="B146" s="3" t="s">
        <v>428</v>
      </c>
      <c r="C146" s="3" t="s">
        <v>420</v>
      </c>
      <c r="D146" s="4" t="s">
        <v>429</v>
      </c>
      <c r="E146" s="3" t="s">
        <v>422</v>
      </c>
      <c r="F146" s="3" t="s">
        <v>41</v>
      </c>
      <c r="G146" s="5" t="s">
        <v>42</v>
      </c>
      <c r="H146" s="5" t="s">
        <v>43</v>
      </c>
      <c r="I146" s="5" t="s">
        <v>44</v>
      </c>
      <c r="J146" s="3" t="s">
        <v>45</v>
      </c>
      <c r="K146" s="3" t="s">
        <v>85</v>
      </c>
      <c r="L146" s="3" t="s">
        <v>157</v>
      </c>
      <c r="M146" s="3" t="s">
        <v>48</v>
      </c>
      <c r="N146" s="4" t="s">
        <v>94</v>
      </c>
      <c r="O146" s="69" t="s">
        <v>3268</v>
      </c>
      <c r="P146" s="3" t="s">
        <v>50</v>
      </c>
      <c r="Q146" s="3" t="s">
        <v>51</v>
      </c>
      <c r="R146" s="6">
        <v>5</v>
      </c>
      <c r="S146" s="3" t="s">
        <v>52</v>
      </c>
      <c r="T146" s="3" t="s">
        <v>53</v>
      </c>
      <c r="U146" s="3" t="s">
        <v>54</v>
      </c>
      <c r="V146" s="7"/>
      <c r="W146" s="7"/>
      <c r="X146" s="7"/>
      <c r="Y146" s="7"/>
      <c r="Z146" s="3" t="s">
        <v>55</v>
      </c>
      <c r="AA146" s="3" t="s">
        <v>56</v>
      </c>
      <c r="AB146" s="3" t="s">
        <v>57</v>
      </c>
      <c r="AD146" s="8">
        <v>19.536999999999999</v>
      </c>
      <c r="AE146" s="8">
        <v>19.907</v>
      </c>
      <c r="AG146" s="3">
        <v>1.2</v>
      </c>
      <c r="AH146" s="11">
        <v>54</v>
      </c>
      <c r="AI146" s="8">
        <v>11.87</v>
      </c>
      <c r="AJ146" s="88">
        <v>30.75</v>
      </c>
      <c r="AK146" s="3" t="s">
        <v>58</v>
      </c>
      <c r="AL146" s="9">
        <f t="shared" si="2"/>
        <v>36.9</v>
      </c>
      <c r="AN146" t="s">
        <v>5519</v>
      </c>
      <c r="AO146" s="74" t="s">
        <v>5635</v>
      </c>
    </row>
    <row r="147" spans="1:41" ht="14.25" customHeight="1" x14ac:dyDescent="0.3">
      <c r="A147" s="3" t="s">
        <v>641</v>
      </c>
      <c r="B147" s="3" t="s">
        <v>642</v>
      </c>
      <c r="C147" s="3" t="s">
        <v>643</v>
      </c>
      <c r="D147" s="4" t="s">
        <v>644</v>
      </c>
      <c r="E147" s="3" t="s">
        <v>645</v>
      </c>
      <c r="F147" s="3" t="s">
        <v>41</v>
      </c>
      <c r="G147" s="5" t="s">
        <v>42</v>
      </c>
      <c r="H147" s="5" t="s">
        <v>43</v>
      </c>
      <c r="I147" s="5" t="s">
        <v>44</v>
      </c>
      <c r="J147" s="3" t="s">
        <v>45</v>
      </c>
      <c r="K147" s="3" t="s">
        <v>85</v>
      </c>
      <c r="L147" s="3" t="s">
        <v>386</v>
      </c>
      <c r="M147" s="3" t="s">
        <v>262</v>
      </c>
      <c r="N147" s="4" t="s">
        <v>49</v>
      </c>
      <c r="O147" s="67" t="s">
        <v>49</v>
      </c>
      <c r="P147" s="3" t="s">
        <v>388</v>
      </c>
      <c r="Q147" s="3" t="s">
        <v>51</v>
      </c>
      <c r="R147" s="6">
        <v>3</v>
      </c>
      <c r="S147" s="3" t="s">
        <v>52</v>
      </c>
      <c r="T147" s="3" t="s">
        <v>53</v>
      </c>
      <c r="U147" s="3" t="s">
        <v>54</v>
      </c>
      <c r="V147" s="7"/>
      <c r="W147" s="7"/>
      <c r="X147" s="7"/>
      <c r="Y147" s="7"/>
      <c r="Z147" s="3" t="s">
        <v>265</v>
      </c>
      <c r="AA147" s="3" t="s">
        <v>56</v>
      </c>
      <c r="AB147" s="3" t="s">
        <v>57</v>
      </c>
      <c r="AD147" s="8">
        <v>19.443999999999999</v>
      </c>
      <c r="AE147" s="8">
        <v>19.513000000000002</v>
      </c>
      <c r="AG147" s="3">
        <v>1.44</v>
      </c>
      <c r="AH147" s="11">
        <v>28.8</v>
      </c>
      <c r="AI147" s="8">
        <v>14.77</v>
      </c>
      <c r="AJ147" s="88">
        <v>35.75</v>
      </c>
      <c r="AK147" s="3" t="s">
        <v>58</v>
      </c>
      <c r="AL147" s="9">
        <f t="shared" si="2"/>
        <v>42.9</v>
      </c>
      <c r="AN147" t="s">
        <v>5518</v>
      </c>
      <c r="AO147" s="74" t="s">
        <v>5632</v>
      </c>
    </row>
    <row r="148" spans="1:41" ht="14.25" customHeight="1" x14ac:dyDescent="0.3">
      <c r="A148" s="3" t="s">
        <v>641</v>
      </c>
      <c r="B148" s="3" t="s">
        <v>646</v>
      </c>
      <c r="C148" s="3" t="s">
        <v>643</v>
      </c>
      <c r="D148" s="4" t="s">
        <v>647</v>
      </c>
      <c r="E148" s="3" t="s">
        <v>645</v>
      </c>
      <c r="F148" s="3" t="s">
        <v>41</v>
      </c>
      <c r="G148" s="5" t="s">
        <v>42</v>
      </c>
      <c r="H148" s="5" t="s">
        <v>43</v>
      </c>
      <c r="I148" s="5" t="s">
        <v>44</v>
      </c>
      <c r="J148" s="3" t="s">
        <v>45</v>
      </c>
      <c r="K148" s="3" t="s">
        <v>85</v>
      </c>
      <c r="L148" s="3" t="s">
        <v>386</v>
      </c>
      <c r="M148" s="3" t="s">
        <v>262</v>
      </c>
      <c r="N148" s="4" t="s">
        <v>648</v>
      </c>
      <c r="O148" s="68" t="s">
        <v>586</v>
      </c>
      <c r="P148" s="3" t="s">
        <v>388</v>
      </c>
      <c r="Q148" s="3" t="s">
        <v>51</v>
      </c>
      <c r="R148" s="6">
        <v>3</v>
      </c>
      <c r="S148" s="3" t="s">
        <v>52</v>
      </c>
      <c r="T148" s="3" t="s">
        <v>53</v>
      </c>
      <c r="U148" s="3" t="s">
        <v>54</v>
      </c>
      <c r="V148" s="7"/>
      <c r="W148" s="7"/>
      <c r="X148" s="7"/>
      <c r="Y148" s="7"/>
      <c r="Z148" s="3" t="s">
        <v>265</v>
      </c>
      <c r="AA148" s="3" t="s">
        <v>56</v>
      </c>
      <c r="AB148" s="3" t="s">
        <v>57</v>
      </c>
      <c r="AD148" s="8">
        <v>19.443999999999999</v>
      </c>
      <c r="AE148" s="8">
        <v>19.513000000000002</v>
      </c>
      <c r="AG148" s="3">
        <v>1.44</v>
      </c>
      <c r="AH148" s="11">
        <v>28.8</v>
      </c>
      <c r="AI148" s="8">
        <v>14.77</v>
      </c>
      <c r="AJ148" s="88">
        <v>35.75</v>
      </c>
      <c r="AK148" s="3" t="s">
        <v>58</v>
      </c>
      <c r="AL148" s="9">
        <f t="shared" si="2"/>
        <v>42.9</v>
      </c>
      <c r="AN148" t="s">
        <v>5518</v>
      </c>
      <c r="AO148" s="74" t="s">
        <v>5632</v>
      </c>
    </row>
    <row r="149" spans="1:41" ht="14.25" customHeight="1" x14ac:dyDescent="0.3">
      <c r="A149" s="3" t="s">
        <v>641</v>
      </c>
      <c r="B149" s="3" t="s">
        <v>649</v>
      </c>
      <c r="C149" s="3" t="s">
        <v>643</v>
      </c>
      <c r="D149" s="4" t="s">
        <v>650</v>
      </c>
      <c r="E149" s="3" t="s">
        <v>645</v>
      </c>
      <c r="F149" s="3" t="s">
        <v>41</v>
      </c>
      <c r="G149" s="5" t="s">
        <v>42</v>
      </c>
      <c r="H149" s="5" t="s">
        <v>43</v>
      </c>
      <c r="I149" s="5" t="s">
        <v>44</v>
      </c>
      <c r="J149" s="3" t="s">
        <v>45</v>
      </c>
      <c r="K149" s="3" t="s">
        <v>85</v>
      </c>
      <c r="L149" s="3" t="s">
        <v>386</v>
      </c>
      <c r="M149" s="3" t="s">
        <v>262</v>
      </c>
      <c r="N149" s="4" t="s">
        <v>394</v>
      </c>
      <c r="O149" s="69" t="s">
        <v>3268</v>
      </c>
      <c r="P149" s="3" t="s">
        <v>388</v>
      </c>
      <c r="Q149" s="3" t="s">
        <v>51</v>
      </c>
      <c r="R149" s="6">
        <v>3</v>
      </c>
      <c r="S149" s="3" t="s">
        <v>52</v>
      </c>
      <c r="T149" s="3" t="s">
        <v>53</v>
      </c>
      <c r="U149" s="3" t="s">
        <v>54</v>
      </c>
      <c r="V149" s="7"/>
      <c r="W149" s="7"/>
      <c r="X149" s="7"/>
      <c r="Y149" s="7"/>
      <c r="Z149" s="3" t="s">
        <v>265</v>
      </c>
      <c r="AA149" s="3" t="s">
        <v>56</v>
      </c>
      <c r="AB149" s="3" t="s">
        <v>57</v>
      </c>
      <c r="AD149" s="8">
        <v>19.443999999999999</v>
      </c>
      <c r="AE149" s="8">
        <v>19.513000000000002</v>
      </c>
      <c r="AG149" s="3">
        <v>1.44</v>
      </c>
      <c r="AH149" s="11">
        <v>28.8</v>
      </c>
      <c r="AI149" s="8">
        <v>14.77</v>
      </c>
      <c r="AJ149" s="88">
        <v>35.75</v>
      </c>
      <c r="AK149" s="3" t="s">
        <v>58</v>
      </c>
      <c r="AL149" s="9">
        <f t="shared" si="2"/>
        <v>42.9</v>
      </c>
      <c r="AN149" t="s">
        <v>5518</v>
      </c>
      <c r="AO149" s="74" t="s">
        <v>5632</v>
      </c>
    </row>
    <row r="150" spans="1:41" ht="14.25" customHeight="1" x14ac:dyDescent="0.3">
      <c r="A150" s="3" t="s">
        <v>641</v>
      </c>
      <c r="B150" s="3" t="s">
        <v>651</v>
      </c>
      <c r="C150" s="3" t="s">
        <v>643</v>
      </c>
      <c r="D150" s="4" t="s">
        <v>652</v>
      </c>
      <c r="E150" s="3" t="s">
        <v>645</v>
      </c>
      <c r="F150" s="3" t="s">
        <v>41</v>
      </c>
      <c r="G150" s="5" t="s">
        <v>42</v>
      </c>
      <c r="H150" s="5" t="s">
        <v>43</v>
      </c>
      <c r="I150" s="5" t="s">
        <v>44</v>
      </c>
      <c r="J150" s="3" t="s">
        <v>45</v>
      </c>
      <c r="K150" s="3" t="s">
        <v>85</v>
      </c>
      <c r="L150" s="3" t="s">
        <v>386</v>
      </c>
      <c r="M150" s="3" t="s">
        <v>262</v>
      </c>
      <c r="N150" s="4" t="s">
        <v>391</v>
      </c>
      <c r="O150" s="69" t="s">
        <v>3268</v>
      </c>
      <c r="P150" s="3" t="s">
        <v>388</v>
      </c>
      <c r="Q150" s="3" t="s">
        <v>51</v>
      </c>
      <c r="R150" s="6">
        <v>3</v>
      </c>
      <c r="S150" s="3" t="s">
        <v>52</v>
      </c>
      <c r="T150" s="3" t="s">
        <v>53</v>
      </c>
      <c r="U150" s="3" t="s">
        <v>54</v>
      </c>
      <c r="V150" s="7"/>
      <c r="W150" s="7"/>
      <c r="X150" s="7"/>
      <c r="Y150" s="7"/>
      <c r="Z150" s="3" t="s">
        <v>265</v>
      </c>
      <c r="AA150" s="3" t="s">
        <v>56</v>
      </c>
      <c r="AB150" s="3" t="s">
        <v>57</v>
      </c>
      <c r="AD150" s="8">
        <v>19.443999999999999</v>
      </c>
      <c r="AE150" s="8">
        <v>19.513000000000002</v>
      </c>
      <c r="AG150" s="3">
        <v>1.44</v>
      </c>
      <c r="AH150" s="11">
        <v>28.8</v>
      </c>
      <c r="AI150" s="8">
        <v>14.77</v>
      </c>
      <c r="AJ150" s="88">
        <v>35.75</v>
      </c>
      <c r="AK150" s="3" t="s">
        <v>58</v>
      </c>
      <c r="AL150" s="9">
        <f t="shared" si="2"/>
        <v>42.9</v>
      </c>
      <c r="AN150" t="s">
        <v>5518</v>
      </c>
      <c r="AO150" s="74" t="s">
        <v>5632</v>
      </c>
    </row>
    <row r="151" spans="1:41" ht="14.25" customHeight="1" x14ac:dyDescent="0.3">
      <c r="A151" s="3" t="s">
        <v>152</v>
      </c>
      <c r="B151" s="3" t="s">
        <v>153</v>
      </c>
      <c r="C151" s="3" t="s">
        <v>154</v>
      </c>
      <c r="D151" s="3" t="s">
        <v>155</v>
      </c>
      <c r="E151" s="3" t="s">
        <v>156</v>
      </c>
      <c r="F151" s="3" t="s">
        <v>41</v>
      </c>
      <c r="G151" s="5" t="s">
        <v>42</v>
      </c>
      <c r="H151" s="5" t="s">
        <v>43</v>
      </c>
      <c r="I151" s="5" t="s">
        <v>44</v>
      </c>
      <c r="J151" s="3" t="s">
        <v>45</v>
      </c>
      <c r="K151" s="3" t="s">
        <v>85</v>
      </c>
      <c r="L151" s="3" t="s">
        <v>157</v>
      </c>
      <c r="M151" s="3" t="s">
        <v>48</v>
      </c>
      <c r="N151" s="4" t="s">
        <v>158</v>
      </c>
      <c r="O151" s="68" t="s">
        <v>586</v>
      </c>
      <c r="P151" s="3" t="s">
        <v>50</v>
      </c>
      <c r="Q151" s="3" t="s">
        <v>51</v>
      </c>
      <c r="R151" s="3">
        <v>5</v>
      </c>
      <c r="S151" s="3" t="s">
        <v>52</v>
      </c>
      <c r="T151" s="3" t="s">
        <v>53</v>
      </c>
      <c r="U151" s="3" t="s">
        <v>54</v>
      </c>
      <c r="V151" s="7"/>
      <c r="W151" s="7"/>
      <c r="X151" s="7"/>
      <c r="Y151" s="7"/>
      <c r="Z151" s="3" t="s">
        <v>55</v>
      </c>
      <c r="AA151" s="3" t="s">
        <v>56</v>
      </c>
      <c r="AB151" s="3" t="s">
        <v>57</v>
      </c>
      <c r="AD151" s="3">
        <v>19.536999999999999</v>
      </c>
      <c r="AE151" s="3">
        <v>19.907</v>
      </c>
      <c r="AG151" s="3">
        <v>1.2</v>
      </c>
      <c r="AH151" s="3">
        <v>54</v>
      </c>
      <c r="AI151" s="8">
        <v>11.87</v>
      </c>
      <c r="AJ151" s="88">
        <v>30.75</v>
      </c>
      <c r="AK151" s="3" t="s">
        <v>58</v>
      </c>
      <c r="AL151" s="9">
        <f t="shared" si="2"/>
        <v>36.9</v>
      </c>
      <c r="AN151" t="s">
        <v>5519</v>
      </c>
      <c r="AO151" s="74" t="s">
        <v>5631</v>
      </c>
    </row>
    <row r="152" spans="1:41" ht="14.25" customHeight="1" x14ac:dyDescent="0.3">
      <c r="A152" s="3" t="s">
        <v>152</v>
      </c>
      <c r="B152" s="3" t="s">
        <v>159</v>
      </c>
      <c r="C152" s="3" t="s">
        <v>154</v>
      </c>
      <c r="D152" s="3" t="s">
        <v>160</v>
      </c>
      <c r="E152" s="3" t="s">
        <v>156</v>
      </c>
      <c r="F152" s="3" t="s">
        <v>41</v>
      </c>
      <c r="G152" s="5" t="s">
        <v>42</v>
      </c>
      <c r="H152" s="5" t="s">
        <v>43</v>
      </c>
      <c r="I152" s="5" t="s">
        <v>44</v>
      </c>
      <c r="J152" s="3" t="s">
        <v>45</v>
      </c>
      <c r="K152" s="3" t="s">
        <v>85</v>
      </c>
      <c r="L152" s="3" t="s">
        <v>157</v>
      </c>
      <c r="M152" s="3" t="s">
        <v>48</v>
      </c>
      <c r="N152" s="4" t="s">
        <v>161</v>
      </c>
      <c r="O152" s="70" t="s">
        <v>3268</v>
      </c>
      <c r="P152" s="3" t="s">
        <v>50</v>
      </c>
      <c r="Q152" s="3" t="s">
        <v>51</v>
      </c>
      <c r="R152" s="3">
        <v>5</v>
      </c>
      <c r="S152" s="3" t="s">
        <v>52</v>
      </c>
      <c r="T152" s="3" t="s">
        <v>53</v>
      </c>
      <c r="U152" s="3" t="s">
        <v>54</v>
      </c>
      <c r="V152" s="7"/>
      <c r="W152" s="7"/>
      <c r="X152" s="7"/>
      <c r="Y152" s="7"/>
      <c r="Z152" s="3" t="s">
        <v>55</v>
      </c>
      <c r="AA152" s="3" t="s">
        <v>56</v>
      </c>
      <c r="AB152" s="3" t="s">
        <v>57</v>
      </c>
      <c r="AD152" s="3">
        <v>19.536999999999999</v>
      </c>
      <c r="AE152" s="3">
        <v>19.907</v>
      </c>
      <c r="AG152" s="3">
        <v>1.2</v>
      </c>
      <c r="AH152" s="3">
        <v>54</v>
      </c>
      <c r="AI152" s="8">
        <v>11.87</v>
      </c>
      <c r="AJ152" s="88">
        <v>30.75</v>
      </c>
      <c r="AK152" s="3" t="s">
        <v>58</v>
      </c>
      <c r="AL152" s="9">
        <f t="shared" si="2"/>
        <v>36.9</v>
      </c>
      <c r="AN152" t="s">
        <v>5519</v>
      </c>
      <c r="AO152" s="74" t="s">
        <v>5631</v>
      </c>
    </row>
    <row r="153" spans="1:41" ht="14.25" customHeight="1" x14ac:dyDescent="0.3">
      <c r="A153" s="3" t="s">
        <v>152</v>
      </c>
      <c r="B153" s="3" t="s">
        <v>162</v>
      </c>
      <c r="C153" s="3" t="s">
        <v>154</v>
      </c>
      <c r="D153" s="3" t="s">
        <v>163</v>
      </c>
      <c r="E153" s="3" t="s">
        <v>156</v>
      </c>
      <c r="F153" s="3" t="s">
        <v>41</v>
      </c>
      <c r="G153" s="5" t="s">
        <v>42</v>
      </c>
      <c r="H153" s="5" t="s">
        <v>43</v>
      </c>
      <c r="I153" s="5" t="s">
        <v>44</v>
      </c>
      <c r="J153" s="3" t="s">
        <v>45</v>
      </c>
      <c r="K153" s="3" t="s">
        <v>85</v>
      </c>
      <c r="L153" s="3" t="s">
        <v>157</v>
      </c>
      <c r="M153" s="3" t="s">
        <v>48</v>
      </c>
      <c r="N153" s="4" t="s">
        <v>94</v>
      </c>
      <c r="O153" s="68" t="s">
        <v>586</v>
      </c>
      <c r="P153" s="3" t="s">
        <v>50</v>
      </c>
      <c r="Q153" s="3" t="s">
        <v>51</v>
      </c>
      <c r="R153" s="3">
        <v>5</v>
      </c>
      <c r="S153" s="3" t="s">
        <v>52</v>
      </c>
      <c r="T153" s="3" t="s">
        <v>53</v>
      </c>
      <c r="U153" s="3" t="s">
        <v>54</v>
      </c>
      <c r="V153" s="7"/>
      <c r="W153" s="7"/>
      <c r="X153" s="7"/>
      <c r="Y153" s="7"/>
      <c r="Z153" s="3" t="s">
        <v>55</v>
      </c>
      <c r="AA153" s="3" t="s">
        <v>56</v>
      </c>
      <c r="AB153" s="3" t="s">
        <v>57</v>
      </c>
      <c r="AD153" s="3">
        <v>19.536999999999999</v>
      </c>
      <c r="AE153" s="3">
        <v>19.907</v>
      </c>
      <c r="AG153" s="3">
        <v>1.2</v>
      </c>
      <c r="AH153" s="3">
        <v>54</v>
      </c>
      <c r="AI153" s="8">
        <v>11.87</v>
      </c>
      <c r="AJ153" s="88">
        <v>30.75</v>
      </c>
      <c r="AK153" s="3" t="s">
        <v>58</v>
      </c>
      <c r="AL153" s="9">
        <f t="shared" si="2"/>
        <v>36.9</v>
      </c>
      <c r="AN153" t="s">
        <v>5519</v>
      </c>
      <c r="AO153" s="74" t="s">
        <v>5631</v>
      </c>
    </row>
    <row r="154" spans="1:41" ht="14.25" customHeight="1" x14ac:dyDescent="0.3">
      <c r="A154" s="3" t="s">
        <v>152</v>
      </c>
      <c r="B154" s="3" t="s">
        <v>164</v>
      </c>
      <c r="C154" s="3" t="s">
        <v>154</v>
      </c>
      <c r="D154" s="3" t="s">
        <v>165</v>
      </c>
      <c r="E154" s="3" t="s">
        <v>156</v>
      </c>
      <c r="F154" s="3" t="s">
        <v>41</v>
      </c>
      <c r="G154" s="5" t="s">
        <v>42</v>
      </c>
      <c r="H154" s="5" t="s">
        <v>43</v>
      </c>
      <c r="I154" s="5" t="s">
        <v>44</v>
      </c>
      <c r="J154" s="3" t="s">
        <v>45</v>
      </c>
      <c r="K154" s="3" t="s">
        <v>85</v>
      </c>
      <c r="L154" s="3" t="s">
        <v>166</v>
      </c>
      <c r="M154" s="3" t="s">
        <v>48</v>
      </c>
      <c r="N154" s="4" t="s">
        <v>94</v>
      </c>
      <c r="O154" s="67" t="s">
        <v>586</v>
      </c>
      <c r="P154" s="3" t="s">
        <v>50</v>
      </c>
      <c r="Q154" s="3" t="s">
        <v>51</v>
      </c>
      <c r="R154" s="3">
        <v>3</v>
      </c>
      <c r="S154" s="3" t="s">
        <v>52</v>
      </c>
      <c r="T154" s="3" t="s">
        <v>53</v>
      </c>
      <c r="U154" s="3" t="s">
        <v>54</v>
      </c>
      <c r="V154" s="7"/>
      <c r="W154" s="7"/>
      <c r="X154" s="7"/>
      <c r="Y154" s="7"/>
      <c r="Z154" s="3" t="s">
        <v>55</v>
      </c>
      <c r="AA154" s="3" t="s">
        <v>56</v>
      </c>
      <c r="AB154" s="3" t="s">
        <v>57</v>
      </c>
      <c r="AD154" s="3">
        <v>21.44</v>
      </c>
      <c r="AE154" s="3">
        <v>21.64</v>
      </c>
      <c r="AG154" s="3">
        <v>1.62</v>
      </c>
      <c r="AH154" s="3">
        <v>64.8</v>
      </c>
      <c r="AI154" s="8">
        <v>20.49</v>
      </c>
      <c r="AJ154" s="88">
        <v>49.915999999999997</v>
      </c>
      <c r="AK154" s="3" t="s">
        <v>58</v>
      </c>
      <c r="AL154" s="9">
        <f t="shared" si="2"/>
        <v>59.899199999999993</v>
      </c>
      <c r="AN154" t="s">
        <v>5519</v>
      </c>
      <c r="AO154" s="74" t="s">
        <v>5631</v>
      </c>
    </row>
    <row r="155" spans="1:41" ht="14.25" customHeight="1" x14ac:dyDescent="0.3">
      <c r="A155" s="3" t="s">
        <v>152</v>
      </c>
      <c r="B155" s="3" t="s">
        <v>167</v>
      </c>
      <c r="C155" s="3" t="s">
        <v>154</v>
      </c>
      <c r="D155" s="3" t="s">
        <v>168</v>
      </c>
      <c r="E155" s="3" t="s">
        <v>156</v>
      </c>
      <c r="F155" s="3" t="s">
        <v>41</v>
      </c>
      <c r="G155" s="5" t="s">
        <v>42</v>
      </c>
      <c r="H155" s="5" t="s">
        <v>43</v>
      </c>
      <c r="I155" s="5" t="s">
        <v>44</v>
      </c>
      <c r="J155" s="3" t="s">
        <v>45</v>
      </c>
      <c r="K155" s="3" t="s">
        <v>85</v>
      </c>
      <c r="L155" s="3" t="s">
        <v>166</v>
      </c>
      <c r="M155" s="3" t="s">
        <v>48</v>
      </c>
      <c r="N155" s="4" t="s">
        <v>158</v>
      </c>
      <c r="O155" s="67" t="s">
        <v>586</v>
      </c>
      <c r="P155" s="3" t="s">
        <v>50</v>
      </c>
      <c r="Q155" s="3" t="s">
        <v>51</v>
      </c>
      <c r="R155" s="3">
        <v>3</v>
      </c>
      <c r="S155" s="3" t="s">
        <v>52</v>
      </c>
      <c r="T155" s="3" t="s">
        <v>53</v>
      </c>
      <c r="U155" s="3" t="s">
        <v>54</v>
      </c>
      <c r="V155" s="7"/>
      <c r="W155" s="7"/>
      <c r="X155" s="7"/>
      <c r="Y155" s="7"/>
      <c r="Z155" s="3" t="s">
        <v>55</v>
      </c>
      <c r="AA155" s="3" t="s">
        <v>56</v>
      </c>
      <c r="AB155" s="3" t="s">
        <v>57</v>
      </c>
      <c r="AD155" s="3">
        <v>21.44</v>
      </c>
      <c r="AE155" s="3">
        <v>21.64</v>
      </c>
      <c r="AG155" s="3">
        <v>1.62</v>
      </c>
      <c r="AH155" s="3">
        <v>64.8</v>
      </c>
      <c r="AI155" s="8">
        <v>20.49</v>
      </c>
      <c r="AJ155" s="88">
        <v>49.915999999999997</v>
      </c>
      <c r="AK155" s="3" t="s">
        <v>58</v>
      </c>
      <c r="AL155" s="9">
        <f t="shared" si="2"/>
        <v>59.899199999999993</v>
      </c>
      <c r="AN155" t="s">
        <v>5519</v>
      </c>
      <c r="AO155" s="74" t="s">
        <v>5631</v>
      </c>
    </row>
    <row r="156" spans="1:41" ht="14.25" customHeight="1" x14ac:dyDescent="0.3">
      <c r="A156" s="3" t="s">
        <v>152</v>
      </c>
      <c r="B156" s="3" t="s">
        <v>169</v>
      </c>
      <c r="C156" s="3" t="s">
        <v>154</v>
      </c>
      <c r="D156" s="3" t="s">
        <v>170</v>
      </c>
      <c r="E156" s="3" t="s">
        <v>156</v>
      </c>
      <c r="F156" s="3" t="s">
        <v>41</v>
      </c>
      <c r="G156" s="5" t="s">
        <v>42</v>
      </c>
      <c r="H156" s="5" t="s">
        <v>43</v>
      </c>
      <c r="I156" s="5" t="s">
        <v>44</v>
      </c>
      <c r="J156" s="3" t="s">
        <v>45</v>
      </c>
      <c r="K156" s="3" t="s">
        <v>85</v>
      </c>
      <c r="L156" s="3" t="s">
        <v>166</v>
      </c>
      <c r="M156" s="3" t="s">
        <v>48</v>
      </c>
      <c r="N156" s="4" t="s">
        <v>161</v>
      </c>
      <c r="O156" s="69" t="s">
        <v>3268</v>
      </c>
      <c r="P156" s="3" t="s">
        <v>50</v>
      </c>
      <c r="Q156" s="3" t="s">
        <v>51</v>
      </c>
      <c r="R156" s="3">
        <v>3</v>
      </c>
      <c r="S156" s="3" t="s">
        <v>52</v>
      </c>
      <c r="T156" s="3" t="s">
        <v>53</v>
      </c>
      <c r="U156" s="3" t="s">
        <v>54</v>
      </c>
      <c r="V156" s="7"/>
      <c r="W156" s="7"/>
      <c r="X156" s="7"/>
      <c r="Y156" s="7"/>
      <c r="Z156" s="3" t="s">
        <v>55</v>
      </c>
      <c r="AA156" s="3" t="s">
        <v>56</v>
      </c>
      <c r="AB156" s="3" t="s">
        <v>57</v>
      </c>
      <c r="AD156" s="3">
        <v>21.44</v>
      </c>
      <c r="AE156" s="3">
        <v>21.64</v>
      </c>
      <c r="AG156" s="3">
        <v>1.62</v>
      </c>
      <c r="AH156" s="3">
        <v>64.8</v>
      </c>
      <c r="AI156" s="8">
        <v>20.49</v>
      </c>
      <c r="AJ156" s="88">
        <v>49.915999999999997</v>
      </c>
      <c r="AK156" s="3" t="s">
        <v>58</v>
      </c>
      <c r="AL156" s="9">
        <f t="shared" si="2"/>
        <v>59.899199999999993</v>
      </c>
      <c r="AN156" t="s">
        <v>5519</v>
      </c>
      <c r="AO156" s="74" t="s">
        <v>5631</v>
      </c>
    </row>
    <row r="157" spans="1:41" ht="14.25" customHeight="1" x14ac:dyDescent="0.3">
      <c r="A157" s="3" t="s">
        <v>849</v>
      </c>
      <c r="B157" s="3" t="s">
        <v>850</v>
      </c>
      <c r="C157" s="3" t="s">
        <v>851</v>
      </c>
      <c r="D157" s="3" t="s">
        <v>852</v>
      </c>
      <c r="E157" s="3" t="s">
        <v>853</v>
      </c>
      <c r="F157" s="3" t="s">
        <v>41</v>
      </c>
      <c r="G157" s="5" t="s">
        <v>42</v>
      </c>
      <c r="H157" s="5" t="s">
        <v>43</v>
      </c>
      <c r="I157" s="5" t="s">
        <v>44</v>
      </c>
      <c r="J157" s="3" t="s">
        <v>45</v>
      </c>
      <c r="K157" s="3" t="s">
        <v>85</v>
      </c>
      <c r="L157" s="3" t="s">
        <v>157</v>
      </c>
      <c r="M157" s="3" t="s">
        <v>48</v>
      </c>
      <c r="N157" s="3" t="s">
        <v>854</v>
      </c>
      <c r="O157" s="69" t="s">
        <v>586</v>
      </c>
      <c r="P157" s="3" t="s">
        <v>50</v>
      </c>
      <c r="Q157" s="3" t="s">
        <v>51</v>
      </c>
      <c r="R157" s="3">
        <v>6</v>
      </c>
      <c r="S157" s="3" t="s">
        <v>52</v>
      </c>
      <c r="T157" s="3" t="s">
        <v>53</v>
      </c>
      <c r="U157" s="3" t="s">
        <v>54</v>
      </c>
      <c r="V157" s="7"/>
      <c r="W157" s="7"/>
      <c r="X157" s="7"/>
      <c r="Y157" s="7"/>
      <c r="Z157" s="3" t="s">
        <v>55</v>
      </c>
      <c r="AA157" s="3" t="s">
        <v>88</v>
      </c>
      <c r="AB157" s="3" t="s">
        <v>57</v>
      </c>
      <c r="AD157" s="3">
        <v>28.78</v>
      </c>
      <c r="AE157" s="3">
        <v>28.78</v>
      </c>
      <c r="AG157" s="3">
        <v>1.44</v>
      </c>
      <c r="AH157" s="3">
        <v>46.08</v>
      </c>
      <c r="AI157" s="8">
        <v>19.899999999999999</v>
      </c>
      <c r="AJ157" s="88">
        <v>47.415999999999997</v>
      </c>
      <c r="AK157" s="3" t="s">
        <v>58</v>
      </c>
      <c r="AL157" s="9">
        <f t="shared" si="2"/>
        <v>56.899199999999993</v>
      </c>
      <c r="AN157" t="s">
        <v>5519</v>
      </c>
      <c r="AO157" s="74" t="s">
        <v>5628</v>
      </c>
    </row>
    <row r="158" spans="1:41" ht="14.25" customHeight="1" x14ac:dyDescent="0.3">
      <c r="A158" s="3" t="s">
        <v>849</v>
      </c>
      <c r="B158" s="3" t="s">
        <v>855</v>
      </c>
      <c r="C158" s="3" t="s">
        <v>851</v>
      </c>
      <c r="D158" s="3" t="s">
        <v>856</v>
      </c>
      <c r="E158" s="3" t="s">
        <v>853</v>
      </c>
      <c r="F158" s="3" t="s">
        <v>41</v>
      </c>
      <c r="G158" s="5" t="s">
        <v>42</v>
      </c>
      <c r="H158" s="5" t="s">
        <v>43</v>
      </c>
      <c r="I158" s="5" t="s">
        <v>44</v>
      </c>
      <c r="J158" s="3" t="s">
        <v>45</v>
      </c>
      <c r="K158" s="3" t="s">
        <v>85</v>
      </c>
      <c r="L158" s="3" t="s">
        <v>157</v>
      </c>
      <c r="M158" s="3" t="s">
        <v>48</v>
      </c>
      <c r="N158" s="3" t="s">
        <v>857</v>
      </c>
      <c r="O158" s="70" t="s">
        <v>3268</v>
      </c>
      <c r="P158" s="3" t="s">
        <v>50</v>
      </c>
      <c r="Q158" s="3" t="s">
        <v>51</v>
      </c>
      <c r="R158" s="3">
        <v>6</v>
      </c>
      <c r="S158" s="3" t="s">
        <v>52</v>
      </c>
      <c r="T158" s="3" t="s">
        <v>53</v>
      </c>
      <c r="U158" s="3" t="s">
        <v>54</v>
      </c>
      <c r="V158" s="7"/>
      <c r="W158" s="7"/>
      <c r="X158" s="7"/>
      <c r="Y158" s="7"/>
      <c r="Z158" s="3" t="s">
        <v>55</v>
      </c>
      <c r="AA158" s="3" t="s">
        <v>88</v>
      </c>
      <c r="AB158" s="3" t="s">
        <v>57</v>
      </c>
      <c r="AD158" s="3">
        <v>28.78</v>
      </c>
      <c r="AE158" s="3">
        <v>28.78</v>
      </c>
      <c r="AG158" s="3">
        <v>1.44</v>
      </c>
      <c r="AH158" s="3">
        <v>46.08</v>
      </c>
      <c r="AI158" s="8">
        <v>19.899999999999999</v>
      </c>
      <c r="AJ158" s="88">
        <v>47.415999999999997</v>
      </c>
      <c r="AK158" s="3" t="s">
        <v>58</v>
      </c>
      <c r="AL158" s="9">
        <f t="shared" si="2"/>
        <v>56.899199999999993</v>
      </c>
      <c r="AN158" t="s">
        <v>5519</v>
      </c>
      <c r="AO158" s="74" t="s">
        <v>5628</v>
      </c>
    </row>
    <row r="159" spans="1:41" ht="14.25" customHeight="1" x14ac:dyDescent="0.3">
      <c r="A159" s="3" t="s">
        <v>849</v>
      </c>
      <c r="B159" s="3" t="s">
        <v>858</v>
      </c>
      <c r="C159" s="3" t="s">
        <v>851</v>
      </c>
      <c r="D159" s="3" t="s">
        <v>859</v>
      </c>
      <c r="E159" s="3" t="s">
        <v>853</v>
      </c>
      <c r="F159" s="3" t="s">
        <v>41</v>
      </c>
      <c r="G159" s="5" t="s">
        <v>42</v>
      </c>
      <c r="H159" s="5" t="s">
        <v>43</v>
      </c>
      <c r="I159" s="5" t="s">
        <v>44</v>
      </c>
      <c r="J159" s="3" t="s">
        <v>45</v>
      </c>
      <c r="K159" s="3" t="s">
        <v>85</v>
      </c>
      <c r="L159" s="3" t="s">
        <v>157</v>
      </c>
      <c r="M159" s="3" t="s">
        <v>48</v>
      </c>
      <c r="N159" s="3" t="s">
        <v>860</v>
      </c>
      <c r="O159" s="70" t="s">
        <v>586</v>
      </c>
      <c r="P159" s="3" t="s">
        <v>50</v>
      </c>
      <c r="Q159" s="3" t="s">
        <v>51</v>
      </c>
      <c r="R159" s="3">
        <v>6</v>
      </c>
      <c r="S159" s="3" t="s">
        <v>52</v>
      </c>
      <c r="T159" s="3" t="s">
        <v>53</v>
      </c>
      <c r="U159" s="3" t="s">
        <v>54</v>
      </c>
      <c r="V159" s="7"/>
      <c r="W159" s="7"/>
      <c r="X159" s="7"/>
      <c r="Y159" s="7"/>
      <c r="Z159" s="3" t="s">
        <v>55</v>
      </c>
      <c r="AA159" s="3" t="s">
        <v>88</v>
      </c>
      <c r="AB159" s="3" t="s">
        <v>57</v>
      </c>
      <c r="AD159" s="3">
        <v>28.78</v>
      </c>
      <c r="AE159" s="3">
        <v>28.78</v>
      </c>
      <c r="AG159" s="3">
        <v>1.44</v>
      </c>
      <c r="AH159" s="3">
        <v>46.08</v>
      </c>
      <c r="AI159" s="8">
        <v>19.899999999999999</v>
      </c>
      <c r="AJ159" s="88">
        <v>47.415999999999997</v>
      </c>
      <c r="AK159" s="3" t="s">
        <v>58</v>
      </c>
      <c r="AL159" s="9">
        <f t="shared" si="2"/>
        <v>56.899199999999993</v>
      </c>
      <c r="AN159" t="s">
        <v>5519</v>
      </c>
      <c r="AO159" s="74" t="s">
        <v>5628</v>
      </c>
    </row>
    <row r="160" spans="1:41" ht="14.25" customHeight="1" x14ac:dyDescent="0.3">
      <c r="A160" s="3" t="s">
        <v>849</v>
      </c>
      <c r="B160" s="3" t="s">
        <v>861</v>
      </c>
      <c r="C160" s="3" t="s">
        <v>851</v>
      </c>
      <c r="D160" s="3" t="s">
        <v>862</v>
      </c>
      <c r="E160" s="3" t="s">
        <v>853</v>
      </c>
      <c r="F160" s="3" t="s">
        <v>41</v>
      </c>
      <c r="G160" s="5" t="s">
        <v>42</v>
      </c>
      <c r="H160" s="5" t="s">
        <v>43</v>
      </c>
      <c r="I160" s="5" t="s">
        <v>44</v>
      </c>
      <c r="J160" s="3" t="s">
        <v>45</v>
      </c>
      <c r="K160" s="3" t="s">
        <v>85</v>
      </c>
      <c r="L160" s="3" t="s">
        <v>157</v>
      </c>
      <c r="M160" s="3" t="s">
        <v>48</v>
      </c>
      <c r="N160" s="3" t="s">
        <v>863</v>
      </c>
      <c r="O160" s="69" t="s">
        <v>586</v>
      </c>
      <c r="P160" s="3" t="s">
        <v>50</v>
      </c>
      <c r="Q160" s="3" t="s">
        <v>51</v>
      </c>
      <c r="R160" s="3">
        <v>6</v>
      </c>
      <c r="S160" s="3" t="s">
        <v>52</v>
      </c>
      <c r="T160" s="3" t="s">
        <v>53</v>
      </c>
      <c r="U160" s="3" t="s">
        <v>54</v>
      </c>
      <c r="V160" s="7"/>
      <c r="W160" s="7"/>
      <c r="X160" s="7"/>
      <c r="Y160" s="7"/>
      <c r="Z160" s="3" t="s">
        <v>55</v>
      </c>
      <c r="AA160" s="3" t="s">
        <v>88</v>
      </c>
      <c r="AB160" s="3" t="s">
        <v>57</v>
      </c>
      <c r="AD160" s="3">
        <v>28.78</v>
      </c>
      <c r="AE160" s="3">
        <v>28.78</v>
      </c>
      <c r="AG160" s="3">
        <v>1.44</v>
      </c>
      <c r="AH160" s="3">
        <v>46.08</v>
      </c>
      <c r="AI160" s="8">
        <v>19.899999999999999</v>
      </c>
      <c r="AJ160" s="88">
        <v>47.415999999999997</v>
      </c>
      <c r="AK160" s="3" t="s">
        <v>58</v>
      </c>
      <c r="AL160" s="9">
        <f t="shared" si="2"/>
        <v>56.899199999999993</v>
      </c>
      <c r="AN160" t="s">
        <v>5519</v>
      </c>
      <c r="AO160" s="74" t="s">
        <v>5628</v>
      </c>
    </row>
    <row r="161" spans="1:41" ht="14.25" customHeight="1" x14ac:dyDescent="0.3">
      <c r="A161" s="3" t="s">
        <v>849</v>
      </c>
      <c r="B161" s="3" t="s">
        <v>864</v>
      </c>
      <c r="C161" s="3" t="s">
        <v>851</v>
      </c>
      <c r="D161" s="3" t="s">
        <v>865</v>
      </c>
      <c r="E161" s="3" t="s">
        <v>853</v>
      </c>
      <c r="F161" s="3" t="s">
        <v>41</v>
      </c>
      <c r="G161" s="5" t="s">
        <v>42</v>
      </c>
      <c r="H161" s="5" t="s">
        <v>43</v>
      </c>
      <c r="I161" s="5" t="s">
        <v>44</v>
      </c>
      <c r="J161" s="3" t="s">
        <v>45</v>
      </c>
      <c r="K161" s="3" t="s">
        <v>85</v>
      </c>
      <c r="L161" s="3" t="s">
        <v>157</v>
      </c>
      <c r="M161" s="3" t="s">
        <v>48</v>
      </c>
      <c r="N161" s="3" t="s">
        <v>866</v>
      </c>
      <c r="O161" s="69" t="s">
        <v>3268</v>
      </c>
      <c r="P161" s="3" t="s">
        <v>50</v>
      </c>
      <c r="Q161" s="3" t="s">
        <v>51</v>
      </c>
      <c r="R161" s="3">
        <v>6</v>
      </c>
      <c r="S161" s="3" t="s">
        <v>52</v>
      </c>
      <c r="T161" s="3" t="s">
        <v>53</v>
      </c>
      <c r="U161" s="3" t="s">
        <v>54</v>
      </c>
      <c r="V161" s="7"/>
      <c r="W161" s="7"/>
      <c r="X161" s="7"/>
      <c r="Y161" s="7"/>
      <c r="Z161" s="3" t="s">
        <v>55</v>
      </c>
      <c r="AA161" s="3" t="s">
        <v>88</v>
      </c>
      <c r="AB161" s="3" t="s">
        <v>57</v>
      </c>
      <c r="AD161" s="3">
        <v>28.78</v>
      </c>
      <c r="AE161" s="3">
        <v>28.78</v>
      </c>
      <c r="AG161" s="3">
        <v>1.44</v>
      </c>
      <c r="AH161" s="3">
        <v>46.08</v>
      </c>
      <c r="AI161" s="8">
        <v>19.899999999999999</v>
      </c>
      <c r="AJ161" s="88">
        <v>47.415999999999997</v>
      </c>
      <c r="AK161" s="3" t="s">
        <v>58</v>
      </c>
      <c r="AL161" s="9">
        <f t="shared" si="2"/>
        <v>56.899199999999993</v>
      </c>
      <c r="AN161" t="s">
        <v>5519</v>
      </c>
      <c r="AO161" s="74" t="s">
        <v>5628</v>
      </c>
    </row>
    <row r="162" spans="1:41" ht="14.25" customHeight="1" x14ac:dyDescent="0.3">
      <c r="A162" s="3" t="s">
        <v>849</v>
      </c>
      <c r="B162" s="3" t="s">
        <v>867</v>
      </c>
      <c r="C162" s="3" t="s">
        <v>851</v>
      </c>
      <c r="D162" s="3" t="s">
        <v>868</v>
      </c>
      <c r="E162" s="3" t="s">
        <v>853</v>
      </c>
      <c r="F162" s="3" t="s">
        <v>41</v>
      </c>
      <c r="G162" s="5" t="s">
        <v>42</v>
      </c>
      <c r="H162" s="5" t="s">
        <v>43</v>
      </c>
      <c r="I162" s="5" t="s">
        <v>44</v>
      </c>
      <c r="J162" s="3" t="s">
        <v>45</v>
      </c>
      <c r="K162" s="3" t="s">
        <v>85</v>
      </c>
      <c r="L162" s="3" t="s">
        <v>157</v>
      </c>
      <c r="M162" s="3" t="s">
        <v>48</v>
      </c>
      <c r="N162" s="3" t="s">
        <v>869</v>
      </c>
      <c r="O162" s="69" t="s">
        <v>586</v>
      </c>
      <c r="P162" s="3" t="s">
        <v>50</v>
      </c>
      <c r="Q162" s="3" t="s">
        <v>51</v>
      </c>
      <c r="R162" s="3">
        <v>6</v>
      </c>
      <c r="S162" s="3" t="s">
        <v>52</v>
      </c>
      <c r="T162" s="3" t="s">
        <v>53</v>
      </c>
      <c r="U162" s="3" t="s">
        <v>54</v>
      </c>
      <c r="V162" s="7"/>
      <c r="W162" s="7"/>
      <c r="X162" s="7"/>
      <c r="Y162" s="7"/>
      <c r="Z162" s="3" t="s">
        <v>55</v>
      </c>
      <c r="AA162" s="3" t="s">
        <v>88</v>
      </c>
      <c r="AB162" s="3" t="s">
        <v>57</v>
      </c>
      <c r="AD162" s="3">
        <v>28.78</v>
      </c>
      <c r="AE162" s="3">
        <v>28.78</v>
      </c>
      <c r="AG162" s="3">
        <v>1.44</v>
      </c>
      <c r="AH162" s="3">
        <v>46.08</v>
      </c>
      <c r="AI162" s="8">
        <v>19.899999999999999</v>
      </c>
      <c r="AJ162" s="88">
        <v>47.415999999999997</v>
      </c>
      <c r="AK162" s="3" t="s">
        <v>58</v>
      </c>
      <c r="AL162" s="9">
        <f t="shared" si="2"/>
        <v>56.899199999999993</v>
      </c>
      <c r="AN162" t="s">
        <v>5519</v>
      </c>
      <c r="AO162" s="74" t="s">
        <v>5628</v>
      </c>
    </row>
    <row r="163" spans="1:41" ht="14.25" customHeight="1" x14ac:dyDescent="0.3">
      <c r="A163" s="3" t="s">
        <v>849</v>
      </c>
      <c r="B163" s="3" t="s">
        <v>870</v>
      </c>
      <c r="C163" s="3" t="s">
        <v>851</v>
      </c>
      <c r="D163" s="3" t="s">
        <v>871</v>
      </c>
      <c r="E163" s="3" t="s">
        <v>853</v>
      </c>
      <c r="F163" s="3" t="s">
        <v>41</v>
      </c>
      <c r="G163" s="5" t="s">
        <v>42</v>
      </c>
      <c r="H163" s="5" t="s">
        <v>43</v>
      </c>
      <c r="I163" s="5" t="s">
        <v>44</v>
      </c>
      <c r="J163" s="3" t="s">
        <v>45</v>
      </c>
      <c r="K163" s="3" t="s">
        <v>85</v>
      </c>
      <c r="L163" s="3" t="s">
        <v>157</v>
      </c>
      <c r="M163" s="3" t="s">
        <v>48</v>
      </c>
      <c r="N163" s="3" t="s">
        <v>872</v>
      </c>
      <c r="O163" s="69" t="s">
        <v>586</v>
      </c>
      <c r="P163" s="3" t="s">
        <v>50</v>
      </c>
      <c r="Q163" s="3" t="s">
        <v>51</v>
      </c>
      <c r="R163" s="3">
        <v>6</v>
      </c>
      <c r="S163" s="3" t="s">
        <v>52</v>
      </c>
      <c r="T163" s="3" t="s">
        <v>53</v>
      </c>
      <c r="U163" s="3" t="s">
        <v>54</v>
      </c>
      <c r="V163" s="7"/>
      <c r="W163" s="7"/>
      <c r="X163" s="7"/>
      <c r="Y163" s="7"/>
      <c r="Z163" s="3" t="s">
        <v>55</v>
      </c>
      <c r="AA163" s="3" t="s">
        <v>88</v>
      </c>
      <c r="AB163" s="3" t="s">
        <v>57</v>
      </c>
      <c r="AD163" s="3">
        <v>28.78</v>
      </c>
      <c r="AE163" s="3">
        <v>28.78</v>
      </c>
      <c r="AG163" s="3">
        <v>1.44</v>
      </c>
      <c r="AH163" s="3">
        <v>46.08</v>
      </c>
      <c r="AI163" s="8">
        <v>19.899999999999999</v>
      </c>
      <c r="AJ163" s="88">
        <v>47.415999999999997</v>
      </c>
      <c r="AK163" s="3" t="s">
        <v>58</v>
      </c>
      <c r="AL163" s="9">
        <f t="shared" si="2"/>
        <v>56.899199999999993</v>
      </c>
      <c r="AN163" t="s">
        <v>5519</v>
      </c>
      <c r="AO163" s="74" t="s">
        <v>5628</v>
      </c>
    </row>
    <row r="164" spans="1:41" ht="14.25" customHeight="1" x14ac:dyDescent="0.3">
      <c r="A164" s="3" t="s">
        <v>849</v>
      </c>
      <c r="B164" s="3" t="s">
        <v>873</v>
      </c>
      <c r="C164" s="3" t="s">
        <v>851</v>
      </c>
      <c r="D164" s="3" t="s">
        <v>874</v>
      </c>
      <c r="E164" s="3" t="s">
        <v>853</v>
      </c>
      <c r="F164" s="3" t="s">
        <v>41</v>
      </c>
      <c r="G164" s="5" t="s">
        <v>42</v>
      </c>
      <c r="H164" s="5" t="s">
        <v>43</v>
      </c>
      <c r="I164" s="5" t="s">
        <v>44</v>
      </c>
      <c r="J164" s="3" t="s">
        <v>45</v>
      </c>
      <c r="K164" s="3" t="s">
        <v>85</v>
      </c>
      <c r="L164" s="3" t="s">
        <v>157</v>
      </c>
      <c r="M164" s="3" t="s">
        <v>48</v>
      </c>
      <c r="N164" s="3" t="s">
        <v>875</v>
      </c>
      <c r="O164" s="69" t="s">
        <v>3268</v>
      </c>
      <c r="P164" s="3" t="s">
        <v>50</v>
      </c>
      <c r="Q164" s="3" t="s">
        <v>51</v>
      </c>
      <c r="R164" s="3">
        <v>6</v>
      </c>
      <c r="S164" s="3" t="s">
        <v>52</v>
      </c>
      <c r="T164" s="3" t="s">
        <v>53</v>
      </c>
      <c r="U164" s="3" t="s">
        <v>54</v>
      </c>
      <c r="V164" s="7"/>
      <c r="W164" s="7"/>
      <c r="X164" s="7"/>
      <c r="Y164" s="7"/>
      <c r="Z164" s="3" t="s">
        <v>55</v>
      </c>
      <c r="AA164" s="3" t="s">
        <v>88</v>
      </c>
      <c r="AB164" s="3" t="s">
        <v>57</v>
      </c>
      <c r="AD164" s="3">
        <v>28.78</v>
      </c>
      <c r="AE164" s="3">
        <v>28.78</v>
      </c>
      <c r="AG164" s="3">
        <v>1.44</v>
      </c>
      <c r="AH164" s="3">
        <v>46.08</v>
      </c>
      <c r="AI164" s="8">
        <v>19.899999999999999</v>
      </c>
      <c r="AJ164" s="88">
        <v>47.415999999999997</v>
      </c>
      <c r="AK164" s="3" t="s">
        <v>58</v>
      </c>
      <c r="AL164" s="9">
        <f t="shared" si="2"/>
        <v>56.899199999999993</v>
      </c>
      <c r="AN164" t="s">
        <v>5519</v>
      </c>
      <c r="AO164" s="74" t="s">
        <v>5628</v>
      </c>
    </row>
    <row r="165" spans="1:41" ht="14.25" customHeight="1" x14ac:dyDescent="0.3">
      <c r="A165" s="3" t="s">
        <v>1659</v>
      </c>
      <c r="B165" s="3" t="s">
        <v>1660</v>
      </c>
      <c r="C165" s="3" t="s">
        <v>1661</v>
      </c>
      <c r="D165" s="3" t="s">
        <v>1662</v>
      </c>
      <c r="E165" s="3" t="s">
        <v>1663</v>
      </c>
      <c r="F165" s="3" t="s">
        <v>41</v>
      </c>
      <c r="G165" s="5" t="s">
        <v>42</v>
      </c>
      <c r="H165" s="5" t="s">
        <v>43</v>
      </c>
      <c r="I165" s="5" t="s">
        <v>44</v>
      </c>
      <c r="J165" s="3" t="s">
        <v>45</v>
      </c>
      <c r="K165" s="3" t="s">
        <v>85</v>
      </c>
      <c r="L165" s="3" t="s">
        <v>157</v>
      </c>
      <c r="M165" s="3" t="s">
        <v>48</v>
      </c>
      <c r="N165" s="4" t="s">
        <v>94</v>
      </c>
      <c r="O165" s="69" t="s">
        <v>3268</v>
      </c>
      <c r="P165" s="3" t="s">
        <v>50</v>
      </c>
      <c r="Q165" s="3" t="s">
        <v>51</v>
      </c>
      <c r="R165" s="3">
        <v>5</v>
      </c>
      <c r="S165" s="3" t="s">
        <v>52</v>
      </c>
      <c r="T165" s="3" t="s">
        <v>53</v>
      </c>
      <c r="U165" s="3" t="s">
        <v>54</v>
      </c>
      <c r="V165" s="7"/>
      <c r="W165" s="7"/>
      <c r="X165" s="7"/>
      <c r="Y165" s="7"/>
      <c r="Z165" s="3" t="s">
        <v>55</v>
      </c>
      <c r="AA165" s="3" t="s">
        <v>56</v>
      </c>
      <c r="AB165" s="3" t="s">
        <v>57</v>
      </c>
      <c r="AD165" s="3">
        <v>19.536999999999999</v>
      </c>
      <c r="AE165" s="3">
        <v>19.907</v>
      </c>
      <c r="AG165" s="3">
        <v>1.2</v>
      </c>
      <c r="AH165" s="3">
        <v>54</v>
      </c>
      <c r="AI165" s="8">
        <v>11.87</v>
      </c>
      <c r="AJ165" s="88">
        <v>30.75</v>
      </c>
      <c r="AK165" s="3" t="s">
        <v>58</v>
      </c>
      <c r="AL165" s="9">
        <f t="shared" si="2"/>
        <v>36.9</v>
      </c>
      <c r="AM165" s="35" t="s">
        <v>5480</v>
      </c>
      <c r="AN165" t="s">
        <v>5519</v>
      </c>
      <c r="AO165" s="74" t="s">
        <v>5631</v>
      </c>
    </row>
    <row r="166" spans="1:41" ht="14.25" customHeight="1" x14ac:dyDescent="0.3">
      <c r="A166" s="3" t="s">
        <v>1659</v>
      </c>
      <c r="B166" s="3" t="s">
        <v>1664</v>
      </c>
      <c r="C166" s="3" t="s">
        <v>1661</v>
      </c>
      <c r="D166" s="3" t="s">
        <v>1665</v>
      </c>
      <c r="E166" s="3" t="s">
        <v>1663</v>
      </c>
      <c r="F166" s="3" t="s">
        <v>41</v>
      </c>
      <c r="G166" s="5" t="s">
        <v>42</v>
      </c>
      <c r="H166" s="5" t="s">
        <v>43</v>
      </c>
      <c r="I166" s="5" t="s">
        <v>44</v>
      </c>
      <c r="J166" s="3" t="s">
        <v>45</v>
      </c>
      <c r="K166" s="3" t="s">
        <v>85</v>
      </c>
      <c r="L166" s="3" t="s">
        <v>157</v>
      </c>
      <c r="M166" s="3" t="s">
        <v>48</v>
      </c>
      <c r="N166" s="4" t="s">
        <v>97</v>
      </c>
      <c r="O166" s="69" t="s">
        <v>3268</v>
      </c>
      <c r="P166" s="3" t="s">
        <v>50</v>
      </c>
      <c r="Q166" s="3" t="s">
        <v>51</v>
      </c>
      <c r="R166" s="3">
        <v>5</v>
      </c>
      <c r="S166" s="3" t="s">
        <v>52</v>
      </c>
      <c r="T166" s="3" t="s">
        <v>53</v>
      </c>
      <c r="U166" s="3" t="s">
        <v>54</v>
      </c>
      <c r="V166" s="7"/>
      <c r="W166" s="7"/>
      <c r="X166" s="7"/>
      <c r="Y166" s="7"/>
      <c r="Z166" s="3" t="s">
        <v>55</v>
      </c>
      <c r="AA166" s="3" t="s">
        <v>56</v>
      </c>
      <c r="AB166" s="3" t="s">
        <v>57</v>
      </c>
      <c r="AD166" s="3">
        <v>19.536999999999999</v>
      </c>
      <c r="AE166" s="3">
        <v>19.907</v>
      </c>
      <c r="AG166" s="3">
        <v>1.2</v>
      </c>
      <c r="AH166" s="3">
        <v>54</v>
      </c>
      <c r="AI166" s="8">
        <v>11.87</v>
      </c>
      <c r="AJ166" s="88">
        <v>30.75</v>
      </c>
      <c r="AK166" s="3" t="s">
        <v>58</v>
      </c>
      <c r="AL166" s="9">
        <f t="shared" si="2"/>
        <v>36.9</v>
      </c>
      <c r="AM166" s="35" t="s">
        <v>5480</v>
      </c>
      <c r="AN166" t="s">
        <v>5519</v>
      </c>
      <c r="AO166" s="74" t="s">
        <v>5631</v>
      </c>
    </row>
    <row r="167" spans="1:41" ht="14.25" customHeight="1" x14ac:dyDescent="0.3">
      <c r="A167" s="3" t="s">
        <v>1659</v>
      </c>
      <c r="B167" s="3" t="s">
        <v>1666</v>
      </c>
      <c r="C167" s="3" t="s">
        <v>1661</v>
      </c>
      <c r="D167" s="3" t="s">
        <v>1667</v>
      </c>
      <c r="E167" s="3" t="s">
        <v>1663</v>
      </c>
      <c r="F167" s="3" t="s">
        <v>41</v>
      </c>
      <c r="G167" s="5" t="s">
        <v>42</v>
      </c>
      <c r="H167" s="5" t="s">
        <v>43</v>
      </c>
      <c r="I167" s="5" t="s">
        <v>44</v>
      </c>
      <c r="J167" s="3" t="s">
        <v>45</v>
      </c>
      <c r="K167" s="3" t="s">
        <v>85</v>
      </c>
      <c r="L167" s="3" t="s">
        <v>157</v>
      </c>
      <c r="M167" s="3" t="s">
        <v>48</v>
      </c>
      <c r="N167" s="4" t="s">
        <v>158</v>
      </c>
      <c r="O167" s="67" t="s">
        <v>586</v>
      </c>
      <c r="P167" s="3" t="s">
        <v>50</v>
      </c>
      <c r="Q167" s="3" t="s">
        <v>51</v>
      </c>
      <c r="R167" s="3">
        <v>5</v>
      </c>
      <c r="S167" s="3" t="s">
        <v>52</v>
      </c>
      <c r="T167" s="3" t="s">
        <v>53</v>
      </c>
      <c r="U167" s="3" t="s">
        <v>54</v>
      </c>
      <c r="V167" s="7"/>
      <c r="W167" s="7"/>
      <c r="X167" s="7"/>
      <c r="Y167" s="7"/>
      <c r="Z167" s="3" t="s">
        <v>55</v>
      </c>
      <c r="AA167" s="3" t="s">
        <v>56</v>
      </c>
      <c r="AB167" s="3" t="s">
        <v>57</v>
      </c>
      <c r="AD167" s="3">
        <v>19.536999999999999</v>
      </c>
      <c r="AE167" s="3">
        <v>19.907</v>
      </c>
      <c r="AG167" s="3">
        <v>1.2</v>
      </c>
      <c r="AH167" s="3">
        <v>54</v>
      </c>
      <c r="AI167" s="8">
        <v>11.87</v>
      </c>
      <c r="AJ167" s="88">
        <v>30.75</v>
      </c>
      <c r="AK167" s="3" t="s">
        <v>58</v>
      </c>
      <c r="AL167" s="9">
        <f t="shared" si="2"/>
        <v>36.9</v>
      </c>
      <c r="AM167" s="35" t="s">
        <v>5480</v>
      </c>
      <c r="AN167" t="s">
        <v>5519</v>
      </c>
      <c r="AO167" s="74" t="s">
        <v>5631</v>
      </c>
    </row>
    <row r="168" spans="1:41" ht="14.25" customHeight="1" x14ac:dyDescent="0.3">
      <c r="A168" s="3" t="s">
        <v>1659</v>
      </c>
      <c r="B168" s="3" t="s">
        <v>1668</v>
      </c>
      <c r="C168" s="3" t="s">
        <v>1661</v>
      </c>
      <c r="D168" s="3" t="s">
        <v>1669</v>
      </c>
      <c r="E168" s="3" t="s">
        <v>1663</v>
      </c>
      <c r="F168" s="3" t="s">
        <v>41</v>
      </c>
      <c r="G168" s="5" t="s">
        <v>42</v>
      </c>
      <c r="H168" s="5" t="s">
        <v>43</v>
      </c>
      <c r="I168" s="5" t="s">
        <v>44</v>
      </c>
      <c r="J168" s="3" t="s">
        <v>45</v>
      </c>
      <c r="K168" s="3" t="s">
        <v>85</v>
      </c>
      <c r="L168" s="3" t="s">
        <v>157</v>
      </c>
      <c r="M168" s="3" t="s">
        <v>48</v>
      </c>
      <c r="N168" s="4" t="s">
        <v>1670</v>
      </c>
      <c r="O168" s="67" t="s">
        <v>61</v>
      </c>
      <c r="P168" s="3" t="s">
        <v>50</v>
      </c>
      <c r="Q168" s="3" t="s">
        <v>51</v>
      </c>
      <c r="R168" s="3">
        <v>5</v>
      </c>
      <c r="S168" s="3" t="s">
        <v>52</v>
      </c>
      <c r="T168" s="3" t="s">
        <v>53</v>
      </c>
      <c r="U168" s="3" t="s">
        <v>54</v>
      </c>
      <c r="V168" s="7"/>
      <c r="W168" s="7"/>
      <c r="X168" s="7"/>
      <c r="Y168" s="7"/>
      <c r="Z168" s="3" t="s">
        <v>55</v>
      </c>
      <c r="AA168" s="3" t="s">
        <v>56</v>
      </c>
      <c r="AB168" s="3" t="s">
        <v>57</v>
      </c>
      <c r="AD168" s="3">
        <v>19.536999999999999</v>
      </c>
      <c r="AE168" s="3">
        <v>19.907</v>
      </c>
      <c r="AG168" s="3">
        <v>1.2</v>
      </c>
      <c r="AH168" s="3">
        <v>54</v>
      </c>
      <c r="AI168" s="8">
        <v>11.87</v>
      </c>
      <c r="AJ168" s="88">
        <v>30.75</v>
      </c>
      <c r="AK168" s="3" t="s">
        <v>58</v>
      </c>
      <c r="AL168" s="9">
        <f t="shared" si="2"/>
        <v>36.9</v>
      </c>
      <c r="AM168" s="35" t="s">
        <v>5480</v>
      </c>
      <c r="AN168" t="s">
        <v>5519</v>
      </c>
      <c r="AO168" s="74" t="s">
        <v>5631</v>
      </c>
    </row>
    <row r="169" spans="1:41" ht="14.25" customHeight="1" x14ac:dyDescent="0.3">
      <c r="A169" s="3" t="s">
        <v>1659</v>
      </c>
      <c r="B169" s="3" t="s">
        <v>1671</v>
      </c>
      <c r="C169" s="3" t="s">
        <v>1661</v>
      </c>
      <c r="D169" s="3" t="s">
        <v>1672</v>
      </c>
      <c r="E169" s="3" t="s">
        <v>1663</v>
      </c>
      <c r="F169" s="3" t="s">
        <v>41</v>
      </c>
      <c r="G169" s="5" t="s">
        <v>42</v>
      </c>
      <c r="H169" s="5" t="s">
        <v>43</v>
      </c>
      <c r="I169" s="5" t="s">
        <v>44</v>
      </c>
      <c r="J169" s="3" t="s">
        <v>45</v>
      </c>
      <c r="K169" s="3" t="s">
        <v>85</v>
      </c>
      <c r="L169" s="3" t="s">
        <v>1008</v>
      </c>
      <c r="M169" s="3" t="s">
        <v>48</v>
      </c>
      <c r="N169" s="4" t="s">
        <v>97</v>
      </c>
      <c r="O169" s="69" t="s">
        <v>3268</v>
      </c>
      <c r="P169" s="3" t="s">
        <v>50</v>
      </c>
      <c r="Q169" s="3" t="s">
        <v>51</v>
      </c>
      <c r="R169" s="3">
        <v>4</v>
      </c>
      <c r="S169" s="3" t="s">
        <v>52</v>
      </c>
      <c r="T169" s="3" t="s">
        <v>53</v>
      </c>
      <c r="U169" s="3" t="s">
        <v>54</v>
      </c>
      <c r="V169" s="7"/>
      <c r="W169" s="7"/>
      <c r="X169" s="7"/>
      <c r="Y169" s="7"/>
      <c r="Z169" s="3" t="s">
        <v>55</v>
      </c>
      <c r="AA169" s="3" t="s">
        <v>56</v>
      </c>
      <c r="AB169" s="3" t="s">
        <v>57</v>
      </c>
      <c r="AD169" s="3">
        <v>19.483000000000001</v>
      </c>
      <c r="AE169" s="3">
        <v>19.869</v>
      </c>
      <c r="AG169" s="3">
        <v>1.44</v>
      </c>
      <c r="AH169" s="3">
        <v>51.84</v>
      </c>
      <c r="AI169" s="8">
        <v>12.69</v>
      </c>
      <c r="AJ169" s="88">
        <v>33.25</v>
      </c>
      <c r="AK169" s="3" t="s">
        <v>58</v>
      </c>
      <c r="AL169" s="9">
        <f t="shared" si="2"/>
        <v>39.9</v>
      </c>
      <c r="AM169" s="35" t="s">
        <v>5480</v>
      </c>
      <c r="AN169" t="s">
        <v>5519</v>
      </c>
      <c r="AO169" s="74" t="s">
        <v>5631</v>
      </c>
    </row>
    <row r="170" spans="1:41" ht="14.25" customHeight="1" x14ac:dyDescent="0.3">
      <c r="A170" s="3" t="s">
        <v>1659</v>
      </c>
      <c r="B170" s="3" t="s">
        <v>1673</v>
      </c>
      <c r="C170" s="3" t="s">
        <v>1661</v>
      </c>
      <c r="D170" s="3" t="s">
        <v>1674</v>
      </c>
      <c r="E170" s="3" t="s">
        <v>1663</v>
      </c>
      <c r="F170" s="3" t="s">
        <v>41</v>
      </c>
      <c r="G170" s="5" t="s">
        <v>42</v>
      </c>
      <c r="H170" s="5" t="s">
        <v>43</v>
      </c>
      <c r="I170" s="5" t="s">
        <v>44</v>
      </c>
      <c r="J170" s="3" t="s">
        <v>45</v>
      </c>
      <c r="K170" s="3" t="s">
        <v>85</v>
      </c>
      <c r="L170" s="3" t="s">
        <v>1008</v>
      </c>
      <c r="M170" s="3" t="s">
        <v>48</v>
      </c>
      <c r="N170" s="4" t="s">
        <v>1670</v>
      </c>
      <c r="O170" s="67" t="s">
        <v>61</v>
      </c>
      <c r="P170" s="3" t="s">
        <v>50</v>
      </c>
      <c r="Q170" s="3" t="s">
        <v>51</v>
      </c>
      <c r="R170" s="3">
        <v>4</v>
      </c>
      <c r="S170" s="3" t="s">
        <v>52</v>
      </c>
      <c r="T170" s="3" t="s">
        <v>53</v>
      </c>
      <c r="U170" s="3" t="s">
        <v>54</v>
      </c>
      <c r="V170" s="7"/>
      <c r="W170" s="7"/>
      <c r="X170" s="7"/>
      <c r="Y170" s="7"/>
      <c r="Z170" s="3" t="s">
        <v>55</v>
      </c>
      <c r="AA170" s="3" t="s">
        <v>56</v>
      </c>
      <c r="AB170" s="3" t="s">
        <v>57</v>
      </c>
      <c r="AD170" s="3">
        <v>19.483000000000001</v>
      </c>
      <c r="AE170" s="3">
        <v>19.869</v>
      </c>
      <c r="AG170" s="3">
        <v>1.44</v>
      </c>
      <c r="AH170" s="3">
        <v>51.84</v>
      </c>
      <c r="AI170" s="8">
        <v>12.69</v>
      </c>
      <c r="AJ170" s="88">
        <v>33.25</v>
      </c>
      <c r="AK170" s="3" t="s">
        <v>58</v>
      </c>
      <c r="AL170" s="9">
        <f t="shared" si="2"/>
        <v>39.9</v>
      </c>
      <c r="AM170" s="35" t="s">
        <v>5480</v>
      </c>
      <c r="AN170" t="s">
        <v>5519</v>
      </c>
      <c r="AO170" s="74" t="s">
        <v>5631</v>
      </c>
    </row>
    <row r="171" spans="1:41" ht="14.25" customHeight="1" x14ac:dyDescent="0.3">
      <c r="A171" s="3" t="s">
        <v>1659</v>
      </c>
      <c r="B171" s="3" t="s">
        <v>1675</v>
      </c>
      <c r="C171" s="3" t="s">
        <v>1661</v>
      </c>
      <c r="D171" s="3" t="s">
        <v>1676</v>
      </c>
      <c r="E171" s="3" t="s">
        <v>1663</v>
      </c>
      <c r="F171" s="3" t="s">
        <v>41</v>
      </c>
      <c r="G171" s="5" t="s">
        <v>42</v>
      </c>
      <c r="H171" s="5" t="s">
        <v>43</v>
      </c>
      <c r="I171" s="5" t="s">
        <v>44</v>
      </c>
      <c r="J171" s="3" t="s">
        <v>45</v>
      </c>
      <c r="K171" s="3" t="s">
        <v>85</v>
      </c>
      <c r="L171" s="3" t="s">
        <v>1008</v>
      </c>
      <c r="M171" s="3" t="s">
        <v>48</v>
      </c>
      <c r="N171" s="4" t="s">
        <v>94</v>
      </c>
      <c r="O171" s="69" t="s">
        <v>3268</v>
      </c>
      <c r="P171" s="3" t="s">
        <v>50</v>
      </c>
      <c r="Q171" s="3" t="s">
        <v>51</v>
      </c>
      <c r="R171" s="3">
        <v>4</v>
      </c>
      <c r="S171" s="3" t="s">
        <v>52</v>
      </c>
      <c r="T171" s="3" t="s">
        <v>53</v>
      </c>
      <c r="U171" s="3" t="s">
        <v>54</v>
      </c>
      <c r="V171" s="7"/>
      <c r="W171" s="7"/>
      <c r="X171" s="7"/>
      <c r="Y171" s="7"/>
      <c r="Z171" s="3" t="s">
        <v>55</v>
      </c>
      <c r="AA171" s="3" t="s">
        <v>56</v>
      </c>
      <c r="AB171" s="3" t="s">
        <v>57</v>
      </c>
      <c r="AD171" s="3">
        <v>19.483000000000001</v>
      </c>
      <c r="AE171" s="3">
        <v>19.869</v>
      </c>
      <c r="AG171" s="3">
        <v>1.44</v>
      </c>
      <c r="AH171" s="3">
        <v>51.84</v>
      </c>
      <c r="AI171" s="8">
        <v>12.69</v>
      </c>
      <c r="AJ171" s="88">
        <v>33.25</v>
      </c>
      <c r="AK171" s="3" t="s">
        <v>58</v>
      </c>
      <c r="AL171" s="9">
        <f t="shared" si="2"/>
        <v>39.9</v>
      </c>
      <c r="AM171" s="35" t="s">
        <v>5480</v>
      </c>
      <c r="AN171" t="s">
        <v>5519</v>
      </c>
      <c r="AO171" s="74" t="s">
        <v>5631</v>
      </c>
    </row>
    <row r="172" spans="1:41" ht="14.25" customHeight="1" x14ac:dyDescent="0.3">
      <c r="A172" s="3" t="s">
        <v>1659</v>
      </c>
      <c r="B172" s="3" t="s">
        <v>1677</v>
      </c>
      <c r="C172" s="3" t="s">
        <v>1661</v>
      </c>
      <c r="D172" s="3" t="s">
        <v>1678</v>
      </c>
      <c r="E172" s="3" t="s">
        <v>1663</v>
      </c>
      <c r="F172" s="3" t="s">
        <v>41</v>
      </c>
      <c r="G172" s="5" t="s">
        <v>42</v>
      </c>
      <c r="H172" s="5" t="s">
        <v>43</v>
      </c>
      <c r="I172" s="5" t="s">
        <v>44</v>
      </c>
      <c r="J172" s="3" t="s">
        <v>45</v>
      </c>
      <c r="K172" s="3" t="s">
        <v>85</v>
      </c>
      <c r="L172" s="3" t="s">
        <v>1008</v>
      </c>
      <c r="M172" s="3" t="s">
        <v>48</v>
      </c>
      <c r="N172" s="4" t="s">
        <v>158</v>
      </c>
      <c r="O172" s="67" t="s">
        <v>586</v>
      </c>
      <c r="P172" s="3" t="s">
        <v>50</v>
      </c>
      <c r="Q172" s="3" t="s">
        <v>51</v>
      </c>
      <c r="R172" s="3">
        <v>4</v>
      </c>
      <c r="S172" s="3" t="s">
        <v>52</v>
      </c>
      <c r="T172" s="3" t="s">
        <v>53</v>
      </c>
      <c r="U172" s="3" t="s">
        <v>54</v>
      </c>
      <c r="V172" s="7"/>
      <c r="W172" s="7"/>
      <c r="X172" s="7"/>
      <c r="Y172" s="7"/>
      <c r="Z172" s="3" t="s">
        <v>55</v>
      </c>
      <c r="AA172" s="3" t="s">
        <v>56</v>
      </c>
      <c r="AB172" s="3" t="s">
        <v>57</v>
      </c>
      <c r="AD172" s="3">
        <v>19.483000000000001</v>
      </c>
      <c r="AE172" s="3">
        <v>19.869</v>
      </c>
      <c r="AG172" s="3">
        <v>1.44</v>
      </c>
      <c r="AH172" s="3">
        <v>51.84</v>
      </c>
      <c r="AI172" s="8">
        <v>12.69</v>
      </c>
      <c r="AJ172" s="88">
        <v>33.25</v>
      </c>
      <c r="AK172" s="3" t="s">
        <v>58</v>
      </c>
      <c r="AL172" s="9">
        <f t="shared" si="2"/>
        <v>39.9</v>
      </c>
      <c r="AM172" s="35" t="s">
        <v>5480</v>
      </c>
      <c r="AN172" t="s">
        <v>5519</v>
      </c>
      <c r="AO172" s="74" t="s">
        <v>5631</v>
      </c>
    </row>
    <row r="173" spans="1:41" ht="14.25" customHeight="1" x14ac:dyDescent="0.3">
      <c r="A173" s="3" t="s">
        <v>1003</v>
      </c>
      <c r="B173" s="3" t="s">
        <v>1004</v>
      </c>
      <c r="C173" s="3" t="s">
        <v>1005</v>
      </c>
      <c r="D173" s="4" t="s">
        <v>1006</v>
      </c>
      <c r="E173" s="3" t="s">
        <v>1007</v>
      </c>
      <c r="F173" s="3" t="s">
        <v>41</v>
      </c>
      <c r="G173" s="5" t="s">
        <v>42</v>
      </c>
      <c r="H173" s="5" t="s">
        <v>43</v>
      </c>
      <c r="I173" s="5" t="s">
        <v>44</v>
      </c>
      <c r="J173" s="3" t="s">
        <v>45</v>
      </c>
      <c r="K173" s="3" t="s">
        <v>85</v>
      </c>
      <c r="L173" s="3" t="s">
        <v>1008</v>
      </c>
      <c r="M173" s="3" t="s">
        <v>48</v>
      </c>
      <c r="N173" s="4" t="s">
        <v>158</v>
      </c>
      <c r="O173" s="67" t="s">
        <v>586</v>
      </c>
      <c r="P173" s="3" t="s">
        <v>50</v>
      </c>
      <c r="Q173" s="3" t="s">
        <v>51</v>
      </c>
      <c r="R173" s="3">
        <v>4</v>
      </c>
      <c r="S173" s="3" t="s">
        <v>52</v>
      </c>
      <c r="T173" s="3" t="s">
        <v>53</v>
      </c>
      <c r="U173" s="3" t="s">
        <v>54</v>
      </c>
      <c r="V173" s="7"/>
      <c r="W173" s="7"/>
      <c r="X173" s="7"/>
      <c r="Y173" s="7"/>
      <c r="Z173" s="3" t="s">
        <v>55</v>
      </c>
      <c r="AA173" s="3" t="s">
        <v>56</v>
      </c>
      <c r="AB173" s="3" t="s">
        <v>57</v>
      </c>
      <c r="AD173" s="3">
        <v>19.483000000000001</v>
      </c>
      <c r="AE173" s="3">
        <v>19.869</v>
      </c>
      <c r="AG173" s="3">
        <v>1.44</v>
      </c>
      <c r="AH173" s="11">
        <v>51.84</v>
      </c>
      <c r="AI173" s="8">
        <v>12.69</v>
      </c>
      <c r="AJ173" s="88">
        <v>33.25</v>
      </c>
      <c r="AK173" s="3" t="s">
        <v>58</v>
      </c>
      <c r="AL173" s="9">
        <f t="shared" si="2"/>
        <v>39.9</v>
      </c>
      <c r="AN173" t="s">
        <v>5519</v>
      </c>
      <c r="AO173" s="74" t="s">
        <v>5635</v>
      </c>
    </row>
    <row r="174" spans="1:41" ht="14.25" customHeight="1" x14ac:dyDescent="0.3">
      <c r="A174" s="3" t="s">
        <v>1003</v>
      </c>
      <c r="B174" s="3" t="s">
        <v>1009</v>
      </c>
      <c r="C174" s="3" t="s">
        <v>1005</v>
      </c>
      <c r="D174" s="4" t="s">
        <v>1010</v>
      </c>
      <c r="E174" s="3" t="s">
        <v>1007</v>
      </c>
      <c r="F174" s="3" t="s">
        <v>41</v>
      </c>
      <c r="G174" s="5" t="s">
        <v>42</v>
      </c>
      <c r="H174" s="5" t="s">
        <v>43</v>
      </c>
      <c r="I174" s="5" t="s">
        <v>44</v>
      </c>
      <c r="J174" s="3" t="s">
        <v>45</v>
      </c>
      <c r="K174" s="3" t="s">
        <v>85</v>
      </c>
      <c r="L174" s="3" t="s">
        <v>1008</v>
      </c>
      <c r="M174" s="3" t="s">
        <v>48</v>
      </c>
      <c r="N174" s="4" t="s">
        <v>94</v>
      </c>
      <c r="O174" s="69" t="s">
        <v>3268</v>
      </c>
      <c r="P174" s="3" t="s">
        <v>50</v>
      </c>
      <c r="Q174" s="3" t="s">
        <v>51</v>
      </c>
      <c r="R174" s="3">
        <v>4</v>
      </c>
      <c r="S174" s="3" t="s">
        <v>52</v>
      </c>
      <c r="T174" s="3" t="s">
        <v>53</v>
      </c>
      <c r="U174" s="3" t="s">
        <v>54</v>
      </c>
      <c r="V174" s="7"/>
      <c r="W174" s="7"/>
      <c r="X174" s="7"/>
      <c r="Y174" s="7"/>
      <c r="Z174" s="3" t="s">
        <v>55</v>
      </c>
      <c r="AA174" s="3" t="s">
        <v>56</v>
      </c>
      <c r="AB174" s="3" t="s">
        <v>57</v>
      </c>
      <c r="AD174" s="3">
        <v>19.483000000000001</v>
      </c>
      <c r="AE174" s="3">
        <v>19.869</v>
      </c>
      <c r="AG174" s="3">
        <v>1.44</v>
      </c>
      <c r="AH174" s="11">
        <v>51.84</v>
      </c>
      <c r="AI174" s="8">
        <v>12.69</v>
      </c>
      <c r="AJ174" s="88">
        <v>33.25</v>
      </c>
      <c r="AK174" s="3" t="s">
        <v>58</v>
      </c>
      <c r="AL174" s="9">
        <f t="shared" si="2"/>
        <v>39.9</v>
      </c>
      <c r="AN174" t="s">
        <v>5519</v>
      </c>
      <c r="AO174" s="74" t="s">
        <v>5635</v>
      </c>
    </row>
    <row r="175" spans="1:41" ht="14.25" customHeight="1" x14ac:dyDescent="0.3">
      <c r="A175" s="3" t="s">
        <v>1003</v>
      </c>
      <c r="B175" s="3" t="s">
        <v>1011</v>
      </c>
      <c r="C175" s="3" t="s">
        <v>1005</v>
      </c>
      <c r="D175" s="4" t="s">
        <v>1012</v>
      </c>
      <c r="E175" s="3" t="s">
        <v>1007</v>
      </c>
      <c r="F175" s="3" t="s">
        <v>41</v>
      </c>
      <c r="G175" s="5" t="s">
        <v>42</v>
      </c>
      <c r="H175" s="5" t="s">
        <v>43</v>
      </c>
      <c r="I175" s="5" t="s">
        <v>44</v>
      </c>
      <c r="J175" s="3" t="s">
        <v>45</v>
      </c>
      <c r="K175" s="3" t="s">
        <v>85</v>
      </c>
      <c r="L175" s="3" t="s">
        <v>1008</v>
      </c>
      <c r="M175" s="3" t="s">
        <v>48</v>
      </c>
      <c r="N175" s="4" t="s">
        <v>49</v>
      </c>
      <c r="O175" s="67" t="s">
        <v>49</v>
      </c>
      <c r="P175" s="3" t="s">
        <v>50</v>
      </c>
      <c r="Q175" s="3" t="s">
        <v>51</v>
      </c>
      <c r="R175" s="3">
        <v>4</v>
      </c>
      <c r="S175" s="3" t="s">
        <v>52</v>
      </c>
      <c r="T175" s="3" t="s">
        <v>53</v>
      </c>
      <c r="U175" s="3" t="s">
        <v>54</v>
      </c>
      <c r="V175" s="7"/>
      <c r="W175" s="7"/>
      <c r="X175" s="7"/>
      <c r="Y175" s="7"/>
      <c r="Z175" s="3" t="s">
        <v>55</v>
      </c>
      <c r="AA175" s="3" t="s">
        <v>56</v>
      </c>
      <c r="AB175" s="3" t="s">
        <v>57</v>
      </c>
      <c r="AD175" s="3">
        <v>19.483000000000001</v>
      </c>
      <c r="AE175" s="3">
        <v>19.869</v>
      </c>
      <c r="AG175" s="3">
        <v>1.44</v>
      </c>
      <c r="AH175" s="11">
        <v>51.84</v>
      </c>
      <c r="AI175" s="8">
        <v>12.69</v>
      </c>
      <c r="AJ175" s="88">
        <v>33.25</v>
      </c>
      <c r="AK175" s="3" t="s">
        <v>58</v>
      </c>
      <c r="AL175" s="9">
        <f t="shared" si="2"/>
        <v>39.9</v>
      </c>
      <c r="AN175" t="s">
        <v>5519</v>
      </c>
      <c r="AO175" s="74" t="s">
        <v>5635</v>
      </c>
    </row>
    <row r="176" spans="1:41" ht="14.25" customHeight="1" x14ac:dyDescent="0.3">
      <c r="A176" s="3" t="s">
        <v>1003</v>
      </c>
      <c r="B176" s="3" t="s">
        <v>1013</v>
      </c>
      <c r="C176" s="3" t="s">
        <v>1005</v>
      </c>
      <c r="D176" s="4" t="s">
        <v>1014</v>
      </c>
      <c r="E176" s="3" t="s">
        <v>1007</v>
      </c>
      <c r="F176" s="3" t="s">
        <v>41</v>
      </c>
      <c r="G176" s="5" t="s">
        <v>42</v>
      </c>
      <c r="H176" s="5" t="s">
        <v>43</v>
      </c>
      <c r="I176" s="5" t="s">
        <v>44</v>
      </c>
      <c r="J176" s="3" t="s">
        <v>45</v>
      </c>
      <c r="K176" s="3" t="s">
        <v>85</v>
      </c>
      <c r="L176" s="3" t="s">
        <v>1008</v>
      </c>
      <c r="M176" s="3" t="s">
        <v>48</v>
      </c>
      <c r="N176" s="4" t="s">
        <v>1015</v>
      </c>
      <c r="O176" s="67" t="s">
        <v>586</v>
      </c>
      <c r="P176" s="3" t="s">
        <v>50</v>
      </c>
      <c r="Q176" s="3" t="s">
        <v>51</v>
      </c>
      <c r="R176" s="3">
        <v>4</v>
      </c>
      <c r="S176" s="3" t="s">
        <v>52</v>
      </c>
      <c r="T176" s="3" t="s">
        <v>53</v>
      </c>
      <c r="U176" s="3" t="s">
        <v>54</v>
      </c>
      <c r="V176" s="7"/>
      <c r="W176" s="7"/>
      <c r="X176" s="7"/>
      <c r="Y176" s="7"/>
      <c r="Z176" s="3" t="s">
        <v>55</v>
      </c>
      <c r="AA176" s="3" t="s">
        <v>56</v>
      </c>
      <c r="AB176" s="3" t="s">
        <v>57</v>
      </c>
      <c r="AD176" s="3">
        <v>19.483000000000001</v>
      </c>
      <c r="AE176" s="3">
        <v>19.869</v>
      </c>
      <c r="AG176" s="3">
        <v>1.44</v>
      </c>
      <c r="AH176" s="11">
        <v>51.84</v>
      </c>
      <c r="AI176" s="8">
        <v>12.69</v>
      </c>
      <c r="AJ176" s="88">
        <v>33.25</v>
      </c>
      <c r="AK176" s="3" t="s">
        <v>58</v>
      </c>
      <c r="AL176" s="9">
        <f t="shared" si="2"/>
        <v>39.9</v>
      </c>
      <c r="AN176" t="s">
        <v>5519</v>
      </c>
      <c r="AO176" s="74" t="s">
        <v>5635</v>
      </c>
    </row>
    <row r="177" spans="1:41" ht="14.25" customHeight="1" x14ac:dyDescent="0.3">
      <c r="A177" s="3" t="s">
        <v>1003</v>
      </c>
      <c r="B177" s="3" t="s">
        <v>1016</v>
      </c>
      <c r="C177" s="3" t="s">
        <v>1005</v>
      </c>
      <c r="D177" s="4" t="s">
        <v>1017</v>
      </c>
      <c r="E177" s="3" t="s">
        <v>1007</v>
      </c>
      <c r="F177" s="3" t="s">
        <v>41</v>
      </c>
      <c r="G177" s="5" t="s">
        <v>42</v>
      </c>
      <c r="H177" s="5" t="s">
        <v>43</v>
      </c>
      <c r="I177" s="5" t="s">
        <v>44</v>
      </c>
      <c r="J177" s="3" t="s">
        <v>45</v>
      </c>
      <c r="K177" s="3" t="s">
        <v>85</v>
      </c>
      <c r="L177" s="3" t="s">
        <v>1008</v>
      </c>
      <c r="M177" s="3" t="s">
        <v>48</v>
      </c>
      <c r="N177" s="4" t="s">
        <v>1018</v>
      </c>
      <c r="O177" s="69" t="s">
        <v>3268</v>
      </c>
      <c r="P177" s="3" t="s">
        <v>50</v>
      </c>
      <c r="Q177" s="3" t="s">
        <v>51</v>
      </c>
      <c r="R177" s="3">
        <v>4</v>
      </c>
      <c r="S177" s="3" t="s">
        <v>52</v>
      </c>
      <c r="T177" s="3" t="s">
        <v>53</v>
      </c>
      <c r="U177" s="3" t="s">
        <v>54</v>
      </c>
      <c r="V177" s="7"/>
      <c r="W177" s="7"/>
      <c r="X177" s="7"/>
      <c r="Y177" s="7"/>
      <c r="Z177" s="3" t="s">
        <v>55</v>
      </c>
      <c r="AA177" s="3" t="s">
        <v>56</v>
      </c>
      <c r="AB177" s="3" t="s">
        <v>57</v>
      </c>
      <c r="AD177" s="3">
        <v>19.483000000000001</v>
      </c>
      <c r="AE177" s="3">
        <v>19.869</v>
      </c>
      <c r="AG177" s="3">
        <v>1.44</v>
      </c>
      <c r="AH177" s="11">
        <v>51.84</v>
      </c>
      <c r="AI177" s="8">
        <v>12.69</v>
      </c>
      <c r="AJ177" s="88">
        <v>33.25</v>
      </c>
      <c r="AK177" s="3" t="s">
        <v>58</v>
      </c>
      <c r="AL177" s="9">
        <f t="shared" si="2"/>
        <v>39.9</v>
      </c>
      <c r="AN177" t="s">
        <v>5519</v>
      </c>
      <c r="AO177" s="74" t="s">
        <v>5635</v>
      </c>
    </row>
    <row r="178" spans="1:41" ht="14.25" customHeight="1" x14ac:dyDescent="0.3">
      <c r="A178" s="3" t="s">
        <v>381</v>
      </c>
      <c r="B178" s="3" t="s">
        <v>382</v>
      </c>
      <c r="C178" s="3" t="s">
        <v>383</v>
      </c>
      <c r="D178" s="4" t="s">
        <v>384</v>
      </c>
      <c r="E178" s="3" t="s">
        <v>385</v>
      </c>
      <c r="F178" s="3" t="s">
        <v>41</v>
      </c>
      <c r="G178" s="5" t="s">
        <v>42</v>
      </c>
      <c r="H178" s="5" t="s">
        <v>43</v>
      </c>
      <c r="I178" s="5" t="s">
        <v>44</v>
      </c>
      <c r="J178" s="3" t="s">
        <v>45</v>
      </c>
      <c r="K178" s="3" t="s">
        <v>85</v>
      </c>
      <c r="L178" s="3" t="s">
        <v>386</v>
      </c>
      <c r="M178" s="3" t="s">
        <v>262</v>
      </c>
      <c r="N178" s="4" t="s">
        <v>387</v>
      </c>
      <c r="O178" s="69" t="s">
        <v>3268</v>
      </c>
      <c r="P178" s="3" t="s">
        <v>388</v>
      </c>
      <c r="Q178" s="3" t="s">
        <v>51</v>
      </c>
      <c r="R178" s="6">
        <v>3</v>
      </c>
      <c r="S178" s="3" t="s">
        <v>52</v>
      </c>
      <c r="T178" s="3" t="s">
        <v>53</v>
      </c>
      <c r="U178" s="3" t="s">
        <v>54</v>
      </c>
      <c r="V178" s="7"/>
      <c r="W178" s="7"/>
      <c r="X178" s="7"/>
      <c r="Y178" s="7"/>
      <c r="Z178" s="3" t="s">
        <v>265</v>
      </c>
      <c r="AA178" s="3" t="s">
        <v>56</v>
      </c>
      <c r="AB178" s="3" t="s">
        <v>57</v>
      </c>
      <c r="AD178" s="8">
        <v>18.818999999999999</v>
      </c>
      <c r="AE178" s="8">
        <v>19.513999999999999</v>
      </c>
      <c r="AG178" s="3">
        <v>1.44</v>
      </c>
      <c r="AH178" s="11">
        <v>28.8</v>
      </c>
      <c r="AI178" s="8">
        <v>14.77</v>
      </c>
      <c r="AJ178" s="88">
        <v>35.75</v>
      </c>
      <c r="AK178" s="3" t="s">
        <v>58</v>
      </c>
      <c r="AL178" s="9">
        <f t="shared" si="2"/>
        <v>42.9</v>
      </c>
      <c r="AM178" s="35" t="s">
        <v>5480</v>
      </c>
      <c r="AN178" t="s">
        <v>5518</v>
      </c>
      <c r="AO178" s="74" t="s">
        <v>5636</v>
      </c>
    </row>
    <row r="179" spans="1:41" ht="14.25" customHeight="1" x14ac:dyDescent="0.3">
      <c r="A179" s="3" t="s">
        <v>381</v>
      </c>
      <c r="B179" s="3" t="s">
        <v>389</v>
      </c>
      <c r="C179" s="3" t="s">
        <v>383</v>
      </c>
      <c r="D179" s="4" t="s">
        <v>390</v>
      </c>
      <c r="E179" s="3" t="s">
        <v>385</v>
      </c>
      <c r="F179" s="3" t="s">
        <v>41</v>
      </c>
      <c r="G179" s="5" t="s">
        <v>42</v>
      </c>
      <c r="H179" s="5" t="s">
        <v>43</v>
      </c>
      <c r="I179" s="5" t="s">
        <v>44</v>
      </c>
      <c r="J179" s="3" t="s">
        <v>45</v>
      </c>
      <c r="K179" s="3" t="s">
        <v>85</v>
      </c>
      <c r="L179" s="3" t="s">
        <v>386</v>
      </c>
      <c r="M179" s="3" t="s">
        <v>262</v>
      </c>
      <c r="N179" s="4" t="s">
        <v>391</v>
      </c>
      <c r="O179" s="69" t="s">
        <v>3268</v>
      </c>
      <c r="P179" s="3" t="s">
        <v>388</v>
      </c>
      <c r="Q179" s="3" t="s">
        <v>51</v>
      </c>
      <c r="R179" s="6">
        <v>3</v>
      </c>
      <c r="S179" s="3" t="s">
        <v>52</v>
      </c>
      <c r="T179" s="3" t="s">
        <v>53</v>
      </c>
      <c r="U179" s="3" t="s">
        <v>54</v>
      </c>
      <c r="V179" s="7"/>
      <c r="W179" s="7"/>
      <c r="X179" s="7"/>
      <c r="Y179" s="7"/>
      <c r="Z179" s="3" t="s">
        <v>265</v>
      </c>
      <c r="AA179" s="3" t="s">
        <v>56</v>
      </c>
      <c r="AB179" s="3" t="s">
        <v>57</v>
      </c>
      <c r="AD179" s="8">
        <v>18.818999999999999</v>
      </c>
      <c r="AE179" s="8">
        <v>19.513999999999999</v>
      </c>
      <c r="AG179" s="3">
        <v>1.44</v>
      </c>
      <c r="AH179" s="11">
        <v>28.8</v>
      </c>
      <c r="AI179" s="8">
        <v>14.77</v>
      </c>
      <c r="AJ179" s="88">
        <v>35.75</v>
      </c>
      <c r="AK179" s="3" t="s">
        <v>58</v>
      </c>
      <c r="AL179" s="9">
        <f t="shared" si="2"/>
        <v>42.9</v>
      </c>
      <c r="AM179" s="35" t="s">
        <v>5480</v>
      </c>
      <c r="AN179" t="s">
        <v>5518</v>
      </c>
      <c r="AO179" s="74" t="s">
        <v>5636</v>
      </c>
    </row>
    <row r="180" spans="1:41" ht="14.25" customHeight="1" x14ac:dyDescent="0.3">
      <c r="A180" s="3" t="s">
        <v>381</v>
      </c>
      <c r="B180" s="3" t="s">
        <v>392</v>
      </c>
      <c r="C180" s="3" t="s">
        <v>383</v>
      </c>
      <c r="D180" s="4" t="s">
        <v>393</v>
      </c>
      <c r="E180" s="3" t="s">
        <v>385</v>
      </c>
      <c r="F180" s="3" t="s">
        <v>41</v>
      </c>
      <c r="G180" s="5" t="s">
        <v>42</v>
      </c>
      <c r="H180" s="5" t="s">
        <v>43</v>
      </c>
      <c r="I180" s="5" t="s">
        <v>44</v>
      </c>
      <c r="J180" s="3" t="s">
        <v>45</v>
      </c>
      <c r="K180" s="3" t="s">
        <v>85</v>
      </c>
      <c r="L180" s="3" t="s">
        <v>386</v>
      </c>
      <c r="M180" s="3" t="s">
        <v>262</v>
      </c>
      <c r="N180" s="4" t="s">
        <v>394</v>
      </c>
      <c r="O180" s="67" t="s">
        <v>586</v>
      </c>
      <c r="P180" s="3" t="s">
        <v>388</v>
      </c>
      <c r="Q180" s="3" t="s">
        <v>51</v>
      </c>
      <c r="R180" s="6">
        <v>3</v>
      </c>
      <c r="S180" s="3" t="s">
        <v>52</v>
      </c>
      <c r="T180" s="3" t="s">
        <v>53</v>
      </c>
      <c r="U180" s="3" t="s">
        <v>54</v>
      </c>
      <c r="V180" s="7"/>
      <c r="W180" s="7"/>
      <c r="X180" s="7"/>
      <c r="Y180" s="7"/>
      <c r="Z180" s="3" t="s">
        <v>265</v>
      </c>
      <c r="AA180" s="3" t="s">
        <v>56</v>
      </c>
      <c r="AB180" s="3" t="s">
        <v>57</v>
      </c>
      <c r="AD180" s="8">
        <v>18.818999999999999</v>
      </c>
      <c r="AE180" s="8">
        <v>19.513999999999999</v>
      </c>
      <c r="AG180" s="3">
        <v>1.44</v>
      </c>
      <c r="AH180" s="11">
        <v>28.8</v>
      </c>
      <c r="AI180" s="8">
        <v>14.77</v>
      </c>
      <c r="AJ180" s="88">
        <v>35.75</v>
      </c>
      <c r="AK180" s="3" t="s">
        <v>58</v>
      </c>
      <c r="AL180" s="9">
        <f t="shared" si="2"/>
        <v>42.9</v>
      </c>
      <c r="AM180" s="35" t="s">
        <v>5480</v>
      </c>
      <c r="AN180" t="s">
        <v>5518</v>
      </c>
      <c r="AO180" s="74" t="s">
        <v>5636</v>
      </c>
    </row>
    <row r="181" spans="1:41" ht="14.25" customHeight="1" x14ac:dyDescent="0.3">
      <c r="A181" s="3" t="s">
        <v>381</v>
      </c>
      <c r="B181" s="3" t="s">
        <v>395</v>
      </c>
      <c r="C181" s="3" t="s">
        <v>383</v>
      </c>
      <c r="D181" s="4" t="s">
        <v>396</v>
      </c>
      <c r="E181" s="3" t="s">
        <v>385</v>
      </c>
      <c r="F181" s="3" t="s">
        <v>41</v>
      </c>
      <c r="G181" s="5" t="s">
        <v>42</v>
      </c>
      <c r="H181" s="5" t="s">
        <v>43</v>
      </c>
      <c r="I181" s="5" t="s">
        <v>44</v>
      </c>
      <c r="J181" s="3" t="s">
        <v>45</v>
      </c>
      <c r="K181" s="3" t="s">
        <v>85</v>
      </c>
      <c r="L181" s="3" t="s">
        <v>386</v>
      </c>
      <c r="M181" s="3" t="s">
        <v>262</v>
      </c>
      <c r="N181" s="4" t="s">
        <v>61</v>
      </c>
      <c r="O181" s="67" t="s">
        <v>61</v>
      </c>
      <c r="P181" s="3" t="s">
        <v>388</v>
      </c>
      <c r="Q181" s="3" t="s">
        <v>51</v>
      </c>
      <c r="R181" s="6">
        <v>3</v>
      </c>
      <c r="S181" s="3" t="s">
        <v>52</v>
      </c>
      <c r="T181" s="3" t="s">
        <v>53</v>
      </c>
      <c r="U181" s="3" t="s">
        <v>54</v>
      </c>
      <c r="V181" s="7"/>
      <c r="W181" s="7"/>
      <c r="X181" s="7"/>
      <c r="Y181" s="7"/>
      <c r="Z181" s="3" t="s">
        <v>265</v>
      </c>
      <c r="AA181" s="3" t="s">
        <v>56</v>
      </c>
      <c r="AB181" s="3" t="s">
        <v>57</v>
      </c>
      <c r="AD181" s="8">
        <v>18.818999999999999</v>
      </c>
      <c r="AE181" s="8">
        <v>19.513999999999999</v>
      </c>
      <c r="AG181" s="3">
        <v>1.44</v>
      </c>
      <c r="AH181" s="11">
        <v>28.8</v>
      </c>
      <c r="AI181" s="8">
        <v>14.77</v>
      </c>
      <c r="AJ181" s="88">
        <v>35.75</v>
      </c>
      <c r="AK181" s="3" t="s">
        <v>58</v>
      </c>
      <c r="AL181" s="9">
        <f t="shared" si="2"/>
        <v>42.9</v>
      </c>
      <c r="AM181" s="35" t="s">
        <v>5480</v>
      </c>
      <c r="AN181" t="s">
        <v>5518</v>
      </c>
      <c r="AO181" s="74" t="s">
        <v>5636</v>
      </c>
    </row>
    <row r="182" spans="1:41" ht="14.25" customHeight="1" x14ac:dyDescent="0.3">
      <c r="A182" s="3" t="s">
        <v>763</v>
      </c>
      <c r="B182" s="3" t="s">
        <v>764</v>
      </c>
      <c r="C182" s="3" t="s">
        <v>765</v>
      </c>
      <c r="D182" s="3" t="s">
        <v>766</v>
      </c>
      <c r="E182" s="3" t="s">
        <v>767</v>
      </c>
      <c r="F182" s="3" t="s">
        <v>41</v>
      </c>
      <c r="G182" s="5" t="s">
        <v>42</v>
      </c>
      <c r="H182" s="5" t="s">
        <v>43</v>
      </c>
      <c r="I182" s="5" t="s">
        <v>44</v>
      </c>
      <c r="J182" s="3" t="s">
        <v>45</v>
      </c>
      <c r="K182" s="3" t="s">
        <v>85</v>
      </c>
      <c r="L182" s="3" t="s">
        <v>157</v>
      </c>
      <c r="M182" s="3" t="s">
        <v>48</v>
      </c>
      <c r="N182" s="3" t="s">
        <v>768</v>
      </c>
      <c r="O182" s="69" t="s">
        <v>586</v>
      </c>
      <c r="P182" s="3" t="s">
        <v>50</v>
      </c>
      <c r="Q182" s="3" t="s">
        <v>51</v>
      </c>
      <c r="R182" s="30">
        <v>6</v>
      </c>
      <c r="S182" s="3" t="s">
        <v>52</v>
      </c>
      <c r="T182" s="3" t="s">
        <v>53</v>
      </c>
      <c r="U182" s="3" t="s">
        <v>54</v>
      </c>
      <c r="V182" s="7"/>
      <c r="W182" s="7"/>
      <c r="X182" s="7"/>
      <c r="Y182" s="7"/>
      <c r="Z182" s="3" t="s">
        <v>55</v>
      </c>
      <c r="AA182" s="3" t="s">
        <v>88</v>
      </c>
      <c r="AB182" s="3" t="s">
        <v>57</v>
      </c>
      <c r="AD182" s="3">
        <v>4.84</v>
      </c>
      <c r="AE182" s="3">
        <v>4.84</v>
      </c>
      <c r="AG182" s="3">
        <v>1.44</v>
      </c>
      <c r="AH182" s="3">
        <v>46.08</v>
      </c>
      <c r="AI182" s="8">
        <v>19.899999999999999</v>
      </c>
      <c r="AJ182" s="88">
        <v>47.415999999999997</v>
      </c>
      <c r="AK182" s="3" t="s">
        <v>58</v>
      </c>
      <c r="AL182" s="9">
        <f t="shared" si="2"/>
        <v>56.899199999999993</v>
      </c>
      <c r="AN182" t="s">
        <v>5519</v>
      </c>
      <c r="AO182" s="74" t="s">
        <v>5636</v>
      </c>
    </row>
    <row r="183" spans="1:41" ht="14.25" customHeight="1" x14ac:dyDescent="0.3">
      <c r="A183" s="3" t="s">
        <v>763</v>
      </c>
      <c r="B183" s="3" t="s">
        <v>769</v>
      </c>
      <c r="C183" s="3" t="s">
        <v>765</v>
      </c>
      <c r="D183" s="3" t="s">
        <v>770</v>
      </c>
      <c r="E183" s="3" t="s">
        <v>767</v>
      </c>
      <c r="F183" s="3" t="s">
        <v>41</v>
      </c>
      <c r="G183" s="5" t="s">
        <v>42</v>
      </c>
      <c r="H183" s="5" t="s">
        <v>43</v>
      </c>
      <c r="I183" s="5" t="s">
        <v>44</v>
      </c>
      <c r="J183" s="3" t="s">
        <v>45</v>
      </c>
      <c r="K183" s="3" t="s">
        <v>85</v>
      </c>
      <c r="L183" s="3" t="s">
        <v>157</v>
      </c>
      <c r="M183" s="3" t="s">
        <v>48</v>
      </c>
      <c r="N183" s="3" t="s">
        <v>771</v>
      </c>
      <c r="O183" s="69" t="s">
        <v>586</v>
      </c>
      <c r="P183" s="3" t="s">
        <v>50</v>
      </c>
      <c r="Q183" s="3" t="s">
        <v>51</v>
      </c>
      <c r="R183" s="30">
        <v>6</v>
      </c>
      <c r="S183" s="3" t="s">
        <v>52</v>
      </c>
      <c r="T183" s="3" t="s">
        <v>53</v>
      </c>
      <c r="U183" s="3" t="s">
        <v>54</v>
      </c>
      <c r="V183" s="7"/>
      <c r="W183" s="7"/>
      <c r="X183" s="7"/>
      <c r="Y183" s="7"/>
      <c r="Z183" s="3" t="s">
        <v>55</v>
      </c>
      <c r="AA183" s="3" t="s">
        <v>88</v>
      </c>
      <c r="AB183" s="3" t="s">
        <v>57</v>
      </c>
      <c r="AD183" s="3">
        <v>4.84</v>
      </c>
      <c r="AE183" s="3">
        <v>4.84</v>
      </c>
      <c r="AG183" s="3">
        <v>1.44</v>
      </c>
      <c r="AH183" s="3">
        <v>46.08</v>
      </c>
      <c r="AI183" s="8">
        <v>19.899999999999999</v>
      </c>
      <c r="AJ183" s="88">
        <v>47.415999999999997</v>
      </c>
      <c r="AK183" s="3" t="s">
        <v>58</v>
      </c>
      <c r="AL183" s="9">
        <f t="shared" si="2"/>
        <v>56.899199999999993</v>
      </c>
      <c r="AN183" t="s">
        <v>5519</v>
      </c>
      <c r="AO183" s="74" t="s">
        <v>5636</v>
      </c>
    </row>
    <row r="184" spans="1:41" ht="14.25" customHeight="1" x14ac:dyDescent="0.3">
      <c r="A184" s="3" t="s">
        <v>763</v>
      </c>
      <c r="B184" s="3" t="s">
        <v>772</v>
      </c>
      <c r="C184" s="3" t="s">
        <v>765</v>
      </c>
      <c r="D184" s="3" t="s">
        <v>773</v>
      </c>
      <c r="E184" s="3" t="s">
        <v>767</v>
      </c>
      <c r="F184" s="3" t="s">
        <v>41</v>
      </c>
      <c r="G184" s="5" t="s">
        <v>42</v>
      </c>
      <c r="H184" s="5" t="s">
        <v>43</v>
      </c>
      <c r="I184" s="5" t="s">
        <v>44</v>
      </c>
      <c r="J184" s="3" t="s">
        <v>45</v>
      </c>
      <c r="K184" s="3" t="s">
        <v>85</v>
      </c>
      <c r="L184" s="3" t="s">
        <v>157</v>
      </c>
      <c r="M184" s="3" t="s">
        <v>48</v>
      </c>
      <c r="N184" s="3" t="s">
        <v>774</v>
      </c>
      <c r="O184" s="69" t="s">
        <v>586</v>
      </c>
      <c r="P184" s="3" t="s">
        <v>50</v>
      </c>
      <c r="Q184" s="3" t="s">
        <v>51</v>
      </c>
      <c r="R184" s="30">
        <v>6</v>
      </c>
      <c r="S184" s="3" t="s">
        <v>52</v>
      </c>
      <c r="T184" s="3" t="s">
        <v>53</v>
      </c>
      <c r="U184" s="3" t="s">
        <v>54</v>
      </c>
      <c r="V184" s="7"/>
      <c r="W184" s="7"/>
      <c r="X184" s="7"/>
      <c r="Y184" s="7"/>
      <c r="Z184" s="3" t="s">
        <v>55</v>
      </c>
      <c r="AA184" s="3" t="s">
        <v>88</v>
      </c>
      <c r="AB184" s="3" t="s">
        <v>57</v>
      </c>
      <c r="AD184" s="3">
        <v>4.84</v>
      </c>
      <c r="AE184" s="3">
        <v>4.84</v>
      </c>
      <c r="AG184" s="3">
        <v>1.44</v>
      </c>
      <c r="AH184" s="3">
        <v>46.08</v>
      </c>
      <c r="AI184" s="8">
        <v>19.899999999999999</v>
      </c>
      <c r="AJ184" s="88">
        <v>47.415999999999997</v>
      </c>
      <c r="AK184" s="3" t="s">
        <v>58</v>
      </c>
      <c r="AL184" s="9">
        <f t="shared" si="2"/>
        <v>56.899199999999993</v>
      </c>
      <c r="AN184" t="s">
        <v>5519</v>
      </c>
      <c r="AO184" s="74" t="s">
        <v>5636</v>
      </c>
    </row>
    <row r="185" spans="1:41" ht="14.25" customHeight="1" x14ac:dyDescent="0.3">
      <c r="A185" s="3" t="s">
        <v>763</v>
      </c>
      <c r="B185" s="3" t="s">
        <v>775</v>
      </c>
      <c r="C185" s="3" t="s">
        <v>765</v>
      </c>
      <c r="D185" s="3" t="s">
        <v>776</v>
      </c>
      <c r="E185" s="3" t="s">
        <v>767</v>
      </c>
      <c r="F185" s="3" t="s">
        <v>41</v>
      </c>
      <c r="G185" s="5" t="s">
        <v>42</v>
      </c>
      <c r="H185" s="5" t="s">
        <v>43</v>
      </c>
      <c r="I185" s="5" t="s">
        <v>44</v>
      </c>
      <c r="J185" s="3" t="s">
        <v>45</v>
      </c>
      <c r="K185" s="3" t="s">
        <v>85</v>
      </c>
      <c r="L185" s="3" t="s">
        <v>157</v>
      </c>
      <c r="M185" s="3" t="s">
        <v>48</v>
      </c>
      <c r="N185" s="3" t="s">
        <v>777</v>
      </c>
      <c r="O185" s="69" t="s">
        <v>586</v>
      </c>
      <c r="P185" s="3" t="s">
        <v>50</v>
      </c>
      <c r="Q185" s="3" t="s">
        <v>51</v>
      </c>
      <c r="R185" s="30">
        <v>6</v>
      </c>
      <c r="S185" s="3" t="s">
        <v>52</v>
      </c>
      <c r="T185" s="3" t="s">
        <v>53</v>
      </c>
      <c r="U185" s="3" t="s">
        <v>54</v>
      </c>
      <c r="V185" s="7"/>
      <c r="W185" s="7"/>
      <c r="X185" s="7"/>
      <c r="Y185" s="7"/>
      <c r="Z185" s="3" t="s">
        <v>55</v>
      </c>
      <c r="AA185" s="3" t="s">
        <v>88</v>
      </c>
      <c r="AB185" s="3" t="s">
        <v>57</v>
      </c>
      <c r="AD185" s="3">
        <v>4.84</v>
      </c>
      <c r="AE185" s="3">
        <v>4.84</v>
      </c>
      <c r="AG185" s="3">
        <v>1.44</v>
      </c>
      <c r="AH185" s="3">
        <v>46.08</v>
      </c>
      <c r="AI185" s="8">
        <v>19.899999999999999</v>
      </c>
      <c r="AJ185" s="88">
        <v>47.415999999999997</v>
      </c>
      <c r="AK185" s="3" t="s">
        <v>58</v>
      </c>
      <c r="AL185" s="9">
        <f t="shared" si="2"/>
        <v>56.899199999999993</v>
      </c>
      <c r="AN185" t="s">
        <v>5519</v>
      </c>
      <c r="AO185" s="74" t="s">
        <v>5636</v>
      </c>
    </row>
    <row r="186" spans="1:41" ht="14.25" customHeight="1" x14ac:dyDescent="0.3">
      <c r="A186" s="3" t="s">
        <v>763</v>
      </c>
      <c r="B186" s="3" t="s">
        <v>778</v>
      </c>
      <c r="C186" s="3" t="s">
        <v>765</v>
      </c>
      <c r="D186" s="3" t="s">
        <v>779</v>
      </c>
      <c r="E186" s="3" t="s">
        <v>767</v>
      </c>
      <c r="F186" s="3" t="s">
        <v>41</v>
      </c>
      <c r="G186" s="5" t="s">
        <v>42</v>
      </c>
      <c r="H186" s="5" t="s">
        <v>43</v>
      </c>
      <c r="I186" s="5" t="s">
        <v>44</v>
      </c>
      <c r="J186" s="3" t="s">
        <v>45</v>
      </c>
      <c r="K186" s="3" t="s">
        <v>85</v>
      </c>
      <c r="L186" s="3" t="s">
        <v>157</v>
      </c>
      <c r="M186" s="3" t="s">
        <v>48</v>
      </c>
      <c r="N186" s="3" t="s">
        <v>780</v>
      </c>
      <c r="O186" s="69" t="s">
        <v>586</v>
      </c>
      <c r="P186" s="3" t="s">
        <v>50</v>
      </c>
      <c r="Q186" s="3" t="s">
        <v>51</v>
      </c>
      <c r="R186" s="30">
        <v>6</v>
      </c>
      <c r="S186" s="3" t="s">
        <v>52</v>
      </c>
      <c r="T186" s="3" t="s">
        <v>53</v>
      </c>
      <c r="U186" s="3" t="s">
        <v>54</v>
      </c>
      <c r="V186" s="7"/>
      <c r="W186" s="7"/>
      <c r="X186" s="7"/>
      <c r="Y186" s="7"/>
      <c r="Z186" s="3" t="s">
        <v>55</v>
      </c>
      <c r="AA186" s="3" t="s">
        <v>88</v>
      </c>
      <c r="AB186" s="3" t="s">
        <v>57</v>
      </c>
      <c r="AD186" s="3">
        <v>4.84</v>
      </c>
      <c r="AE186" s="3">
        <v>4.84</v>
      </c>
      <c r="AG186" s="3">
        <v>1.44</v>
      </c>
      <c r="AH186" s="3">
        <v>46.08</v>
      </c>
      <c r="AI186" s="8">
        <v>19.899999999999999</v>
      </c>
      <c r="AJ186" s="88">
        <v>47.415999999999997</v>
      </c>
      <c r="AK186" s="3" t="s">
        <v>58</v>
      </c>
      <c r="AL186" s="9">
        <f t="shared" si="2"/>
        <v>56.899199999999993</v>
      </c>
      <c r="AN186" t="s">
        <v>5519</v>
      </c>
      <c r="AO186" s="74" t="s">
        <v>5636</v>
      </c>
    </row>
    <row r="187" spans="1:41" ht="14.25" customHeight="1" x14ac:dyDescent="0.3">
      <c r="A187" s="3" t="s">
        <v>763</v>
      </c>
      <c r="B187" s="3" t="s">
        <v>781</v>
      </c>
      <c r="C187" s="3" t="s">
        <v>765</v>
      </c>
      <c r="D187" s="3" t="s">
        <v>782</v>
      </c>
      <c r="E187" s="3" t="s">
        <v>767</v>
      </c>
      <c r="F187" s="3" t="s">
        <v>41</v>
      </c>
      <c r="G187" s="5" t="s">
        <v>42</v>
      </c>
      <c r="H187" s="5" t="s">
        <v>43</v>
      </c>
      <c r="I187" s="5" t="s">
        <v>44</v>
      </c>
      <c r="J187" s="3" t="s">
        <v>45</v>
      </c>
      <c r="K187" s="3" t="s">
        <v>85</v>
      </c>
      <c r="L187" s="3" t="s">
        <v>157</v>
      </c>
      <c r="M187" s="3" t="s">
        <v>48</v>
      </c>
      <c r="N187" s="3" t="s">
        <v>783</v>
      </c>
      <c r="O187" s="69" t="s">
        <v>586</v>
      </c>
      <c r="P187" s="3" t="s">
        <v>50</v>
      </c>
      <c r="Q187" s="3" t="s">
        <v>51</v>
      </c>
      <c r="R187" s="30">
        <v>6</v>
      </c>
      <c r="S187" s="3" t="s">
        <v>52</v>
      </c>
      <c r="T187" s="3" t="s">
        <v>53</v>
      </c>
      <c r="U187" s="3" t="s">
        <v>54</v>
      </c>
      <c r="V187" s="7"/>
      <c r="W187" s="7"/>
      <c r="X187" s="7"/>
      <c r="Y187" s="7"/>
      <c r="Z187" s="3" t="s">
        <v>55</v>
      </c>
      <c r="AA187" s="3" t="s">
        <v>88</v>
      </c>
      <c r="AB187" s="3" t="s">
        <v>57</v>
      </c>
      <c r="AD187" s="3">
        <v>4.84</v>
      </c>
      <c r="AE187" s="3">
        <v>4.84</v>
      </c>
      <c r="AG187" s="3">
        <v>1.44</v>
      </c>
      <c r="AH187" s="3">
        <v>46.08</v>
      </c>
      <c r="AI187" s="8">
        <v>19.899999999999999</v>
      </c>
      <c r="AJ187" s="88">
        <v>47.415999999999997</v>
      </c>
      <c r="AK187" s="3" t="s">
        <v>58</v>
      </c>
      <c r="AL187" s="9">
        <f t="shared" si="2"/>
        <v>56.899199999999993</v>
      </c>
      <c r="AN187" t="s">
        <v>5519</v>
      </c>
      <c r="AO187" s="74" t="s">
        <v>5636</v>
      </c>
    </row>
    <row r="188" spans="1:41" ht="14.25" customHeight="1" x14ac:dyDescent="0.3">
      <c r="A188" s="3" t="s">
        <v>763</v>
      </c>
      <c r="B188" s="3" t="s">
        <v>784</v>
      </c>
      <c r="C188" s="3" t="s">
        <v>765</v>
      </c>
      <c r="D188" s="3" t="s">
        <v>785</v>
      </c>
      <c r="E188" s="3" t="s">
        <v>767</v>
      </c>
      <c r="F188" s="3" t="s">
        <v>41</v>
      </c>
      <c r="G188" s="5" t="s">
        <v>42</v>
      </c>
      <c r="H188" s="5" t="s">
        <v>43</v>
      </c>
      <c r="I188" s="5" t="s">
        <v>44</v>
      </c>
      <c r="J188" s="3" t="s">
        <v>45</v>
      </c>
      <c r="K188" s="3" t="s">
        <v>85</v>
      </c>
      <c r="L188" s="3" t="s">
        <v>157</v>
      </c>
      <c r="M188" s="3" t="s">
        <v>48</v>
      </c>
      <c r="N188" s="3" t="s">
        <v>786</v>
      </c>
      <c r="O188" s="69" t="s">
        <v>586</v>
      </c>
      <c r="P188" s="3" t="s">
        <v>50</v>
      </c>
      <c r="Q188" s="3" t="s">
        <v>51</v>
      </c>
      <c r="R188" s="30">
        <v>6</v>
      </c>
      <c r="S188" s="3" t="s">
        <v>52</v>
      </c>
      <c r="T188" s="3" t="s">
        <v>53</v>
      </c>
      <c r="U188" s="3" t="s">
        <v>54</v>
      </c>
      <c r="V188" s="7"/>
      <c r="W188" s="7"/>
      <c r="X188" s="7"/>
      <c r="Y188" s="7"/>
      <c r="Z188" s="3" t="s">
        <v>55</v>
      </c>
      <c r="AA188" s="3" t="s">
        <v>88</v>
      </c>
      <c r="AB188" s="3" t="s">
        <v>57</v>
      </c>
      <c r="AD188" s="3">
        <v>4.84</v>
      </c>
      <c r="AE188" s="3">
        <v>4.84</v>
      </c>
      <c r="AG188" s="3">
        <v>1.44</v>
      </c>
      <c r="AH188" s="3">
        <v>46.08</v>
      </c>
      <c r="AI188" s="8">
        <v>19.899999999999999</v>
      </c>
      <c r="AJ188" s="88">
        <v>47.415999999999997</v>
      </c>
      <c r="AK188" s="3" t="s">
        <v>58</v>
      </c>
      <c r="AL188" s="9">
        <f t="shared" si="2"/>
        <v>56.899199999999993</v>
      </c>
      <c r="AN188" t="s">
        <v>5519</v>
      </c>
      <c r="AO188" s="74" t="s">
        <v>5636</v>
      </c>
    </row>
    <row r="189" spans="1:41" ht="14.25" customHeight="1" x14ac:dyDescent="0.3">
      <c r="A189" s="3" t="s">
        <v>763</v>
      </c>
      <c r="B189" s="3" t="s">
        <v>787</v>
      </c>
      <c r="C189" s="3" t="s">
        <v>765</v>
      </c>
      <c r="D189" s="3" t="s">
        <v>788</v>
      </c>
      <c r="E189" s="3" t="s">
        <v>767</v>
      </c>
      <c r="F189" s="3" t="s">
        <v>41</v>
      </c>
      <c r="G189" s="5" t="s">
        <v>42</v>
      </c>
      <c r="H189" s="5" t="s">
        <v>43</v>
      </c>
      <c r="I189" s="5" t="s">
        <v>44</v>
      </c>
      <c r="J189" s="3" t="s">
        <v>45</v>
      </c>
      <c r="K189" s="3" t="s">
        <v>85</v>
      </c>
      <c r="L189" s="3" t="s">
        <v>157</v>
      </c>
      <c r="M189" s="3" t="s">
        <v>48</v>
      </c>
      <c r="N189" s="3" t="s">
        <v>789</v>
      </c>
      <c r="O189" s="69" t="s">
        <v>586</v>
      </c>
      <c r="P189" s="3" t="s">
        <v>50</v>
      </c>
      <c r="Q189" s="3" t="s">
        <v>51</v>
      </c>
      <c r="R189" s="30">
        <v>6</v>
      </c>
      <c r="S189" s="3" t="s">
        <v>52</v>
      </c>
      <c r="T189" s="3" t="s">
        <v>53</v>
      </c>
      <c r="U189" s="3" t="s">
        <v>54</v>
      </c>
      <c r="V189" s="7"/>
      <c r="W189" s="7"/>
      <c r="X189" s="7"/>
      <c r="Y189" s="7"/>
      <c r="Z189" s="3" t="s">
        <v>55</v>
      </c>
      <c r="AA189" s="3" t="s">
        <v>88</v>
      </c>
      <c r="AB189" s="3" t="s">
        <v>57</v>
      </c>
      <c r="AD189" s="3">
        <v>4.84</v>
      </c>
      <c r="AE189" s="3">
        <v>4.84</v>
      </c>
      <c r="AG189" s="3">
        <v>1.44</v>
      </c>
      <c r="AH189" s="3">
        <v>46.08</v>
      </c>
      <c r="AI189" s="8">
        <v>19.899999999999999</v>
      </c>
      <c r="AJ189" s="88">
        <v>47.415999999999997</v>
      </c>
      <c r="AK189" s="3" t="s">
        <v>58</v>
      </c>
      <c r="AL189" s="9">
        <f t="shared" si="2"/>
        <v>56.899199999999993</v>
      </c>
      <c r="AN189" t="s">
        <v>5519</v>
      </c>
      <c r="AO189" s="74" t="s">
        <v>5636</v>
      </c>
    </row>
    <row r="190" spans="1:41" ht="14.25" customHeight="1" x14ac:dyDescent="0.3">
      <c r="A190" s="3" t="s">
        <v>763</v>
      </c>
      <c r="B190" s="3" t="s">
        <v>790</v>
      </c>
      <c r="C190" s="3" t="s">
        <v>765</v>
      </c>
      <c r="D190" s="3" t="s">
        <v>791</v>
      </c>
      <c r="E190" s="3" t="s">
        <v>767</v>
      </c>
      <c r="F190" s="3" t="s">
        <v>41</v>
      </c>
      <c r="G190" s="5" t="s">
        <v>42</v>
      </c>
      <c r="H190" s="5" t="s">
        <v>43</v>
      </c>
      <c r="I190" s="5" t="s">
        <v>44</v>
      </c>
      <c r="J190" s="3" t="s">
        <v>45</v>
      </c>
      <c r="K190" s="3" t="s">
        <v>85</v>
      </c>
      <c r="L190" s="3" t="s">
        <v>157</v>
      </c>
      <c r="M190" s="3" t="s">
        <v>48</v>
      </c>
      <c r="N190" s="3" t="s">
        <v>792</v>
      </c>
      <c r="O190" s="69" t="s">
        <v>586</v>
      </c>
      <c r="P190" s="3" t="s">
        <v>50</v>
      </c>
      <c r="Q190" s="3" t="s">
        <v>51</v>
      </c>
      <c r="R190" s="30">
        <v>6</v>
      </c>
      <c r="S190" s="3" t="s">
        <v>52</v>
      </c>
      <c r="T190" s="3" t="s">
        <v>53</v>
      </c>
      <c r="U190" s="3" t="s">
        <v>54</v>
      </c>
      <c r="V190" s="7"/>
      <c r="W190" s="7"/>
      <c r="X190" s="7"/>
      <c r="Y190" s="7"/>
      <c r="Z190" s="3" t="s">
        <v>55</v>
      </c>
      <c r="AA190" s="3" t="s">
        <v>88</v>
      </c>
      <c r="AB190" s="3" t="s">
        <v>57</v>
      </c>
      <c r="AD190" s="3">
        <v>4.84</v>
      </c>
      <c r="AE190" s="3">
        <v>4.84</v>
      </c>
      <c r="AG190" s="3">
        <v>1.44</v>
      </c>
      <c r="AH190" s="3">
        <v>46.08</v>
      </c>
      <c r="AI190" s="8">
        <v>19.899999999999999</v>
      </c>
      <c r="AJ190" s="88">
        <v>47.415999999999997</v>
      </c>
      <c r="AK190" s="3" t="s">
        <v>58</v>
      </c>
      <c r="AL190" s="9">
        <f t="shared" si="2"/>
        <v>56.899199999999993</v>
      </c>
      <c r="AN190" t="s">
        <v>5519</v>
      </c>
      <c r="AO190" s="74" t="s">
        <v>5636</v>
      </c>
    </row>
    <row r="191" spans="1:41" ht="14.25" customHeight="1" x14ac:dyDescent="0.3">
      <c r="A191" s="3" t="s">
        <v>1207</v>
      </c>
      <c r="B191" s="3" t="s">
        <v>1208</v>
      </c>
      <c r="C191" s="3" t="s">
        <v>1209</v>
      </c>
      <c r="D191" s="3" t="s">
        <v>1210</v>
      </c>
      <c r="E191" s="3" t="s">
        <v>1211</v>
      </c>
      <c r="F191" s="3" t="s">
        <v>41</v>
      </c>
      <c r="G191" s="5" t="s">
        <v>42</v>
      </c>
      <c r="H191" s="5" t="s">
        <v>43</v>
      </c>
      <c r="I191" s="5" t="s">
        <v>44</v>
      </c>
      <c r="J191" s="3" t="s">
        <v>45</v>
      </c>
      <c r="K191" s="3" t="s">
        <v>85</v>
      </c>
      <c r="L191" s="3" t="s">
        <v>157</v>
      </c>
      <c r="M191" s="3" t="s">
        <v>48</v>
      </c>
      <c r="N191" s="14" t="s">
        <v>1212</v>
      </c>
      <c r="O191" s="72" t="s">
        <v>586</v>
      </c>
      <c r="P191" s="3" t="s">
        <v>50</v>
      </c>
      <c r="Q191" s="3" t="s">
        <v>51</v>
      </c>
      <c r="R191" s="3">
        <v>6</v>
      </c>
      <c r="S191" s="3" t="s">
        <v>52</v>
      </c>
      <c r="T191" s="3" t="s">
        <v>53</v>
      </c>
      <c r="U191" s="3" t="s">
        <v>54</v>
      </c>
      <c r="V191" s="7"/>
      <c r="W191" s="7"/>
      <c r="X191" s="7"/>
      <c r="Y191" s="7"/>
      <c r="Z191" s="3" t="s">
        <v>55</v>
      </c>
      <c r="AA191" s="3" t="s">
        <v>88</v>
      </c>
      <c r="AB191" s="3" t="s">
        <v>57</v>
      </c>
      <c r="AD191" s="3">
        <v>29.11</v>
      </c>
      <c r="AE191" s="3">
        <v>29.11</v>
      </c>
      <c r="AG191" s="3">
        <v>1.44</v>
      </c>
      <c r="AH191" s="3">
        <v>46.08</v>
      </c>
      <c r="AI191" s="8">
        <v>19.899999999999999</v>
      </c>
      <c r="AJ191" s="88">
        <v>47.415999999999997</v>
      </c>
      <c r="AK191" s="3" t="s">
        <v>58</v>
      </c>
      <c r="AL191" s="9">
        <f t="shared" si="2"/>
        <v>56.899199999999993</v>
      </c>
      <c r="AN191" t="s">
        <v>5519</v>
      </c>
      <c r="AO191" s="74" t="s">
        <v>5628</v>
      </c>
    </row>
    <row r="192" spans="1:41" ht="14.25" customHeight="1" x14ac:dyDescent="0.3">
      <c r="A192" s="3" t="s">
        <v>1207</v>
      </c>
      <c r="B192" s="3" t="s">
        <v>1213</v>
      </c>
      <c r="C192" s="3" t="s">
        <v>1209</v>
      </c>
      <c r="D192" s="3" t="s">
        <v>1214</v>
      </c>
      <c r="E192" s="3" t="s">
        <v>1211</v>
      </c>
      <c r="F192" s="3" t="s">
        <v>41</v>
      </c>
      <c r="G192" s="5" t="s">
        <v>42</v>
      </c>
      <c r="H192" s="5" t="s">
        <v>43</v>
      </c>
      <c r="I192" s="5" t="s">
        <v>44</v>
      </c>
      <c r="J192" s="3" t="s">
        <v>45</v>
      </c>
      <c r="K192" s="3" t="s">
        <v>85</v>
      </c>
      <c r="L192" s="3" t="s">
        <v>157</v>
      </c>
      <c r="M192" s="3" t="s">
        <v>48</v>
      </c>
      <c r="N192" s="14" t="s">
        <v>1215</v>
      </c>
      <c r="O192" s="72" t="s">
        <v>586</v>
      </c>
      <c r="P192" s="3" t="s">
        <v>50</v>
      </c>
      <c r="Q192" s="3" t="s">
        <v>51</v>
      </c>
      <c r="R192" s="3">
        <v>6</v>
      </c>
      <c r="S192" s="3" t="s">
        <v>52</v>
      </c>
      <c r="T192" s="3" t="s">
        <v>53</v>
      </c>
      <c r="U192" s="3" t="s">
        <v>54</v>
      </c>
      <c r="V192" s="7"/>
      <c r="W192" s="7"/>
      <c r="X192" s="7"/>
      <c r="Y192" s="7"/>
      <c r="Z192" s="3" t="s">
        <v>55</v>
      </c>
      <c r="AA192" s="3" t="s">
        <v>88</v>
      </c>
      <c r="AB192" s="3" t="s">
        <v>57</v>
      </c>
      <c r="AD192" s="3">
        <v>29.16</v>
      </c>
      <c r="AE192" s="3">
        <v>29.16</v>
      </c>
      <c r="AG192" s="3">
        <v>1.44</v>
      </c>
      <c r="AH192" s="3">
        <v>46.08</v>
      </c>
      <c r="AI192" s="8">
        <v>19.899999999999999</v>
      </c>
      <c r="AJ192" s="88">
        <v>47.415999999999997</v>
      </c>
      <c r="AK192" s="3" t="s">
        <v>58</v>
      </c>
      <c r="AL192" s="9">
        <f t="shared" si="2"/>
        <v>56.899199999999993</v>
      </c>
      <c r="AN192" t="s">
        <v>5519</v>
      </c>
      <c r="AO192" s="74" t="s">
        <v>5628</v>
      </c>
    </row>
    <row r="193" spans="1:41" ht="14.25" customHeight="1" x14ac:dyDescent="0.3">
      <c r="A193" s="3" t="s">
        <v>1207</v>
      </c>
      <c r="B193" s="3" t="s">
        <v>1216</v>
      </c>
      <c r="C193" s="3" t="s">
        <v>1209</v>
      </c>
      <c r="D193" s="3" t="s">
        <v>1217</v>
      </c>
      <c r="E193" s="3" t="s">
        <v>1211</v>
      </c>
      <c r="F193" s="3" t="s">
        <v>41</v>
      </c>
      <c r="G193" s="5" t="s">
        <v>42</v>
      </c>
      <c r="H193" s="5" t="s">
        <v>43</v>
      </c>
      <c r="I193" s="5" t="s">
        <v>44</v>
      </c>
      <c r="J193" s="3" t="s">
        <v>45</v>
      </c>
      <c r="K193" s="3" t="s">
        <v>85</v>
      </c>
      <c r="L193" s="3" t="s">
        <v>157</v>
      </c>
      <c r="M193" s="3" t="s">
        <v>48</v>
      </c>
      <c r="N193" s="14" t="s">
        <v>1218</v>
      </c>
      <c r="O193" s="72" t="s">
        <v>586</v>
      </c>
      <c r="P193" s="3" t="s">
        <v>50</v>
      </c>
      <c r="Q193" s="3" t="s">
        <v>51</v>
      </c>
      <c r="R193" s="3">
        <v>6</v>
      </c>
      <c r="S193" s="3" t="s">
        <v>52</v>
      </c>
      <c r="T193" s="3" t="s">
        <v>53</v>
      </c>
      <c r="U193" s="3" t="s">
        <v>54</v>
      </c>
      <c r="V193" s="7"/>
      <c r="W193" s="7"/>
      <c r="X193" s="7"/>
      <c r="Y193" s="7"/>
      <c r="Z193" s="3" t="s">
        <v>55</v>
      </c>
      <c r="AA193" s="3" t="s">
        <v>88</v>
      </c>
      <c r="AB193" s="3" t="s">
        <v>57</v>
      </c>
      <c r="AD193" s="3">
        <v>29.2</v>
      </c>
      <c r="AE193" s="3">
        <v>29.2</v>
      </c>
      <c r="AG193" s="3">
        <v>1.44</v>
      </c>
      <c r="AH193" s="3">
        <v>46.08</v>
      </c>
      <c r="AI193" s="8">
        <v>19.899999999999999</v>
      </c>
      <c r="AJ193" s="88">
        <v>47.415999999999997</v>
      </c>
      <c r="AK193" s="3" t="s">
        <v>58</v>
      </c>
      <c r="AL193" s="9">
        <f t="shared" si="2"/>
        <v>56.899199999999993</v>
      </c>
      <c r="AN193" t="s">
        <v>5519</v>
      </c>
      <c r="AO193" s="74" t="s">
        <v>5628</v>
      </c>
    </row>
    <row r="194" spans="1:41" ht="14.25" customHeight="1" x14ac:dyDescent="0.3">
      <c r="A194" s="3" t="s">
        <v>1207</v>
      </c>
      <c r="B194" s="3" t="s">
        <v>1219</v>
      </c>
      <c r="C194" s="3" t="s">
        <v>1209</v>
      </c>
      <c r="D194" s="3" t="s">
        <v>1220</v>
      </c>
      <c r="E194" s="3" t="s">
        <v>1211</v>
      </c>
      <c r="F194" s="3" t="s">
        <v>41</v>
      </c>
      <c r="G194" s="5" t="s">
        <v>42</v>
      </c>
      <c r="H194" s="5" t="s">
        <v>43</v>
      </c>
      <c r="I194" s="5" t="s">
        <v>44</v>
      </c>
      <c r="J194" s="3" t="s">
        <v>45</v>
      </c>
      <c r="K194" s="3" t="s">
        <v>85</v>
      </c>
      <c r="L194" s="3" t="s">
        <v>157</v>
      </c>
      <c r="M194" s="3" t="s">
        <v>48</v>
      </c>
      <c r="N194" s="14" t="s">
        <v>1221</v>
      </c>
      <c r="O194" s="72" t="s">
        <v>586</v>
      </c>
      <c r="P194" s="3" t="s">
        <v>50</v>
      </c>
      <c r="Q194" s="3" t="s">
        <v>51</v>
      </c>
      <c r="R194" s="3">
        <v>6</v>
      </c>
      <c r="S194" s="3" t="s">
        <v>52</v>
      </c>
      <c r="T194" s="3" t="s">
        <v>53</v>
      </c>
      <c r="U194" s="3" t="s">
        <v>54</v>
      </c>
      <c r="V194" s="7"/>
      <c r="W194" s="7"/>
      <c r="X194" s="7"/>
      <c r="Y194" s="7"/>
      <c r="Z194" s="3" t="s">
        <v>55</v>
      </c>
      <c r="AA194" s="3" t="s">
        <v>88</v>
      </c>
      <c r="AB194" s="3" t="s">
        <v>57</v>
      </c>
      <c r="AD194" s="3">
        <v>29.2</v>
      </c>
      <c r="AE194" s="3">
        <v>29.2</v>
      </c>
      <c r="AG194" s="3">
        <v>1.44</v>
      </c>
      <c r="AH194" s="3">
        <v>46.08</v>
      </c>
      <c r="AI194" s="8">
        <v>19.899999999999999</v>
      </c>
      <c r="AJ194" s="88">
        <v>47.415999999999997</v>
      </c>
      <c r="AK194" s="3" t="s">
        <v>58</v>
      </c>
      <c r="AL194" s="9">
        <f t="shared" ref="AL194:AL238" si="3">AJ194*1.2</f>
        <v>56.899199999999993</v>
      </c>
      <c r="AN194" t="s">
        <v>5519</v>
      </c>
      <c r="AO194" s="74" t="s">
        <v>5628</v>
      </c>
    </row>
    <row r="195" spans="1:41" ht="14.25" customHeight="1" x14ac:dyDescent="0.3">
      <c r="A195" s="3" t="s">
        <v>1207</v>
      </c>
      <c r="B195" s="3" t="s">
        <v>1222</v>
      </c>
      <c r="C195" s="3" t="s">
        <v>1209</v>
      </c>
      <c r="D195" s="3" t="s">
        <v>1223</v>
      </c>
      <c r="E195" s="3" t="s">
        <v>1211</v>
      </c>
      <c r="F195" s="3" t="s">
        <v>41</v>
      </c>
      <c r="G195" s="5" t="s">
        <v>42</v>
      </c>
      <c r="H195" s="5" t="s">
        <v>43</v>
      </c>
      <c r="I195" s="5" t="s">
        <v>44</v>
      </c>
      <c r="J195" s="3" t="s">
        <v>45</v>
      </c>
      <c r="K195" s="3" t="s">
        <v>85</v>
      </c>
      <c r="L195" s="3" t="s">
        <v>157</v>
      </c>
      <c r="M195" s="3" t="s">
        <v>48</v>
      </c>
      <c r="N195" s="14" t="s">
        <v>1224</v>
      </c>
      <c r="O195" s="69" t="s">
        <v>3268</v>
      </c>
      <c r="P195" s="3" t="s">
        <v>50</v>
      </c>
      <c r="Q195" s="3" t="s">
        <v>51</v>
      </c>
      <c r="R195" s="3">
        <v>6</v>
      </c>
      <c r="S195" s="3" t="s">
        <v>52</v>
      </c>
      <c r="T195" s="3" t="s">
        <v>53</v>
      </c>
      <c r="U195" s="3" t="s">
        <v>54</v>
      </c>
      <c r="V195" s="7"/>
      <c r="W195" s="7"/>
      <c r="X195" s="7"/>
      <c r="Y195" s="7"/>
      <c r="Z195" s="3" t="s">
        <v>55</v>
      </c>
      <c r="AA195" s="3" t="s">
        <v>88</v>
      </c>
      <c r="AB195" s="3" t="s">
        <v>57</v>
      </c>
      <c r="AD195" s="3">
        <v>29.02</v>
      </c>
      <c r="AE195" s="3">
        <v>29.02</v>
      </c>
      <c r="AG195" s="3">
        <v>1.44</v>
      </c>
      <c r="AH195" s="3">
        <v>46.08</v>
      </c>
      <c r="AI195" s="8">
        <v>19.899999999999999</v>
      </c>
      <c r="AJ195" s="88">
        <v>47.415999999999997</v>
      </c>
      <c r="AK195" s="3" t="s">
        <v>58</v>
      </c>
      <c r="AL195" s="9">
        <f t="shared" si="3"/>
        <v>56.899199999999993</v>
      </c>
      <c r="AN195" t="s">
        <v>5519</v>
      </c>
      <c r="AO195" s="74" t="s">
        <v>5628</v>
      </c>
    </row>
    <row r="196" spans="1:41" ht="14.25" customHeight="1" x14ac:dyDescent="0.3">
      <c r="A196" s="3" t="s">
        <v>1207</v>
      </c>
      <c r="B196" s="3" t="s">
        <v>1225</v>
      </c>
      <c r="C196" s="3" t="s">
        <v>1209</v>
      </c>
      <c r="D196" s="3" t="s">
        <v>1226</v>
      </c>
      <c r="E196" s="3" t="s">
        <v>1211</v>
      </c>
      <c r="F196" s="3" t="s">
        <v>41</v>
      </c>
      <c r="G196" s="5" t="s">
        <v>42</v>
      </c>
      <c r="H196" s="5" t="s">
        <v>43</v>
      </c>
      <c r="I196" s="5" t="s">
        <v>44</v>
      </c>
      <c r="J196" s="3" t="s">
        <v>45</v>
      </c>
      <c r="K196" s="3" t="s">
        <v>85</v>
      </c>
      <c r="L196" s="3" t="s">
        <v>157</v>
      </c>
      <c r="M196" s="3" t="s">
        <v>48</v>
      </c>
      <c r="N196" s="14" t="s">
        <v>1227</v>
      </c>
      <c r="O196" s="69" t="s">
        <v>3268</v>
      </c>
      <c r="P196" s="3" t="s">
        <v>50</v>
      </c>
      <c r="Q196" s="3" t="s">
        <v>51</v>
      </c>
      <c r="R196" s="3">
        <v>6</v>
      </c>
      <c r="S196" s="3" t="s">
        <v>52</v>
      </c>
      <c r="T196" s="3" t="s">
        <v>53</v>
      </c>
      <c r="U196" s="3" t="s">
        <v>54</v>
      </c>
      <c r="V196" s="7"/>
      <c r="W196" s="7"/>
      <c r="X196" s="7"/>
      <c r="Y196" s="7"/>
      <c r="Z196" s="3" t="s">
        <v>55</v>
      </c>
      <c r="AA196" s="3" t="s">
        <v>88</v>
      </c>
      <c r="AB196" s="3" t="s">
        <v>57</v>
      </c>
      <c r="AD196" s="3">
        <v>28.71</v>
      </c>
      <c r="AE196" s="3">
        <v>28.71</v>
      </c>
      <c r="AG196" s="3">
        <v>1.44</v>
      </c>
      <c r="AH196" s="3">
        <v>46.08</v>
      </c>
      <c r="AI196" s="8">
        <v>19.899999999999999</v>
      </c>
      <c r="AJ196" s="88">
        <v>47.415999999999997</v>
      </c>
      <c r="AK196" s="3" t="s">
        <v>58</v>
      </c>
      <c r="AL196" s="9">
        <f t="shared" si="3"/>
        <v>56.899199999999993</v>
      </c>
      <c r="AN196" t="s">
        <v>5519</v>
      </c>
      <c r="AO196" s="74" t="s">
        <v>5628</v>
      </c>
    </row>
    <row r="197" spans="1:41" ht="14.25" customHeight="1" x14ac:dyDescent="0.3">
      <c r="A197" s="3" t="s">
        <v>1207</v>
      </c>
      <c r="B197" s="3" t="s">
        <v>1228</v>
      </c>
      <c r="C197" s="3" t="s">
        <v>1209</v>
      </c>
      <c r="D197" s="3" t="s">
        <v>1229</v>
      </c>
      <c r="E197" s="3" t="s">
        <v>1211</v>
      </c>
      <c r="F197" s="3" t="s">
        <v>41</v>
      </c>
      <c r="G197" s="5" t="s">
        <v>42</v>
      </c>
      <c r="H197" s="5" t="s">
        <v>43</v>
      </c>
      <c r="I197" s="5" t="s">
        <v>44</v>
      </c>
      <c r="J197" s="3" t="s">
        <v>45</v>
      </c>
      <c r="K197" s="3" t="s">
        <v>85</v>
      </c>
      <c r="L197" s="3" t="s">
        <v>157</v>
      </c>
      <c r="M197" s="3" t="s">
        <v>48</v>
      </c>
      <c r="N197" s="14" t="s">
        <v>1230</v>
      </c>
      <c r="O197" s="69" t="s">
        <v>3268</v>
      </c>
      <c r="P197" s="3" t="s">
        <v>50</v>
      </c>
      <c r="Q197" s="3" t="s">
        <v>51</v>
      </c>
      <c r="R197" s="3">
        <v>6</v>
      </c>
      <c r="S197" s="3" t="s">
        <v>52</v>
      </c>
      <c r="T197" s="3" t="s">
        <v>53</v>
      </c>
      <c r="U197" s="3" t="s">
        <v>54</v>
      </c>
      <c r="V197" s="7"/>
      <c r="W197" s="7"/>
      <c r="X197" s="7"/>
      <c r="Y197" s="7"/>
      <c r="Z197" s="3" t="s">
        <v>55</v>
      </c>
      <c r="AA197" s="3" t="s">
        <v>88</v>
      </c>
      <c r="AB197" s="3" t="s">
        <v>57</v>
      </c>
      <c r="AD197" s="3">
        <v>29.06</v>
      </c>
      <c r="AE197" s="3">
        <v>29.06</v>
      </c>
      <c r="AG197" s="3">
        <v>1.44</v>
      </c>
      <c r="AH197" s="3">
        <v>46.08</v>
      </c>
      <c r="AI197" s="8">
        <v>19.899999999999999</v>
      </c>
      <c r="AJ197" s="88">
        <v>47.415999999999997</v>
      </c>
      <c r="AK197" s="3" t="s">
        <v>58</v>
      </c>
      <c r="AL197" s="9">
        <f t="shared" si="3"/>
        <v>56.899199999999993</v>
      </c>
      <c r="AN197" t="s">
        <v>5519</v>
      </c>
      <c r="AO197" s="74" t="s">
        <v>5628</v>
      </c>
    </row>
    <row r="198" spans="1:41" ht="14.25" customHeight="1" x14ac:dyDescent="0.3">
      <c r="A198" s="3" t="s">
        <v>1207</v>
      </c>
      <c r="B198" s="3" t="s">
        <v>1231</v>
      </c>
      <c r="C198" s="3" t="s">
        <v>1209</v>
      </c>
      <c r="D198" s="3" t="s">
        <v>1232</v>
      </c>
      <c r="E198" s="3" t="s">
        <v>1211</v>
      </c>
      <c r="F198" s="3" t="s">
        <v>41</v>
      </c>
      <c r="G198" s="5" t="s">
        <v>42</v>
      </c>
      <c r="H198" s="5" t="s">
        <v>43</v>
      </c>
      <c r="I198" s="5" t="s">
        <v>44</v>
      </c>
      <c r="J198" s="3" t="s">
        <v>45</v>
      </c>
      <c r="K198" s="3" t="s">
        <v>85</v>
      </c>
      <c r="L198" s="3" t="s">
        <v>1233</v>
      </c>
      <c r="M198" s="3" t="s">
        <v>48</v>
      </c>
      <c r="N198" s="14" t="s">
        <v>1212</v>
      </c>
      <c r="O198" s="72" t="s">
        <v>586</v>
      </c>
      <c r="P198" s="3" t="s">
        <v>50</v>
      </c>
      <c r="Q198" s="3" t="s">
        <v>51</v>
      </c>
      <c r="R198" s="3">
        <v>3</v>
      </c>
      <c r="S198" s="3" t="s">
        <v>52</v>
      </c>
      <c r="T198" s="3" t="s">
        <v>53</v>
      </c>
      <c r="U198" s="3" t="s">
        <v>54</v>
      </c>
      <c r="V198" s="7"/>
      <c r="W198" s="7"/>
      <c r="X198" s="7"/>
      <c r="Y198" s="7"/>
      <c r="Z198" s="3" t="s">
        <v>55</v>
      </c>
      <c r="AA198" s="3" t="s">
        <v>88</v>
      </c>
      <c r="AB198" s="3" t="s">
        <v>57</v>
      </c>
      <c r="AD198" s="3">
        <v>23.58</v>
      </c>
      <c r="AE198" s="3">
        <v>23.58</v>
      </c>
      <c r="AG198" s="3">
        <v>1.125</v>
      </c>
      <c r="AH198" s="3">
        <v>33.75</v>
      </c>
      <c r="AI198" s="8">
        <v>20.8</v>
      </c>
      <c r="AJ198" s="88">
        <v>49.915999999999997</v>
      </c>
      <c r="AK198" s="3" t="s">
        <v>58</v>
      </c>
      <c r="AL198" s="9">
        <f t="shared" si="3"/>
        <v>59.899199999999993</v>
      </c>
      <c r="AN198" t="s">
        <v>5519</v>
      </c>
      <c r="AO198" s="74" t="s">
        <v>5628</v>
      </c>
    </row>
    <row r="199" spans="1:41" ht="14.25" customHeight="1" x14ac:dyDescent="0.3">
      <c r="A199" s="3" t="s">
        <v>1207</v>
      </c>
      <c r="B199" s="3" t="s">
        <v>1234</v>
      </c>
      <c r="C199" s="3" t="s">
        <v>1209</v>
      </c>
      <c r="D199" s="3" t="s">
        <v>1235</v>
      </c>
      <c r="E199" s="3" t="s">
        <v>1211</v>
      </c>
      <c r="F199" s="3" t="s">
        <v>41</v>
      </c>
      <c r="G199" s="5" t="s">
        <v>42</v>
      </c>
      <c r="H199" s="5" t="s">
        <v>43</v>
      </c>
      <c r="I199" s="5" t="s">
        <v>44</v>
      </c>
      <c r="J199" s="3" t="s">
        <v>45</v>
      </c>
      <c r="K199" s="3" t="s">
        <v>85</v>
      </c>
      <c r="L199" s="3" t="s">
        <v>1233</v>
      </c>
      <c r="M199" s="3" t="s">
        <v>48</v>
      </c>
      <c r="N199" s="14" t="s">
        <v>1215</v>
      </c>
      <c r="O199" s="72" t="s">
        <v>586</v>
      </c>
      <c r="P199" s="3" t="s">
        <v>50</v>
      </c>
      <c r="Q199" s="3" t="s">
        <v>51</v>
      </c>
      <c r="R199" s="3">
        <v>3</v>
      </c>
      <c r="S199" s="3" t="s">
        <v>52</v>
      </c>
      <c r="T199" s="3" t="s">
        <v>53</v>
      </c>
      <c r="U199" s="3" t="s">
        <v>54</v>
      </c>
      <c r="V199" s="7"/>
      <c r="W199" s="7"/>
      <c r="X199" s="7"/>
      <c r="Y199" s="7"/>
      <c r="Z199" s="3" t="s">
        <v>55</v>
      </c>
      <c r="AA199" s="3" t="s">
        <v>88</v>
      </c>
      <c r="AB199" s="3" t="s">
        <v>57</v>
      </c>
      <c r="AD199" s="3">
        <v>23.58</v>
      </c>
      <c r="AE199" s="3">
        <v>23.58</v>
      </c>
      <c r="AG199" s="3">
        <v>1.125</v>
      </c>
      <c r="AH199" s="3">
        <v>33.75</v>
      </c>
      <c r="AI199" s="8">
        <v>20.8</v>
      </c>
      <c r="AJ199" s="88">
        <v>49.915999999999997</v>
      </c>
      <c r="AK199" s="3" t="s">
        <v>58</v>
      </c>
      <c r="AL199" s="9">
        <f t="shared" si="3"/>
        <v>59.899199999999993</v>
      </c>
      <c r="AN199" t="s">
        <v>5519</v>
      </c>
      <c r="AO199" s="74" t="s">
        <v>5628</v>
      </c>
    </row>
    <row r="200" spans="1:41" ht="14.25" customHeight="1" x14ac:dyDescent="0.3">
      <c r="A200" s="3" t="s">
        <v>1207</v>
      </c>
      <c r="B200" s="3" t="s">
        <v>1236</v>
      </c>
      <c r="C200" s="3" t="s">
        <v>1209</v>
      </c>
      <c r="D200" s="3" t="s">
        <v>1237</v>
      </c>
      <c r="E200" s="3" t="s">
        <v>1211</v>
      </c>
      <c r="F200" s="3" t="s">
        <v>41</v>
      </c>
      <c r="G200" s="5" t="s">
        <v>42</v>
      </c>
      <c r="H200" s="5" t="s">
        <v>43</v>
      </c>
      <c r="I200" s="5" t="s">
        <v>44</v>
      </c>
      <c r="J200" s="3" t="s">
        <v>45</v>
      </c>
      <c r="K200" s="3" t="s">
        <v>85</v>
      </c>
      <c r="L200" s="3" t="s">
        <v>1233</v>
      </c>
      <c r="M200" s="3" t="s">
        <v>48</v>
      </c>
      <c r="N200" s="14" t="s">
        <v>1218</v>
      </c>
      <c r="O200" s="84" t="s">
        <v>586</v>
      </c>
      <c r="P200" s="3" t="s">
        <v>50</v>
      </c>
      <c r="Q200" s="3" t="s">
        <v>51</v>
      </c>
      <c r="R200" s="3">
        <v>3</v>
      </c>
      <c r="S200" s="3" t="s">
        <v>52</v>
      </c>
      <c r="T200" s="3" t="s">
        <v>53</v>
      </c>
      <c r="U200" s="3" t="s">
        <v>54</v>
      </c>
      <c r="V200" s="7"/>
      <c r="W200" s="7"/>
      <c r="X200" s="7"/>
      <c r="Y200" s="7"/>
      <c r="Z200" s="3" t="s">
        <v>55</v>
      </c>
      <c r="AA200" s="3" t="s">
        <v>88</v>
      </c>
      <c r="AB200" s="3" t="s">
        <v>57</v>
      </c>
      <c r="AD200" s="3">
        <v>23.58</v>
      </c>
      <c r="AE200" s="3">
        <v>23.58</v>
      </c>
      <c r="AG200" s="3">
        <v>1.125</v>
      </c>
      <c r="AH200" s="3">
        <v>33.75</v>
      </c>
      <c r="AI200" s="8">
        <v>20.8</v>
      </c>
      <c r="AJ200" s="88">
        <v>49.915999999999997</v>
      </c>
      <c r="AK200" s="3" t="s">
        <v>58</v>
      </c>
      <c r="AL200" s="9">
        <f t="shared" si="3"/>
        <v>59.899199999999993</v>
      </c>
      <c r="AN200" t="s">
        <v>5519</v>
      </c>
      <c r="AO200" s="74" t="s">
        <v>5628</v>
      </c>
    </row>
    <row r="201" spans="1:41" ht="14.25" customHeight="1" x14ac:dyDescent="0.3">
      <c r="A201" s="3" t="s">
        <v>1207</v>
      </c>
      <c r="B201" s="3" t="s">
        <v>1238</v>
      </c>
      <c r="C201" s="3" t="s">
        <v>1209</v>
      </c>
      <c r="D201" s="3" t="s">
        <v>1239</v>
      </c>
      <c r="E201" s="3" t="s">
        <v>1211</v>
      </c>
      <c r="F201" s="3" t="s">
        <v>41</v>
      </c>
      <c r="G201" s="5" t="s">
        <v>42</v>
      </c>
      <c r="H201" s="5" t="s">
        <v>43</v>
      </c>
      <c r="I201" s="5" t="s">
        <v>44</v>
      </c>
      <c r="J201" s="3" t="s">
        <v>45</v>
      </c>
      <c r="K201" s="3" t="s">
        <v>85</v>
      </c>
      <c r="L201" s="3" t="s">
        <v>1233</v>
      </c>
      <c r="M201" s="3" t="s">
        <v>48</v>
      </c>
      <c r="N201" s="14" t="s">
        <v>1221</v>
      </c>
      <c r="O201" s="84" t="s">
        <v>586</v>
      </c>
      <c r="P201" s="3" t="s">
        <v>50</v>
      </c>
      <c r="Q201" s="3" t="s">
        <v>51</v>
      </c>
      <c r="R201" s="3">
        <v>3</v>
      </c>
      <c r="S201" s="3" t="s">
        <v>52</v>
      </c>
      <c r="T201" s="3" t="s">
        <v>53</v>
      </c>
      <c r="U201" s="3" t="s">
        <v>54</v>
      </c>
      <c r="V201" s="7"/>
      <c r="W201" s="7"/>
      <c r="X201" s="7"/>
      <c r="Y201" s="7"/>
      <c r="Z201" s="3" t="s">
        <v>55</v>
      </c>
      <c r="AA201" s="3" t="s">
        <v>88</v>
      </c>
      <c r="AB201" s="3" t="s">
        <v>57</v>
      </c>
      <c r="AD201" s="3">
        <v>23.58</v>
      </c>
      <c r="AE201" s="3">
        <v>23.58</v>
      </c>
      <c r="AG201" s="3">
        <v>1.125</v>
      </c>
      <c r="AH201" s="3">
        <v>33.75</v>
      </c>
      <c r="AI201" s="8">
        <v>20.8</v>
      </c>
      <c r="AJ201" s="88">
        <v>49.915999999999997</v>
      </c>
      <c r="AK201" s="3" t="s">
        <v>58</v>
      </c>
      <c r="AL201" s="9">
        <f t="shared" si="3"/>
        <v>59.899199999999993</v>
      </c>
      <c r="AN201" t="s">
        <v>5519</v>
      </c>
      <c r="AO201" s="74" t="s">
        <v>5628</v>
      </c>
    </row>
    <row r="202" spans="1:41" ht="14.25" customHeight="1" x14ac:dyDescent="0.3">
      <c r="A202" s="3" t="s">
        <v>1207</v>
      </c>
      <c r="B202" s="3" t="s">
        <v>1240</v>
      </c>
      <c r="C202" s="3" t="s">
        <v>1209</v>
      </c>
      <c r="D202" s="3" t="s">
        <v>1241</v>
      </c>
      <c r="E202" s="3" t="s">
        <v>1211</v>
      </c>
      <c r="F202" s="3" t="s">
        <v>41</v>
      </c>
      <c r="G202" s="5" t="s">
        <v>42</v>
      </c>
      <c r="H202" s="5" t="s">
        <v>43</v>
      </c>
      <c r="I202" s="5" t="s">
        <v>44</v>
      </c>
      <c r="J202" s="3" t="s">
        <v>45</v>
      </c>
      <c r="K202" s="3" t="s">
        <v>85</v>
      </c>
      <c r="L202" s="3" t="s">
        <v>1233</v>
      </c>
      <c r="M202" s="3" t="s">
        <v>48</v>
      </c>
      <c r="N202" s="14" t="s">
        <v>1224</v>
      </c>
      <c r="O202" s="70" t="s">
        <v>3268</v>
      </c>
      <c r="P202" s="3" t="s">
        <v>50</v>
      </c>
      <c r="Q202" s="3" t="s">
        <v>51</v>
      </c>
      <c r="R202" s="3">
        <v>3</v>
      </c>
      <c r="S202" s="3" t="s">
        <v>52</v>
      </c>
      <c r="T202" s="3" t="s">
        <v>53</v>
      </c>
      <c r="U202" s="3" t="s">
        <v>54</v>
      </c>
      <c r="V202" s="7"/>
      <c r="W202" s="7"/>
      <c r="X202" s="7"/>
      <c r="Y202" s="7"/>
      <c r="Z202" s="3" t="s">
        <v>55</v>
      </c>
      <c r="AA202" s="3" t="s">
        <v>88</v>
      </c>
      <c r="AB202" s="3" t="s">
        <v>57</v>
      </c>
      <c r="AD202" s="3">
        <v>23.58</v>
      </c>
      <c r="AE202" s="3">
        <v>23.58</v>
      </c>
      <c r="AG202" s="3">
        <v>1.125</v>
      </c>
      <c r="AH202" s="3">
        <v>33.75</v>
      </c>
      <c r="AI202" s="8">
        <v>20.8</v>
      </c>
      <c r="AJ202" s="88">
        <v>49.915999999999997</v>
      </c>
      <c r="AK202" s="3" t="s">
        <v>58</v>
      </c>
      <c r="AL202" s="9">
        <f t="shared" si="3"/>
        <v>59.899199999999993</v>
      </c>
      <c r="AN202" t="s">
        <v>5519</v>
      </c>
      <c r="AO202" s="74" t="s">
        <v>5628</v>
      </c>
    </row>
    <row r="203" spans="1:41" ht="14.25" customHeight="1" x14ac:dyDescent="0.3">
      <c r="A203" s="3" t="s">
        <v>1207</v>
      </c>
      <c r="B203" s="3" t="s">
        <v>1242</v>
      </c>
      <c r="C203" s="3" t="s">
        <v>1209</v>
      </c>
      <c r="D203" s="3" t="s">
        <v>1243</v>
      </c>
      <c r="E203" s="3" t="s">
        <v>1211</v>
      </c>
      <c r="F203" s="3" t="s">
        <v>41</v>
      </c>
      <c r="G203" s="5" t="s">
        <v>42</v>
      </c>
      <c r="H203" s="5" t="s">
        <v>43</v>
      </c>
      <c r="I203" s="5" t="s">
        <v>44</v>
      </c>
      <c r="J203" s="3" t="s">
        <v>45</v>
      </c>
      <c r="K203" s="3" t="s">
        <v>85</v>
      </c>
      <c r="L203" s="3" t="s">
        <v>1233</v>
      </c>
      <c r="M203" s="3" t="s">
        <v>48</v>
      </c>
      <c r="N203" s="14" t="s">
        <v>1227</v>
      </c>
      <c r="O203" s="70" t="s">
        <v>3268</v>
      </c>
      <c r="P203" s="3" t="s">
        <v>50</v>
      </c>
      <c r="Q203" s="3" t="s">
        <v>51</v>
      </c>
      <c r="R203" s="3">
        <v>3</v>
      </c>
      <c r="S203" s="3" t="s">
        <v>52</v>
      </c>
      <c r="T203" s="3" t="s">
        <v>53</v>
      </c>
      <c r="U203" s="3" t="s">
        <v>54</v>
      </c>
      <c r="V203" s="7"/>
      <c r="W203" s="7"/>
      <c r="X203" s="7"/>
      <c r="Y203" s="7"/>
      <c r="Z203" s="3" t="s">
        <v>55</v>
      </c>
      <c r="AA203" s="3" t="s">
        <v>88</v>
      </c>
      <c r="AB203" s="3" t="s">
        <v>57</v>
      </c>
      <c r="AD203" s="3">
        <v>23.58</v>
      </c>
      <c r="AE203" s="3">
        <v>23.58</v>
      </c>
      <c r="AG203" s="3">
        <v>1.125</v>
      </c>
      <c r="AH203" s="3">
        <v>33.75</v>
      </c>
      <c r="AI203" s="8">
        <v>20.8</v>
      </c>
      <c r="AJ203" s="88">
        <v>49.915999999999997</v>
      </c>
      <c r="AK203" s="3" t="s">
        <v>58</v>
      </c>
      <c r="AL203" s="9">
        <f t="shared" si="3"/>
        <v>59.899199999999993</v>
      </c>
      <c r="AN203" t="s">
        <v>5519</v>
      </c>
      <c r="AO203" s="74" t="s">
        <v>5628</v>
      </c>
    </row>
    <row r="204" spans="1:41" ht="14.25" customHeight="1" x14ac:dyDescent="0.3">
      <c r="A204" s="3" t="s">
        <v>1207</v>
      </c>
      <c r="B204" s="3" t="s">
        <v>1244</v>
      </c>
      <c r="C204" s="3" t="s">
        <v>1209</v>
      </c>
      <c r="D204" s="3" t="s">
        <v>1245</v>
      </c>
      <c r="E204" s="3" t="s">
        <v>1211</v>
      </c>
      <c r="F204" s="3" t="s">
        <v>41</v>
      </c>
      <c r="G204" s="5" t="s">
        <v>42</v>
      </c>
      <c r="H204" s="5" t="s">
        <v>43</v>
      </c>
      <c r="I204" s="5" t="s">
        <v>44</v>
      </c>
      <c r="J204" s="3" t="s">
        <v>45</v>
      </c>
      <c r="K204" s="3" t="s">
        <v>85</v>
      </c>
      <c r="L204" s="3" t="s">
        <v>1233</v>
      </c>
      <c r="M204" s="3" t="s">
        <v>48</v>
      </c>
      <c r="N204" s="14" t="s">
        <v>1230</v>
      </c>
      <c r="O204" s="70" t="s">
        <v>3268</v>
      </c>
      <c r="P204" s="3" t="s">
        <v>50</v>
      </c>
      <c r="Q204" s="3" t="s">
        <v>51</v>
      </c>
      <c r="R204" s="3">
        <v>3</v>
      </c>
      <c r="S204" s="3" t="s">
        <v>52</v>
      </c>
      <c r="T204" s="3" t="s">
        <v>53</v>
      </c>
      <c r="U204" s="3" t="s">
        <v>54</v>
      </c>
      <c r="V204" s="7"/>
      <c r="W204" s="7"/>
      <c r="X204" s="7"/>
      <c r="Y204" s="7"/>
      <c r="Z204" s="3" t="s">
        <v>55</v>
      </c>
      <c r="AA204" s="3" t="s">
        <v>88</v>
      </c>
      <c r="AB204" s="3" t="s">
        <v>57</v>
      </c>
      <c r="AD204" s="3">
        <v>23.58</v>
      </c>
      <c r="AE204" s="3">
        <v>23.58</v>
      </c>
      <c r="AG204" s="3">
        <v>1.125</v>
      </c>
      <c r="AH204" s="3">
        <v>33.75</v>
      </c>
      <c r="AI204" s="8">
        <v>20.8</v>
      </c>
      <c r="AJ204" s="88">
        <v>49.915999999999997</v>
      </c>
      <c r="AK204" s="3" t="s">
        <v>58</v>
      </c>
      <c r="AL204" s="9">
        <f t="shared" si="3"/>
        <v>59.899199999999993</v>
      </c>
      <c r="AN204" t="s">
        <v>5519</v>
      </c>
      <c r="AO204" s="74" t="s">
        <v>5628</v>
      </c>
    </row>
    <row r="205" spans="1:41" ht="14.25" customHeight="1" x14ac:dyDescent="0.3">
      <c r="A205" s="3" t="s">
        <v>1679</v>
      </c>
      <c r="B205" s="3" t="s">
        <v>1680</v>
      </c>
      <c r="C205" s="3" t="s">
        <v>1681</v>
      </c>
      <c r="D205" s="3" t="s">
        <v>1682</v>
      </c>
      <c r="E205" s="3" t="s">
        <v>1683</v>
      </c>
      <c r="F205" s="3" t="s">
        <v>41</v>
      </c>
      <c r="G205" s="5" t="s">
        <v>42</v>
      </c>
      <c r="H205" s="5" t="s">
        <v>43</v>
      </c>
      <c r="I205" s="5" t="s">
        <v>44</v>
      </c>
      <c r="J205" s="3" t="s">
        <v>45</v>
      </c>
      <c r="K205" s="3" t="s">
        <v>85</v>
      </c>
      <c r="L205" s="3" t="s">
        <v>157</v>
      </c>
      <c r="M205" s="3" t="s">
        <v>48</v>
      </c>
      <c r="N205" s="4" t="s">
        <v>97</v>
      </c>
      <c r="O205" s="70" t="s">
        <v>3268</v>
      </c>
      <c r="P205" s="3" t="s">
        <v>50</v>
      </c>
      <c r="Q205" s="3" t="s">
        <v>51</v>
      </c>
      <c r="R205" s="3">
        <v>5</v>
      </c>
      <c r="S205" s="3" t="s">
        <v>52</v>
      </c>
      <c r="T205" s="3" t="s">
        <v>53</v>
      </c>
      <c r="U205" s="3" t="s">
        <v>54</v>
      </c>
      <c r="V205" s="7"/>
      <c r="W205" s="7"/>
      <c r="X205" s="7"/>
      <c r="Y205" s="7"/>
      <c r="Z205" s="3" t="s">
        <v>55</v>
      </c>
      <c r="AA205" s="3" t="s">
        <v>56</v>
      </c>
      <c r="AB205" s="3" t="s">
        <v>57</v>
      </c>
      <c r="AD205" s="3">
        <v>19.536999999999999</v>
      </c>
      <c r="AE205" s="3">
        <v>19.907</v>
      </c>
      <c r="AG205" s="3">
        <v>1.2</v>
      </c>
      <c r="AH205" s="3">
        <v>54</v>
      </c>
      <c r="AI205" s="8">
        <v>11.87</v>
      </c>
      <c r="AJ205" s="88">
        <v>30.75</v>
      </c>
      <c r="AK205" s="3" t="s">
        <v>58</v>
      </c>
      <c r="AL205" s="9">
        <f t="shared" si="3"/>
        <v>36.9</v>
      </c>
      <c r="AN205" t="s">
        <v>5519</v>
      </c>
      <c r="AO205" s="74" t="s">
        <v>5635</v>
      </c>
    </row>
    <row r="206" spans="1:41" ht="14.25" customHeight="1" x14ac:dyDescent="0.3">
      <c r="A206" s="3" t="s">
        <v>1679</v>
      </c>
      <c r="B206" s="3" t="s">
        <v>1684</v>
      </c>
      <c r="C206" s="3" t="s">
        <v>1681</v>
      </c>
      <c r="D206" s="3" t="s">
        <v>1685</v>
      </c>
      <c r="E206" s="3" t="s">
        <v>1683</v>
      </c>
      <c r="F206" s="3" t="s">
        <v>41</v>
      </c>
      <c r="G206" s="5" t="s">
        <v>42</v>
      </c>
      <c r="H206" s="5" t="s">
        <v>43</v>
      </c>
      <c r="I206" s="5" t="s">
        <v>44</v>
      </c>
      <c r="J206" s="3" t="s">
        <v>45</v>
      </c>
      <c r="K206" s="3" t="s">
        <v>85</v>
      </c>
      <c r="L206" s="3" t="s">
        <v>157</v>
      </c>
      <c r="M206" s="3" t="s">
        <v>48</v>
      </c>
      <c r="N206" s="4" t="s">
        <v>94</v>
      </c>
      <c r="O206" s="68" t="s">
        <v>586</v>
      </c>
      <c r="P206" s="3" t="s">
        <v>50</v>
      </c>
      <c r="Q206" s="3" t="s">
        <v>51</v>
      </c>
      <c r="R206" s="3">
        <v>5</v>
      </c>
      <c r="S206" s="3" t="s">
        <v>52</v>
      </c>
      <c r="T206" s="3" t="s">
        <v>53</v>
      </c>
      <c r="U206" s="3" t="s">
        <v>54</v>
      </c>
      <c r="V206" s="7"/>
      <c r="W206" s="7"/>
      <c r="X206" s="7"/>
      <c r="Y206" s="7"/>
      <c r="Z206" s="3" t="s">
        <v>55</v>
      </c>
      <c r="AA206" s="3" t="s">
        <v>56</v>
      </c>
      <c r="AB206" s="3" t="s">
        <v>57</v>
      </c>
      <c r="AD206" s="3">
        <v>19.536999999999999</v>
      </c>
      <c r="AE206" s="3">
        <v>19.907</v>
      </c>
      <c r="AG206" s="3">
        <v>1.2</v>
      </c>
      <c r="AH206" s="3">
        <v>54</v>
      </c>
      <c r="AI206" s="8">
        <v>11.87</v>
      </c>
      <c r="AJ206" s="88">
        <v>30.75</v>
      </c>
      <c r="AK206" s="3" t="s">
        <v>58</v>
      </c>
      <c r="AL206" s="9">
        <f t="shared" si="3"/>
        <v>36.9</v>
      </c>
      <c r="AN206" t="s">
        <v>5519</v>
      </c>
      <c r="AO206" s="74" t="s">
        <v>5635</v>
      </c>
    </row>
    <row r="207" spans="1:41" ht="14.25" customHeight="1" x14ac:dyDescent="0.3">
      <c r="A207" s="3" t="s">
        <v>1679</v>
      </c>
      <c r="B207" s="3" t="s">
        <v>1686</v>
      </c>
      <c r="C207" s="3" t="s">
        <v>1681</v>
      </c>
      <c r="D207" s="3" t="s">
        <v>1687</v>
      </c>
      <c r="E207" s="3" t="s">
        <v>1683</v>
      </c>
      <c r="F207" s="3" t="s">
        <v>41</v>
      </c>
      <c r="G207" s="5" t="s">
        <v>42</v>
      </c>
      <c r="H207" s="5" t="s">
        <v>43</v>
      </c>
      <c r="I207" s="5" t="s">
        <v>44</v>
      </c>
      <c r="J207" s="3" t="s">
        <v>45</v>
      </c>
      <c r="K207" s="3" t="s">
        <v>85</v>
      </c>
      <c r="L207" s="3" t="s">
        <v>157</v>
      </c>
      <c r="M207" s="3" t="s">
        <v>48</v>
      </c>
      <c r="N207" s="4" t="s">
        <v>427</v>
      </c>
      <c r="O207" s="69" t="s">
        <v>3268</v>
      </c>
      <c r="P207" s="3" t="s">
        <v>50</v>
      </c>
      <c r="Q207" s="3" t="s">
        <v>51</v>
      </c>
      <c r="R207" s="3">
        <v>5</v>
      </c>
      <c r="S207" s="3" t="s">
        <v>52</v>
      </c>
      <c r="T207" s="3" t="s">
        <v>53</v>
      </c>
      <c r="U207" s="3" t="s">
        <v>54</v>
      </c>
      <c r="V207" s="7"/>
      <c r="W207" s="7"/>
      <c r="X207" s="7"/>
      <c r="Y207" s="7"/>
      <c r="Z207" s="3" t="s">
        <v>55</v>
      </c>
      <c r="AA207" s="3" t="s">
        <v>56</v>
      </c>
      <c r="AB207" s="3" t="s">
        <v>57</v>
      </c>
      <c r="AD207" s="3">
        <v>19.536999999999999</v>
      </c>
      <c r="AE207" s="3">
        <v>19.907</v>
      </c>
      <c r="AG207" s="3">
        <v>1.2</v>
      </c>
      <c r="AH207" s="3">
        <v>54</v>
      </c>
      <c r="AI207" s="8">
        <v>11.87</v>
      </c>
      <c r="AJ207" s="88">
        <v>30.75</v>
      </c>
      <c r="AK207" s="3" t="s">
        <v>58</v>
      </c>
      <c r="AL207" s="9">
        <f t="shared" si="3"/>
        <v>36.9</v>
      </c>
      <c r="AN207" t="s">
        <v>5519</v>
      </c>
      <c r="AO207" s="74" t="s">
        <v>5635</v>
      </c>
    </row>
    <row r="208" spans="1:41" ht="14.25" customHeight="1" x14ac:dyDescent="0.3">
      <c r="A208" s="3" t="s">
        <v>1679</v>
      </c>
      <c r="B208" s="3" t="s">
        <v>1688</v>
      </c>
      <c r="C208" s="3" t="s">
        <v>1681</v>
      </c>
      <c r="D208" s="3" t="s">
        <v>1689</v>
      </c>
      <c r="E208" s="3" t="s">
        <v>1683</v>
      </c>
      <c r="F208" s="3" t="s">
        <v>41</v>
      </c>
      <c r="G208" s="5" t="s">
        <v>42</v>
      </c>
      <c r="H208" s="5" t="s">
        <v>43</v>
      </c>
      <c r="I208" s="5" t="s">
        <v>44</v>
      </c>
      <c r="J208" s="3" t="s">
        <v>45</v>
      </c>
      <c r="K208" s="3" t="s">
        <v>85</v>
      </c>
      <c r="L208" s="3" t="s">
        <v>157</v>
      </c>
      <c r="M208" s="3" t="s">
        <v>48</v>
      </c>
      <c r="N208" s="4" t="s">
        <v>61</v>
      </c>
      <c r="O208" s="67" t="s">
        <v>61</v>
      </c>
      <c r="P208" s="3" t="s">
        <v>50</v>
      </c>
      <c r="Q208" s="3" t="s">
        <v>51</v>
      </c>
      <c r="R208" s="3">
        <v>5</v>
      </c>
      <c r="S208" s="3" t="s">
        <v>52</v>
      </c>
      <c r="T208" s="3" t="s">
        <v>53</v>
      </c>
      <c r="U208" s="3" t="s">
        <v>54</v>
      </c>
      <c r="V208" s="7"/>
      <c r="W208" s="7"/>
      <c r="X208" s="7"/>
      <c r="Y208" s="7"/>
      <c r="Z208" s="3" t="s">
        <v>55</v>
      </c>
      <c r="AA208" s="3" t="s">
        <v>56</v>
      </c>
      <c r="AB208" s="3" t="s">
        <v>57</v>
      </c>
      <c r="AD208" s="3">
        <v>19.536999999999999</v>
      </c>
      <c r="AE208" s="3">
        <v>19.907</v>
      </c>
      <c r="AG208" s="3">
        <v>1.2</v>
      </c>
      <c r="AH208" s="3">
        <v>54</v>
      </c>
      <c r="AI208" s="8">
        <v>11.87</v>
      </c>
      <c r="AJ208" s="88">
        <v>30.75</v>
      </c>
      <c r="AK208" s="3" t="s">
        <v>58</v>
      </c>
      <c r="AL208" s="9">
        <f t="shared" si="3"/>
        <v>36.9</v>
      </c>
      <c r="AN208" t="s">
        <v>5519</v>
      </c>
      <c r="AO208" s="74" t="s">
        <v>5635</v>
      </c>
    </row>
    <row r="209" spans="1:41" ht="14.25" customHeight="1" x14ac:dyDescent="0.3">
      <c r="A209" s="3" t="s">
        <v>1679</v>
      </c>
      <c r="B209" s="3" t="s">
        <v>1690</v>
      </c>
      <c r="C209" s="3" t="s">
        <v>1681</v>
      </c>
      <c r="D209" s="3" t="s">
        <v>1691</v>
      </c>
      <c r="E209" s="3" t="s">
        <v>1683</v>
      </c>
      <c r="F209" s="3" t="s">
        <v>41</v>
      </c>
      <c r="G209" s="5" t="s">
        <v>42</v>
      </c>
      <c r="H209" s="5" t="s">
        <v>43</v>
      </c>
      <c r="I209" s="5" t="s">
        <v>44</v>
      </c>
      <c r="J209" s="3" t="s">
        <v>45</v>
      </c>
      <c r="K209" s="3" t="s">
        <v>85</v>
      </c>
      <c r="L209" s="3" t="s">
        <v>1008</v>
      </c>
      <c r="M209" s="3" t="s">
        <v>48</v>
      </c>
      <c r="N209" s="4" t="s">
        <v>94</v>
      </c>
      <c r="O209" s="67" t="s">
        <v>586</v>
      </c>
      <c r="P209" s="3" t="s">
        <v>50</v>
      </c>
      <c r="Q209" s="3" t="s">
        <v>51</v>
      </c>
      <c r="R209" s="3">
        <v>4</v>
      </c>
      <c r="S209" s="3" t="s">
        <v>52</v>
      </c>
      <c r="T209" s="3" t="s">
        <v>53</v>
      </c>
      <c r="U209" s="3" t="s">
        <v>54</v>
      </c>
      <c r="V209" s="7"/>
      <c r="W209" s="7"/>
      <c r="X209" s="7"/>
      <c r="Y209" s="7"/>
      <c r="Z209" s="3" t="s">
        <v>55</v>
      </c>
      <c r="AA209" s="3" t="s">
        <v>56</v>
      </c>
      <c r="AB209" s="3" t="s">
        <v>57</v>
      </c>
      <c r="AD209" s="3">
        <v>19.483000000000001</v>
      </c>
      <c r="AE209" s="3">
        <v>19.869</v>
      </c>
      <c r="AG209" s="3">
        <v>1.44</v>
      </c>
      <c r="AH209" s="3">
        <v>51.84</v>
      </c>
      <c r="AI209" s="8">
        <v>12.69</v>
      </c>
      <c r="AJ209" s="88">
        <v>33.25</v>
      </c>
      <c r="AK209" s="3" t="s">
        <v>58</v>
      </c>
      <c r="AL209" s="9">
        <f t="shared" si="3"/>
        <v>39.9</v>
      </c>
      <c r="AN209" t="s">
        <v>5519</v>
      </c>
      <c r="AO209" s="74" t="s">
        <v>5635</v>
      </c>
    </row>
    <row r="210" spans="1:41" ht="14.25" customHeight="1" x14ac:dyDescent="0.3">
      <c r="A210" s="3" t="s">
        <v>1679</v>
      </c>
      <c r="B210" s="3" t="s">
        <v>1692</v>
      </c>
      <c r="C210" s="3" t="s">
        <v>1681</v>
      </c>
      <c r="D210" s="3" t="s">
        <v>1693</v>
      </c>
      <c r="E210" s="3" t="s">
        <v>1683</v>
      </c>
      <c r="F210" s="3" t="s">
        <v>41</v>
      </c>
      <c r="G210" s="5" t="s">
        <v>42</v>
      </c>
      <c r="H210" s="5" t="s">
        <v>43</v>
      </c>
      <c r="I210" s="5" t="s">
        <v>44</v>
      </c>
      <c r="J210" s="3" t="s">
        <v>45</v>
      </c>
      <c r="K210" s="3" t="s">
        <v>85</v>
      </c>
      <c r="L210" s="3" t="s">
        <v>1008</v>
      </c>
      <c r="M210" s="3" t="s">
        <v>48</v>
      </c>
      <c r="N210" s="4" t="s">
        <v>61</v>
      </c>
      <c r="O210" s="68" t="s">
        <v>61</v>
      </c>
      <c r="P210" s="3" t="s">
        <v>50</v>
      </c>
      <c r="Q210" s="3" t="s">
        <v>51</v>
      </c>
      <c r="R210" s="3">
        <v>4</v>
      </c>
      <c r="S210" s="3" t="s">
        <v>52</v>
      </c>
      <c r="T210" s="3" t="s">
        <v>53</v>
      </c>
      <c r="U210" s="3" t="s">
        <v>54</v>
      </c>
      <c r="V210" s="7"/>
      <c r="W210" s="7"/>
      <c r="X210" s="7"/>
      <c r="Y210" s="7"/>
      <c r="Z210" s="3" t="s">
        <v>55</v>
      </c>
      <c r="AA210" s="3" t="s">
        <v>56</v>
      </c>
      <c r="AB210" s="3" t="s">
        <v>57</v>
      </c>
      <c r="AD210" s="3">
        <v>19.483000000000001</v>
      </c>
      <c r="AE210" s="3">
        <v>19.869</v>
      </c>
      <c r="AG210" s="3">
        <v>1.44</v>
      </c>
      <c r="AH210" s="3">
        <v>51.84</v>
      </c>
      <c r="AI210" s="8">
        <v>12.69</v>
      </c>
      <c r="AJ210" s="88">
        <v>33.25</v>
      </c>
      <c r="AK210" s="3" t="s">
        <v>58</v>
      </c>
      <c r="AL210" s="9">
        <f t="shared" si="3"/>
        <v>39.9</v>
      </c>
      <c r="AN210" t="s">
        <v>5519</v>
      </c>
      <c r="AO210" s="74" t="s">
        <v>5635</v>
      </c>
    </row>
    <row r="211" spans="1:41" ht="14.25" customHeight="1" x14ac:dyDescent="0.3">
      <c r="A211" s="3" t="s">
        <v>1679</v>
      </c>
      <c r="B211" s="3" t="s">
        <v>1694</v>
      </c>
      <c r="C211" s="3" t="s">
        <v>1681</v>
      </c>
      <c r="D211" s="3" t="s">
        <v>1695</v>
      </c>
      <c r="E211" s="3" t="s">
        <v>1683</v>
      </c>
      <c r="F211" s="3" t="s">
        <v>41</v>
      </c>
      <c r="G211" s="5" t="s">
        <v>42</v>
      </c>
      <c r="H211" s="5" t="s">
        <v>43</v>
      </c>
      <c r="I211" s="5" t="s">
        <v>44</v>
      </c>
      <c r="J211" s="3" t="s">
        <v>45</v>
      </c>
      <c r="K211" s="3" t="s">
        <v>85</v>
      </c>
      <c r="L211" s="3" t="s">
        <v>1008</v>
      </c>
      <c r="M211" s="3" t="s">
        <v>48</v>
      </c>
      <c r="N211" s="4" t="s">
        <v>97</v>
      </c>
      <c r="O211" s="70" t="s">
        <v>3268</v>
      </c>
      <c r="P211" s="3" t="s">
        <v>50</v>
      </c>
      <c r="Q211" s="3" t="s">
        <v>51</v>
      </c>
      <c r="R211" s="3">
        <v>4</v>
      </c>
      <c r="S211" s="3" t="s">
        <v>52</v>
      </c>
      <c r="T211" s="3" t="s">
        <v>53</v>
      </c>
      <c r="U211" s="3" t="s">
        <v>54</v>
      </c>
      <c r="V211" s="7"/>
      <c r="W211" s="7"/>
      <c r="X211" s="7"/>
      <c r="Y211" s="7"/>
      <c r="Z211" s="3" t="s">
        <v>55</v>
      </c>
      <c r="AA211" s="3" t="s">
        <v>56</v>
      </c>
      <c r="AB211" s="3" t="s">
        <v>57</v>
      </c>
      <c r="AD211" s="3">
        <v>19.483000000000001</v>
      </c>
      <c r="AE211" s="3">
        <v>19.869</v>
      </c>
      <c r="AG211" s="3">
        <v>1.44</v>
      </c>
      <c r="AH211" s="3">
        <v>51.84</v>
      </c>
      <c r="AI211" s="8">
        <v>12.69</v>
      </c>
      <c r="AJ211" s="88">
        <v>33.25</v>
      </c>
      <c r="AK211" s="3" t="s">
        <v>58</v>
      </c>
      <c r="AL211" s="9">
        <f t="shared" si="3"/>
        <v>39.9</v>
      </c>
      <c r="AN211" t="s">
        <v>5519</v>
      </c>
      <c r="AO211" s="74" t="s">
        <v>5635</v>
      </c>
    </row>
    <row r="212" spans="1:41" ht="14.25" customHeight="1" x14ac:dyDescent="0.3">
      <c r="A212" s="3" t="s">
        <v>1679</v>
      </c>
      <c r="B212" s="3" t="s">
        <v>1696</v>
      </c>
      <c r="C212" s="3" t="s">
        <v>1681</v>
      </c>
      <c r="D212" s="3" t="s">
        <v>1697</v>
      </c>
      <c r="E212" s="3" t="s">
        <v>1683</v>
      </c>
      <c r="F212" s="3" t="s">
        <v>41</v>
      </c>
      <c r="G212" s="5" t="s">
        <v>42</v>
      </c>
      <c r="H212" s="5" t="s">
        <v>43</v>
      </c>
      <c r="I212" s="5" t="s">
        <v>44</v>
      </c>
      <c r="J212" s="3" t="s">
        <v>45</v>
      </c>
      <c r="K212" s="3" t="s">
        <v>85</v>
      </c>
      <c r="L212" s="3" t="s">
        <v>1008</v>
      </c>
      <c r="M212" s="3" t="s">
        <v>48</v>
      </c>
      <c r="N212" s="4" t="s">
        <v>427</v>
      </c>
      <c r="O212" s="70" t="s">
        <v>3268</v>
      </c>
      <c r="P212" s="3" t="s">
        <v>50</v>
      </c>
      <c r="Q212" s="3" t="s">
        <v>51</v>
      </c>
      <c r="R212" s="3">
        <v>4</v>
      </c>
      <c r="S212" s="3" t="s">
        <v>52</v>
      </c>
      <c r="T212" s="3" t="s">
        <v>53</v>
      </c>
      <c r="U212" s="3" t="s">
        <v>54</v>
      </c>
      <c r="V212" s="7"/>
      <c r="W212" s="7"/>
      <c r="X212" s="7"/>
      <c r="Y212" s="7"/>
      <c r="Z212" s="3" t="s">
        <v>55</v>
      </c>
      <c r="AA212" s="3" t="s">
        <v>56</v>
      </c>
      <c r="AB212" s="3" t="s">
        <v>57</v>
      </c>
      <c r="AD212" s="3">
        <v>19.483000000000001</v>
      </c>
      <c r="AE212" s="3">
        <v>19.869</v>
      </c>
      <c r="AG212" s="3">
        <v>1.44</v>
      </c>
      <c r="AH212" s="3">
        <v>51.84</v>
      </c>
      <c r="AI212" s="8">
        <v>12.69</v>
      </c>
      <c r="AJ212" s="88">
        <v>33.25</v>
      </c>
      <c r="AK212" s="3" t="s">
        <v>58</v>
      </c>
      <c r="AL212" s="9">
        <f t="shared" si="3"/>
        <v>39.9</v>
      </c>
      <c r="AN212" t="s">
        <v>5519</v>
      </c>
      <c r="AO212" s="74" t="s">
        <v>5635</v>
      </c>
    </row>
    <row r="213" spans="1:41" ht="14.25" customHeight="1" x14ac:dyDescent="0.3">
      <c r="A213" s="3" t="s">
        <v>347</v>
      </c>
      <c r="B213" s="3" t="s">
        <v>353</v>
      </c>
      <c r="C213" s="3" t="s">
        <v>339</v>
      </c>
      <c r="D213" s="3" t="s">
        <v>354</v>
      </c>
      <c r="E213" s="3" t="s">
        <v>346</v>
      </c>
      <c r="F213" s="3" t="s">
        <v>41</v>
      </c>
      <c r="G213" s="5" t="s">
        <v>42</v>
      </c>
      <c r="H213" s="5" t="s">
        <v>43</v>
      </c>
      <c r="I213" s="5" t="s">
        <v>44</v>
      </c>
      <c r="J213" s="3" t="s">
        <v>45</v>
      </c>
      <c r="K213" s="3" t="s">
        <v>146</v>
      </c>
      <c r="L213" s="3" t="s">
        <v>47</v>
      </c>
      <c r="M213" s="3" t="s">
        <v>48</v>
      </c>
      <c r="N213" s="3" t="s">
        <v>350</v>
      </c>
      <c r="O213" s="70" t="s">
        <v>454</v>
      </c>
      <c r="P213" s="3" t="s">
        <v>50</v>
      </c>
      <c r="Q213" s="3" t="s">
        <v>51</v>
      </c>
      <c r="R213" s="3">
        <v>2</v>
      </c>
      <c r="S213" s="3" t="s">
        <v>52</v>
      </c>
      <c r="T213" s="3" t="s">
        <v>53</v>
      </c>
      <c r="U213" s="3" t="s">
        <v>148</v>
      </c>
      <c r="V213" s="7"/>
      <c r="W213" s="7"/>
      <c r="X213" s="7"/>
      <c r="Y213" s="7"/>
      <c r="Z213" s="3" t="s">
        <v>55</v>
      </c>
      <c r="AA213" s="3" t="s">
        <v>88</v>
      </c>
      <c r="AB213" s="3" t="s">
        <v>57</v>
      </c>
      <c r="AD213" s="3">
        <v>14.89</v>
      </c>
      <c r="AE213" s="3">
        <v>14.89</v>
      </c>
      <c r="AG213" s="3">
        <v>1.44</v>
      </c>
      <c r="AH213" s="12">
        <v>50.4</v>
      </c>
      <c r="AI213" s="3">
        <v>27.5</v>
      </c>
      <c r="AJ213" s="88">
        <v>58.25</v>
      </c>
      <c r="AK213" s="3" t="s">
        <v>58</v>
      </c>
      <c r="AL213" s="9">
        <f t="shared" si="3"/>
        <v>69.899999999999991</v>
      </c>
      <c r="AN213" t="s">
        <v>5519</v>
      </c>
      <c r="AO213" s="74" t="s">
        <v>5629</v>
      </c>
    </row>
    <row r="214" spans="1:41" ht="14.25" customHeight="1" x14ac:dyDescent="0.3">
      <c r="A214" s="3" t="s">
        <v>347</v>
      </c>
      <c r="B214" s="3" t="s">
        <v>348</v>
      </c>
      <c r="C214" s="3" t="s">
        <v>339</v>
      </c>
      <c r="D214" s="3" t="s">
        <v>349</v>
      </c>
      <c r="E214" s="3" t="s">
        <v>346</v>
      </c>
      <c r="F214" s="3" t="s">
        <v>41</v>
      </c>
      <c r="G214" s="5" t="s">
        <v>42</v>
      </c>
      <c r="H214" s="5" t="s">
        <v>43</v>
      </c>
      <c r="I214" s="5" t="s">
        <v>44</v>
      </c>
      <c r="J214" s="3" t="s">
        <v>45</v>
      </c>
      <c r="K214" s="3" t="s">
        <v>146</v>
      </c>
      <c r="L214" s="3" t="s">
        <v>132</v>
      </c>
      <c r="M214" s="3" t="s">
        <v>48</v>
      </c>
      <c r="N214" s="3" t="s">
        <v>350</v>
      </c>
      <c r="O214" s="70" t="s">
        <v>454</v>
      </c>
      <c r="P214" s="3" t="s">
        <v>50</v>
      </c>
      <c r="Q214" s="3" t="s">
        <v>68</v>
      </c>
      <c r="R214" s="3">
        <v>2</v>
      </c>
      <c r="S214" s="3" t="s">
        <v>52</v>
      </c>
      <c r="T214" s="3" t="s">
        <v>53</v>
      </c>
      <c r="U214" s="3" t="s">
        <v>148</v>
      </c>
      <c r="V214" s="7"/>
      <c r="W214" s="7"/>
      <c r="X214" s="7"/>
      <c r="Y214" s="7"/>
      <c r="Z214" s="3" t="s">
        <v>55</v>
      </c>
      <c r="AA214" s="3" t="s">
        <v>88</v>
      </c>
      <c r="AB214" s="3" t="s">
        <v>57</v>
      </c>
      <c r="AD214" s="3">
        <v>30.77</v>
      </c>
      <c r="AE214" s="3">
        <v>30.77</v>
      </c>
      <c r="AG214" s="3">
        <v>2.88</v>
      </c>
      <c r="AH214" s="12">
        <v>57.6</v>
      </c>
      <c r="AI214" s="3">
        <v>31.5</v>
      </c>
      <c r="AJ214" s="88">
        <v>70.75</v>
      </c>
      <c r="AK214" s="3" t="s">
        <v>58</v>
      </c>
      <c r="AL214" s="9">
        <f t="shared" si="3"/>
        <v>84.899999999999991</v>
      </c>
      <c r="AN214" t="s">
        <v>5519</v>
      </c>
      <c r="AO214" s="74" t="s">
        <v>5629</v>
      </c>
    </row>
    <row r="215" spans="1:41" ht="14.25" customHeight="1" x14ac:dyDescent="0.3">
      <c r="A215" s="3" t="s">
        <v>337</v>
      </c>
      <c r="B215" s="3" t="s">
        <v>355</v>
      </c>
      <c r="C215" s="3" t="s">
        <v>339</v>
      </c>
      <c r="D215" s="3" t="s">
        <v>356</v>
      </c>
      <c r="E215" s="3" t="s">
        <v>341</v>
      </c>
      <c r="F215" s="3" t="s">
        <v>41</v>
      </c>
      <c r="G215" s="5" t="s">
        <v>42</v>
      </c>
      <c r="H215" s="5" t="s">
        <v>43</v>
      </c>
      <c r="I215" s="5" t="s">
        <v>44</v>
      </c>
      <c r="J215" s="3" t="s">
        <v>45</v>
      </c>
      <c r="K215" s="3" t="s">
        <v>146</v>
      </c>
      <c r="L215" s="3" t="s">
        <v>47</v>
      </c>
      <c r="M215" s="3" t="s">
        <v>48</v>
      </c>
      <c r="N215" s="3" t="s">
        <v>342</v>
      </c>
      <c r="O215" s="69" t="s">
        <v>586</v>
      </c>
      <c r="P215" s="3" t="s">
        <v>50</v>
      </c>
      <c r="Q215" s="3" t="s">
        <v>51</v>
      </c>
      <c r="R215" s="3">
        <v>2</v>
      </c>
      <c r="S215" s="3" t="s">
        <v>52</v>
      </c>
      <c r="T215" s="3" t="s">
        <v>53</v>
      </c>
      <c r="U215" s="3" t="s">
        <v>148</v>
      </c>
      <c r="V215" s="7"/>
      <c r="W215" s="7"/>
      <c r="X215" s="7"/>
      <c r="Y215" s="7"/>
      <c r="Z215" s="3" t="s">
        <v>55</v>
      </c>
      <c r="AA215" s="3" t="s">
        <v>88</v>
      </c>
      <c r="AB215" s="3" t="s">
        <v>57</v>
      </c>
      <c r="AD215" s="3">
        <v>15</v>
      </c>
      <c r="AE215" s="3">
        <v>15</v>
      </c>
      <c r="AG215" s="3">
        <v>1.44</v>
      </c>
      <c r="AH215" s="12">
        <v>50.4</v>
      </c>
      <c r="AI215" s="3">
        <v>27.5</v>
      </c>
      <c r="AJ215" s="88">
        <v>58.25</v>
      </c>
      <c r="AK215" s="3" t="s">
        <v>58</v>
      </c>
      <c r="AL215" s="9">
        <f t="shared" si="3"/>
        <v>69.899999999999991</v>
      </c>
      <c r="AN215" t="s">
        <v>5519</v>
      </c>
      <c r="AO215" s="74" t="s">
        <v>5629</v>
      </c>
    </row>
    <row r="216" spans="1:41" ht="14.25" customHeight="1" x14ac:dyDescent="0.3">
      <c r="A216" s="3" t="s">
        <v>337</v>
      </c>
      <c r="B216" s="3" t="s">
        <v>338</v>
      </c>
      <c r="C216" s="3" t="s">
        <v>339</v>
      </c>
      <c r="D216" s="3" t="s">
        <v>340</v>
      </c>
      <c r="E216" s="3" t="s">
        <v>341</v>
      </c>
      <c r="F216" s="3" t="s">
        <v>41</v>
      </c>
      <c r="G216" s="5" t="s">
        <v>42</v>
      </c>
      <c r="H216" s="5" t="s">
        <v>43</v>
      </c>
      <c r="I216" s="5" t="s">
        <v>44</v>
      </c>
      <c r="J216" s="3" t="s">
        <v>45</v>
      </c>
      <c r="K216" s="3" t="s">
        <v>146</v>
      </c>
      <c r="L216" s="3" t="s">
        <v>132</v>
      </c>
      <c r="M216" s="3" t="s">
        <v>48</v>
      </c>
      <c r="N216" s="3" t="s">
        <v>342</v>
      </c>
      <c r="O216" s="69" t="s">
        <v>586</v>
      </c>
      <c r="P216" s="3" t="s">
        <v>50</v>
      </c>
      <c r="Q216" s="3" t="s">
        <v>68</v>
      </c>
      <c r="R216" s="3">
        <v>2</v>
      </c>
      <c r="S216" s="3" t="s">
        <v>52</v>
      </c>
      <c r="T216" s="3" t="s">
        <v>53</v>
      </c>
      <c r="U216" s="3" t="s">
        <v>148</v>
      </c>
      <c r="V216" s="7"/>
      <c r="W216" s="7"/>
      <c r="X216" s="7"/>
      <c r="Y216" s="7"/>
      <c r="Z216" s="3" t="s">
        <v>55</v>
      </c>
      <c r="AA216" s="3" t="s">
        <v>88</v>
      </c>
      <c r="AB216" s="3" t="s">
        <v>57</v>
      </c>
      <c r="AD216" s="3">
        <v>30.78</v>
      </c>
      <c r="AE216" s="3">
        <v>30.78</v>
      </c>
      <c r="AG216" s="3">
        <v>2.88</v>
      </c>
      <c r="AH216" s="12">
        <v>57.6</v>
      </c>
      <c r="AI216" s="3">
        <v>31.5</v>
      </c>
      <c r="AJ216" s="88">
        <v>70.75</v>
      </c>
      <c r="AK216" s="3" t="s">
        <v>58</v>
      </c>
      <c r="AL216" s="9">
        <f t="shared" si="3"/>
        <v>84.899999999999991</v>
      </c>
      <c r="AN216" t="s">
        <v>5519</v>
      </c>
      <c r="AO216" s="74" t="s">
        <v>5629</v>
      </c>
    </row>
    <row r="217" spans="1:41" ht="14.25" customHeight="1" x14ac:dyDescent="0.3">
      <c r="A217" s="3" t="s">
        <v>141</v>
      </c>
      <c r="B217" s="3" t="s">
        <v>149</v>
      </c>
      <c r="C217" s="3" t="s">
        <v>143</v>
      </c>
      <c r="D217" s="3" t="s">
        <v>150</v>
      </c>
      <c r="E217" s="3" t="s">
        <v>145</v>
      </c>
      <c r="F217" s="3" t="s">
        <v>41</v>
      </c>
      <c r="G217" s="5" t="s">
        <v>42</v>
      </c>
      <c r="H217" s="5" t="s">
        <v>43</v>
      </c>
      <c r="I217" s="5" t="s">
        <v>44</v>
      </c>
      <c r="J217" s="3" t="s">
        <v>45</v>
      </c>
      <c r="K217" s="3" t="s">
        <v>146</v>
      </c>
      <c r="L217" s="3" t="s">
        <v>47</v>
      </c>
      <c r="M217" s="3" t="s">
        <v>48</v>
      </c>
      <c r="N217" s="4" t="s">
        <v>61</v>
      </c>
      <c r="O217" s="67" t="s">
        <v>61</v>
      </c>
      <c r="P217" s="3" t="s">
        <v>151</v>
      </c>
      <c r="Q217" s="3" t="s">
        <v>51</v>
      </c>
      <c r="R217" s="3">
        <v>2</v>
      </c>
      <c r="S217" s="3" t="s">
        <v>52</v>
      </c>
      <c r="T217" s="3" t="s">
        <v>53</v>
      </c>
      <c r="U217" s="3" t="s">
        <v>148</v>
      </c>
      <c r="V217" s="7"/>
      <c r="W217" s="7"/>
      <c r="X217" s="7"/>
      <c r="Y217" s="7"/>
      <c r="Z217" s="3" t="s">
        <v>55</v>
      </c>
      <c r="AA217" s="3" t="s">
        <v>88</v>
      </c>
      <c r="AB217" s="3" t="s">
        <v>57</v>
      </c>
      <c r="AD217" s="3">
        <v>16.271999999999998</v>
      </c>
      <c r="AE217" s="3">
        <v>16.271999999999998</v>
      </c>
      <c r="AG217" s="3">
        <v>1.44</v>
      </c>
      <c r="AH217" s="3">
        <v>43.2</v>
      </c>
      <c r="AI217" s="3">
        <v>27.5</v>
      </c>
      <c r="AJ217" s="89">
        <f>74.9/1.2</f>
        <v>62.416666666666671</v>
      </c>
      <c r="AK217" s="3" t="s">
        <v>58</v>
      </c>
      <c r="AL217" s="10">
        <f t="shared" si="3"/>
        <v>74.900000000000006</v>
      </c>
      <c r="AM217" s="35" t="s">
        <v>5480</v>
      </c>
      <c r="AN217" t="s">
        <v>5519</v>
      </c>
      <c r="AO217" s="74" t="s">
        <v>5629</v>
      </c>
    </row>
    <row r="218" spans="1:41" ht="14.25" customHeight="1" x14ac:dyDescent="0.3">
      <c r="A218" s="3" t="s">
        <v>141</v>
      </c>
      <c r="B218" s="3" t="s">
        <v>142</v>
      </c>
      <c r="C218" s="3" t="s">
        <v>143</v>
      </c>
      <c r="D218" s="3" t="s">
        <v>144</v>
      </c>
      <c r="E218" s="3" t="s">
        <v>145</v>
      </c>
      <c r="F218" s="3" t="s">
        <v>41</v>
      </c>
      <c r="G218" s="5" t="s">
        <v>42</v>
      </c>
      <c r="H218" s="5" t="s">
        <v>43</v>
      </c>
      <c r="I218" s="5" t="s">
        <v>44</v>
      </c>
      <c r="J218" s="3" t="s">
        <v>45</v>
      </c>
      <c r="K218" s="3" t="s">
        <v>146</v>
      </c>
      <c r="L218" s="3" t="s">
        <v>132</v>
      </c>
      <c r="M218" s="3" t="s">
        <v>48</v>
      </c>
      <c r="N218" s="4" t="s">
        <v>61</v>
      </c>
      <c r="O218" s="67" t="s">
        <v>61</v>
      </c>
      <c r="P218" s="3" t="s">
        <v>147</v>
      </c>
      <c r="Q218" s="3" t="s">
        <v>68</v>
      </c>
      <c r="R218" s="3">
        <v>2</v>
      </c>
      <c r="S218" s="3" t="s">
        <v>52</v>
      </c>
      <c r="T218" s="3" t="s">
        <v>53</v>
      </c>
      <c r="U218" s="3" t="s">
        <v>148</v>
      </c>
      <c r="V218" s="7"/>
      <c r="W218" s="7"/>
      <c r="X218" s="7"/>
      <c r="Y218" s="7"/>
      <c r="Z218" s="3" t="s">
        <v>55</v>
      </c>
      <c r="AA218" s="3" t="s">
        <v>88</v>
      </c>
      <c r="AB218" s="3" t="s">
        <v>57</v>
      </c>
      <c r="AD218" s="3">
        <v>21.254000000000001</v>
      </c>
      <c r="AE218" s="3">
        <v>21.254000000000001</v>
      </c>
      <c r="AG218" s="3">
        <v>2.88</v>
      </c>
      <c r="AH218" s="3">
        <v>69.12</v>
      </c>
      <c r="AI218" s="3">
        <v>37.5</v>
      </c>
      <c r="AJ218" s="89">
        <f>89.9/1.2</f>
        <v>74.916666666666671</v>
      </c>
      <c r="AK218" s="3" t="s">
        <v>58</v>
      </c>
      <c r="AL218" s="10">
        <f t="shared" si="3"/>
        <v>89.9</v>
      </c>
      <c r="AM218" s="35" t="s">
        <v>5480</v>
      </c>
      <c r="AN218" t="s">
        <v>5519</v>
      </c>
      <c r="AO218" s="74" t="s">
        <v>5629</v>
      </c>
    </row>
    <row r="219" spans="1:41" ht="14.25" customHeight="1" x14ac:dyDescent="0.3">
      <c r="A219" s="3" t="s">
        <v>793</v>
      </c>
      <c r="B219" s="3" t="s">
        <v>827</v>
      </c>
      <c r="C219" s="3" t="s">
        <v>795</v>
      </c>
      <c r="D219" s="3" t="s">
        <v>828</v>
      </c>
      <c r="E219" s="3" t="s">
        <v>797</v>
      </c>
      <c r="F219" s="3" t="s">
        <v>41</v>
      </c>
      <c r="G219" s="5" t="s">
        <v>42</v>
      </c>
      <c r="H219" s="5" t="s">
        <v>43</v>
      </c>
      <c r="I219" s="5" t="s">
        <v>44</v>
      </c>
      <c r="J219" s="3" t="s">
        <v>45</v>
      </c>
      <c r="K219" s="3" t="s">
        <v>146</v>
      </c>
      <c r="L219" s="3" t="s">
        <v>47</v>
      </c>
      <c r="M219" s="3" t="s">
        <v>48</v>
      </c>
      <c r="N219" s="3" t="s">
        <v>798</v>
      </c>
      <c r="O219" s="70" t="s">
        <v>586</v>
      </c>
      <c r="P219" s="3" t="s">
        <v>50</v>
      </c>
      <c r="Q219" s="3" t="s">
        <v>51</v>
      </c>
      <c r="R219" s="3">
        <v>2</v>
      </c>
      <c r="S219" s="3" t="s">
        <v>52</v>
      </c>
      <c r="T219" s="3" t="s">
        <v>53</v>
      </c>
      <c r="U219" s="3" t="s">
        <v>54</v>
      </c>
      <c r="V219" s="7"/>
      <c r="W219" s="7"/>
      <c r="X219" s="7"/>
      <c r="Y219" s="7"/>
      <c r="Z219" s="3" t="s">
        <v>55</v>
      </c>
      <c r="AA219" s="3" t="s">
        <v>88</v>
      </c>
      <c r="AB219" s="3" t="s">
        <v>57</v>
      </c>
      <c r="AD219" s="3">
        <v>29.59</v>
      </c>
      <c r="AE219" s="3">
        <v>29.59</v>
      </c>
      <c r="AG219" s="3">
        <v>1.44</v>
      </c>
      <c r="AH219" s="12">
        <v>50.4</v>
      </c>
      <c r="AI219" s="3">
        <v>21.1</v>
      </c>
      <c r="AJ219" s="88">
        <v>49.915999999999997</v>
      </c>
      <c r="AK219" s="3" t="s">
        <v>58</v>
      </c>
      <c r="AL219" s="9">
        <f t="shared" si="3"/>
        <v>59.899199999999993</v>
      </c>
      <c r="AN219" t="s">
        <v>5519</v>
      </c>
      <c r="AO219" s="74" t="s">
        <v>5629</v>
      </c>
    </row>
    <row r="220" spans="1:41" ht="14.25" customHeight="1" x14ac:dyDescent="0.3">
      <c r="A220" s="3" t="s">
        <v>793</v>
      </c>
      <c r="B220" s="3" t="s">
        <v>837</v>
      </c>
      <c r="C220" s="3" t="s">
        <v>795</v>
      </c>
      <c r="D220" s="3" t="s">
        <v>838</v>
      </c>
      <c r="E220" s="3" t="s">
        <v>797</v>
      </c>
      <c r="F220" s="3" t="s">
        <v>41</v>
      </c>
      <c r="G220" s="5" t="s">
        <v>42</v>
      </c>
      <c r="H220" s="5" t="s">
        <v>43</v>
      </c>
      <c r="I220" s="5" t="s">
        <v>44</v>
      </c>
      <c r="J220" s="3" t="s">
        <v>45</v>
      </c>
      <c r="K220" s="3" t="s">
        <v>146</v>
      </c>
      <c r="L220" s="3" t="s">
        <v>47</v>
      </c>
      <c r="M220" s="3" t="s">
        <v>48</v>
      </c>
      <c r="N220" s="3" t="s">
        <v>798</v>
      </c>
      <c r="O220" s="70" t="s">
        <v>586</v>
      </c>
      <c r="P220" s="3" t="s">
        <v>50</v>
      </c>
      <c r="Q220" s="3" t="s">
        <v>51</v>
      </c>
      <c r="R220" s="3">
        <v>2</v>
      </c>
      <c r="S220" s="3" t="s">
        <v>52</v>
      </c>
      <c r="T220" s="3" t="s">
        <v>53</v>
      </c>
      <c r="U220" s="3" t="s">
        <v>148</v>
      </c>
      <c r="V220" s="7"/>
      <c r="W220" s="7"/>
      <c r="X220" s="7"/>
      <c r="Y220" s="7"/>
      <c r="Z220" s="3" t="s">
        <v>55</v>
      </c>
      <c r="AA220" s="3" t="s">
        <v>88</v>
      </c>
      <c r="AB220" s="3" t="s">
        <v>57</v>
      </c>
      <c r="AD220" s="3">
        <v>30</v>
      </c>
      <c r="AE220" s="3">
        <v>30</v>
      </c>
      <c r="AG220" s="3">
        <v>1.44</v>
      </c>
      <c r="AH220" s="12">
        <v>50.4</v>
      </c>
      <c r="AI220" s="3">
        <v>27.5</v>
      </c>
      <c r="AJ220" s="88">
        <v>58.25</v>
      </c>
      <c r="AK220" s="3" t="s">
        <v>58</v>
      </c>
      <c r="AL220" s="9">
        <f t="shared" si="3"/>
        <v>69.899999999999991</v>
      </c>
      <c r="AN220" t="s">
        <v>5519</v>
      </c>
      <c r="AO220" s="74" t="s">
        <v>5629</v>
      </c>
    </row>
    <row r="221" spans="1:41" ht="14.25" customHeight="1" x14ac:dyDescent="0.3">
      <c r="A221" s="3" t="s">
        <v>793</v>
      </c>
      <c r="B221" s="3" t="s">
        <v>794</v>
      </c>
      <c r="C221" s="3" t="s">
        <v>795</v>
      </c>
      <c r="D221" s="3" t="s">
        <v>796</v>
      </c>
      <c r="E221" s="3" t="s">
        <v>797</v>
      </c>
      <c r="F221" s="3" t="s">
        <v>41</v>
      </c>
      <c r="G221" s="5" t="s">
        <v>42</v>
      </c>
      <c r="H221" s="5" t="s">
        <v>43</v>
      </c>
      <c r="I221" s="5" t="s">
        <v>44</v>
      </c>
      <c r="J221" s="3" t="s">
        <v>45</v>
      </c>
      <c r="K221" s="3" t="s">
        <v>146</v>
      </c>
      <c r="L221" s="3" t="s">
        <v>132</v>
      </c>
      <c r="M221" s="3" t="s">
        <v>48</v>
      </c>
      <c r="N221" s="3" t="s">
        <v>798</v>
      </c>
      <c r="O221" s="70" t="s">
        <v>586</v>
      </c>
      <c r="P221" s="3" t="s">
        <v>50</v>
      </c>
      <c r="Q221" s="3" t="s">
        <v>68</v>
      </c>
      <c r="R221" s="30">
        <v>2</v>
      </c>
      <c r="S221" s="3" t="s">
        <v>52</v>
      </c>
      <c r="T221" s="3" t="s">
        <v>53</v>
      </c>
      <c r="U221" s="3" t="s">
        <v>54</v>
      </c>
      <c r="V221" s="7"/>
      <c r="W221" s="7"/>
      <c r="X221" s="7"/>
      <c r="Y221" s="7"/>
      <c r="Z221" s="3" t="s">
        <v>55</v>
      </c>
      <c r="AA221" s="3" t="s">
        <v>88</v>
      </c>
      <c r="AB221" s="3" t="s">
        <v>57</v>
      </c>
      <c r="AD221" s="3">
        <v>61.56</v>
      </c>
      <c r="AE221" s="3">
        <v>61.56</v>
      </c>
      <c r="AG221" s="3">
        <v>2.88</v>
      </c>
      <c r="AH221" s="12">
        <v>57.6</v>
      </c>
      <c r="AI221" s="3">
        <v>28.6</v>
      </c>
      <c r="AJ221" s="88">
        <v>66.582999999999998</v>
      </c>
      <c r="AK221" s="3" t="s">
        <v>58</v>
      </c>
      <c r="AL221" s="9">
        <f t="shared" si="3"/>
        <v>79.899599999999992</v>
      </c>
      <c r="AN221" t="s">
        <v>5519</v>
      </c>
      <c r="AO221" s="74" t="s">
        <v>5629</v>
      </c>
    </row>
    <row r="222" spans="1:41" ht="14.25" customHeight="1" x14ac:dyDescent="0.3">
      <c r="A222" s="3" t="s">
        <v>793</v>
      </c>
      <c r="B222" s="3" t="s">
        <v>811</v>
      </c>
      <c r="C222" s="3" t="s">
        <v>795</v>
      </c>
      <c r="D222" s="3" t="s">
        <v>812</v>
      </c>
      <c r="E222" s="3" t="s">
        <v>797</v>
      </c>
      <c r="F222" s="3" t="s">
        <v>41</v>
      </c>
      <c r="G222" s="5" t="s">
        <v>42</v>
      </c>
      <c r="H222" s="5" t="s">
        <v>43</v>
      </c>
      <c r="I222" s="5" t="s">
        <v>44</v>
      </c>
      <c r="J222" s="3" t="s">
        <v>45</v>
      </c>
      <c r="K222" s="3" t="s">
        <v>146</v>
      </c>
      <c r="L222" s="3" t="s">
        <v>132</v>
      </c>
      <c r="M222" s="3" t="s">
        <v>48</v>
      </c>
      <c r="N222" s="3" t="s">
        <v>798</v>
      </c>
      <c r="O222" s="69" t="s">
        <v>586</v>
      </c>
      <c r="P222" s="3" t="s">
        <v>50</v>
      </c>
      <c r="Q222" s="3" t="s">
        <v>68</v>
      </c>
      <c r="R222" s="3">
        <v>2</v>
      </c>
      <c r="S222" s="3" t="s">
        <v>52</v>
      </c>
      <c r="T222" s="3" t="s">
        <v>53</v>
      </c>
      <c r="U222" s="3" t="s">
        <v>148</v>
      </c>
      <c r="V222" s="7"/>
      <c r="W222" s="7"/>
      <c r="X222" s="7"/>
      <c r="Y222" s="7"/>
      <c r="Z222" s="3" t="s">
        <v>55</v>
      </c>
      <c r="AA222" s="3" t="s">
        <v>88</v>
      </c>
      <c r="AB222" s="3" t="s">
        <v>57</v>
      </c>
      <c r="AD222" s="3">
        <v>61.56</v>
      </c>
      <c r="AE222" s="3">
        <v>61.56</v>
      </c>
      <c r="AG222" s="3">
        <v>2.88</v>
      </c>
      <c r="AH222" s="12">
        <v>57.6</v>
      </c>
      <c r="AI222" s="3">
        <v>31.5</v>
      </c>
      <c r="AJ222" s="88">
        <v>70.75</v>
      </c>
      <c r="AK222" s="3" t="s">
        <v>58</v>
      </c>
      <c r="AL222" s="9">
        <f t="shared" si="3"/>
        <v>84.899999999999991</v>
      </c>
      <c r="AN222" t="s">
        <v>5519</v>
      </c>
      <c r="AO222" s="74" t="s">
        <v>5629</v>
      </c>
    </row>
    <row r="223" spans="1:41" ht="14.25" customHeight="1" x14ac:dyDescent="0.3">
      <c r="A223" s="3" t="s">
        <v>813</v>
      </c>
      <c r="B223" s="3" t="s">
        <v>829</v>
      </c>
      <c r="C223" s="3" t="s">
        <v>795</v>
      </c>
      <c r="D223" s="3" t="s">
        <v>830</v>
      </c>
      <c r="E223" s="3" t="s">
        <v>797</v>
      </c>
      <c r="F223" s="3" t="s">
        <v>41</v>
      </c>
      <c r="G223" s="5" t="s">
        <v>42</v>
      </c>
      <c r="H223" s="5" t="s">
        <v>43</v>
      </c>
      <c r="I223" s="5" t="s">
        <v>44</v>
      </c>
      <c r="J223" s="3" t="s">
        <v>45</v>
      </c>
      <c r="K223" s="3" t="s">
        <v>146</v>
      </c>
      <c r="L223" s="3" t="s">
        <v>47</v>
      </c>
      <c r="M223" s="3" t="s">
        <v>48</v>
      </c>
      <c r="N223" s="3" t="s">
        <v>816</v>
      </c>
      <c r="O223" s="69" t="s">
        <v>586</v>
      </c>
      <c r="P223" s="3" t="s">
        <v>50</v>
      </c>
      <c r="Q223" s="3" t="s">
        <v>51</v>
      </c>
      <c r="R223" s="3">
        <v>2</v>
      </c>
      <c r="S223" s="3" t="s">
        <v>52</v>
      </c>
      <c r="T223" s="3" t="s">
        <v>53</v>
      </c>
      <c r="U223" s="3" t="s">
        <v>54</v>
      </c>
      <c r="V223" s="7"/>
      <c r="W223" s="7"/>
      <c r="X223" s="7"/>
      <c r="Y223" s="7"/>
      <c r="Z223" s="3" t="s">
        <v>55</v>
      </c>
      <c r="AA223" s="3" t="s">
        <v>88</v>
      </c>
      <c r="AB223" s="3" t="s">
        <v>57</v>
      </c>
      <c r="AD223" s="3">
        <v>30.3</v>
      </c>
      <c r="AE223" s="3">
        <v>30.3</v>
      </c>
      <c r="AG223" s="3">
        <v>1.44</v>
      </c>
      <c r="AH223" s="12">
        <v>50.4</v>
      </c>
      <c r="AI223" s="3">
        <v>21.1</v>
      </c>
      <c r="AJ223" s="88">
        <v>49.915999999999997</v>
      </c>
      <c r="AK223" s="3" t="s">
        <v>58</v>
      </c>
      <c r="AL223" s="9">
        <f t="shared" si="3"/>
        <v>59.899199999999993</v>
      </c>
      <c r="AN223" t="s">
        <v>5519</v>
      </c>
      <c r="AO223" s="74" t="s">
        <v>5629</v>
      </c>
    </row>
    <row r="224" spans="1:41" ht="14.25" customHeight="1" x14ac:dyDescent="0.3">
      <c r="A224" s="3" t="s">
        <v>813</v>
      </c>
      <c r="B224" s="3" t="s">
        <v>839</v>
      </c>
      <c r="C224" s="3" t="s">
        <v>795</v>
      </c>
      <c r="D224" s="3" t="s">
        <v>840</v>
      </c>
      <c r="E224" s="3" t="s">
        <v>797</v>
      </c>
      <c r="F224" s="3" t="s">
        <v>41</v>
      </c>
      <c r="G224" s="5" t="s">
        <v>42</v>
      </c>
      <c r="H224" s="5" t="s">
        <v>43</v>
      </c>
      <c r="I224" s="5" t="s">
        <v>44</v>
      </c>
      <c r="J224" s="3" t="s">
        <v>45</v>
      </c>
      <c r="K224" s="3" t="s">
        <v>146</v>
      </c>
      <c r="L224" s="3" t="s">
        <v>47</v>
      </c>
      <c r="M224" s="3" t="s">
        <v>48</v>
      </c>
      <c r="N224" s="3" t="s">
        <v>816</v>
      </c>
      <c r="O224" s="69" t="s">
        <v>586</v>
      </c>
      <c r="P224" s="3" t="s">
        <v>50</v>
      </c>
      <c r="Q224" s="3" t="s">
        <v>51</v>
      </c>
      <c r="R224" s="3">
        <v>2</v>
      </c>
      <c r="S224" s="3" t="s">
        <v>52</v>
      </c>
      <c r="T224" s="3" t="s">
        <v>53</v>
      </c>
      <c r="U224" s="3" t="s">
        <v>148</v>
      </c>
      <c r="V224" s="7"/>
      <c r="W224" s="7"/>
      <c r="X224" s="7"/>
      <c r="Y224" s="7"/>
      <c r="Z224" s="3" t="s">
        <v>55</v>
      </c>
      <c r="AA224" s="3" t="s">
        <v>88</v>
      </c>
      <c r="AB224" s="3" t="s">
        <v>57</v>
      </c>
      <c r="AD224" s="3">
        <v>29.99</v>
      </c>
      <c r="AE224" s="3">
        <v>29.99</v>
      </c>
      <c r="AG224" s="3">
        <v>1.44</v>
      </c>
      <c r="AH224" s="12">
        <v>50.4</v>
      </c>
      <c r="AI224" s="3">
        <v>27.5</v>
      </c>
      <c r="AJ224" s="88">
        <v>58.25</v>
      </c>
      <c r="AK224" s="3" t="s">
        <v>58</v>
      </c>
      <c r="AL224" s="9">
        <f t="shared" si="3"/>
        <v>69.899999999999991</v>
      </c>
      <c r="AN224" t="s">
        <v>5519</v>
      </c>
      <c r="AO224" s="74" t="s">
        <v>5629</v>
      </c>
    </row>
    <row r="225" spans="1:41" ht="14.25" customHeight="1" x14ac:dyDescent="0.3">
      <c r="A225" s="3" t="s">
        <v>813</v>
      </c>
      <c r="B225" s="3" t="s">
        <v>814</v>
      </c>
      <c r="C225" s="3" t="s">
        <v>795</v>
      </c>
      <c r="D225" s="3" t="s">
        <v>815</v>
      </c>
      <c r="E225" s="3" t="s">
        <v>797</v>
      </c>
      <c r="F225" s="3" t="s">
        <v>41</v>
      </c>
      <c r="G225" s="5" t="s">
        <v>42</v>
      </c>
      <c r="H225" s="5" t="s">
        <v>43</v>
      </c>
      <c r="I225" s="5" t="s">
        <v>44</v>
      </c>
      <c r="J225" s="3" t="s">
        <v>45</v>
      </c>
      <c r="K225" s="3" t="s">
        <v>146</v>
      </c>
      <c r="L225" s="3" t="s">
        <v>132</v>
      </c>
      <c r="M225" s="3" t="s">
        <v>48</v>
      </c>
      <c r="N225" s="3" t="s">
        <v>816</v>
      </c>
      <c r="O225" s="69" t="s">
        <v>586</v>
      </c>
      <c r="P225" s="3" t="s">
        <v>50</v>
      </c>
      <c r="Q225" s="3" t="s">
        <v>68</v>
      </c>
      <c r="R225" s="3">
        <v>2</v>
      </c>
      <c r="S225" s="3" t="s">
        <v>52</v>
      </c>
      <c r="T225" s="3" t="s">
        <v>53</v>
      </c>
      <c r="U225" s="3" t="s">
        <v>148</v>
      </c>
      <c r="V225" s="7"/>
      <c r="W225" s="7"/>
      <c r="X225" s="7"/>
      <c r="Y225" s="7"/>
      <c r="Z225" s="3" t="s">
        <v>55</v>
      </c>
      <c r="AA225" s="3" t="s">
        <v>88</v>
      </c>
      <c r="AB225" s="3" t="s">
        <v>57</v>
      </c>
      <c r="AD225" s="3">
        <v>61.56</v>
      </c>
      <c r="AE225" s="3">
        <v>61.56</v>
      </c>
      <c r="AG225" s="3">
        <v>2.88</v>
      </c>
      <c r="AH225" s="12">
        <v>57.6</v>
      </c>
      <c r="AI225" s="3">
        <v>31.5</v>
      </c>
      <c r="AJ225" s="88">
        <v>70.75</v>
      </c>
      <c r="AK225" s="3" t="s">
        <v>58</v>
      </c>
      <c r="AL225" s="9">
        <f t="shared" si="3"/>
        <v>84.899999999999991</v>
      </c>
      <c r="AN225" t="s">
        <v>5519</v>
      </c>
      <c r="AO225" s="74" t="s">
        <v>5629</v>
      </c>
    </row>
    <row r="226" spans="1:41" ht="14.25" customHeight="1" x14ac:dyDescent="0.3">
      <c r="A226" s="3" t="s">
        <v>171</v>
      </c>
      <c r="B226" s="3" t="s">
        <v>177</v>
      </c>
      <c r="C226" s="3" t="s">
        <v>173</v>
      </c>
      <c r="D226" s="3" t="s">
        <v>178</v>
      </c>
      <c r="E226" s="3" t="s">
        <v>175</v>
      </c>
      <c r="F226" s="3" t="s">
        <v>41</v>
      </c>
      <c r="G226" s="5" t="s">
        <v>42</v>
      </c>
      <c r="H226" s="5" t="s">
        <v>43</v>
      </c>
      <c r="I226" s="5" t="s">
        <v>44</v>
      </c>
      <c r="J226" s="3" t="s">
        <v>45</v>
      </c>
      <c r="K226" s="3" t="s">
        <v>146</v>
      </c>
      <c r="L226" s="3" t="s">
        <v>47</v>
      </c>
      <c r="M226" s="3" t="s">
        <v>48</v>
      </c>
      <c r="N226" s="4" t="s">
        <v>176</v>
      </c>
      <c r="O226" s="67" t="s">
        <v>64</v>
      </c>
      <c r="P226" s="3" t="s">
        <v>151</v>
      </c>
      <c r="Q226" s="3" t="s">
        <v>51</v>
      </c>
      <c r="R226" s="3">
        <v>2</v>
      </c>
      <c r="S226" s="3" t="s">
        <v>52</v>
      </c>
      <c r="T226" s="3" t="s">
        <v>53</v>
      </c>
      <c r="U226" s="3" t="s">
        <v>148</v>
      </c>
      <c r="V226" s="7"/>
      <c r="W226" s="7"/>
      <c r="X226" s="7"/>
      <c r="Y226" s="7"/>
      <c r="Z226" s="3" t="s">
        <v>55</v>
      </c>
      <c r="AA226" s="3" t="s">
        <v>88</v>
      </c>
      <c r="AB226" s="3" t="s">
        <v>57</v>
      </c>
      <c r="AD226" s="3">
        <v>16.271999999999998</v>
      </c>
      <c r="AE226" s="3">
        <v>16.271999999999998</v>
      </c>
      <c r="AG226" s="3">
        <v>1.44</v>
      </c>
      <c r="AH226" s="3">
        <v>43.2</v>
      </c>
      <c r="AI226" s="3">
        <v>27.5</v>
      </c>
      <c r="AJ226" s="89">
        <f>74.9/1.2</f>
        <v>62.416666666666671</v>
      </c>
      <c r="AK226" s="3" t="s">
        <v>58</v>
      </c>
      <c r="AL226" s="10">
        <f t="shared" si="3"/>
        <v>74.900000000000006</v>
      </c>
      <c r="AN226" t="s">
        <v>5519</v>
      </c>
      <c r="AO226" s="74" t="s">
        <v>5629</v>
      </c>
    </row>
    <row r="227" spans="1:41" ht="14.25" customHeight="1" x14ac:dyDescent="0.3">
      <c r="A227" s="3" t="s">
        <v>171</v>
      </c>
      <c r="B227" s="3" t="s">
        <v>172</v>
      </c>
      <c r="C227" s="3" t="s">
        <v>173</v>
      </c>
      <c r="D227" s="3" t="s">
        <v>174</v>
      </c>
      <c r="E227" s="3" t="s">
        <v>175</v>
      </c>
      <c r="F227" s="3" t="s">
        <v>41</v>
      </c>
      <c r="G227" s="5" t="s">
        <v>42</v>
      </c>
      <c r="H227" s="5" t="s">
        <v>43</v>
      </c>
      <c r="I227" s="5" t="s">
        <v>44</v>
      </c>
      <c r="J227" s="3" t="s">
        <v>45</v>
      </c>
      <c r="K227" s="3" t="s">
        <v>146</v>
      </c>
      <c r="L227" s="3" t="s">
        <v>132</v>
      </c>
      <c r="M227" s="3" t="s">
        <v>48</v>
      </c>
      <c r="N227" s="4" t="s">
        <v>176</v>
      </c>
      <c r="O227" s="68" t="s">
        <v>64</v>
      </c>
      <c r="P227" s="3" t="s">
        <v>147</v>
      </c>
      <c r="Q227" s="3" t="s">
        <v>68</v>
      </c>
      <c r="R227" s="3">
        <v>2</v>
      </c>
      <c r="S227" s="3" t="s">
        <v>52</v>
      </c>
      <c r="T227" s="3" t="s">
        <v>53</v>
      </c>
      <c r="U227" s="3" t="s">
        <v>148</v>
      </c>
      <c r="V227" s="7"/>
      <c r="W227" s="7"/>
      <c r="X227" s="7"/>
      <c r="Y227" s="7"/>
      <c r="Z227" s="3" t="s">
        <v>55</v>
      </c>
      <c r="AA227" s="3" t="s">
        <v>88</v>
      </c>
      <c r="AB227" s="3" t="s">
        <v>57</v>
      </c>
      <c r="AD227" s="3">
        <v>21.254000000000001</v>
      </c>
      <c r="AE227" s="3">
        <v>21.254000000000001</v>
      </c>
      <c r="AG227" s="3">
        <v>2.88</v>
      </c>
      <c r="AH227" s="3">
        <v>69.12</v>
      </c>
      <c r="AI227" s="3">
        <v>37.5</v>
      </c>
      <c r="AJ227" s="89">
        <f>89.9/1.2</f>
        <v>74.916666666666671</v>
      </c>
      <c r="AK227" s="3" t="s">
        <v>58</v>
      </c>
      <c r="AL227" s="10">
        <f t="shared" si="3"/>
        <v>89.9</v>
      </c>
      <c r="AN227" t="s">
        <v>5519</v>
      </c>
      <c r="AO227" s="74" t="s">
        <v>5629</v>
      </c>
    </row>
    <row r="228" spans="1:41" ht="14.25" customHeight="1" x14ac:dyDescent="0.3">
      <c r="A228" s="3" t="s">
        <v>397</v>
      </c>
      <c r="B228" s="3" t="s">
        <v>411</v>
      </c>
      <c r="C228" s="3" t="s">
        <v>399</v>
      </c>
      <c r="D228" s="4" t="s">
        <v>412</v>
      </c>
      <c r="E228" s="3" t="s">
        <v>401</v>
      </c>
      <c r="F228" s="3" t="s">
        <v>41</v>
      </c>
      <c r="G228" s="5" t="s">
        <v>42</v>
      </c>
      <c r="H228" s="5" t="s">
        <v>43</v>
      </c>
      <c r="I228" s="5" t="s">
        <v>44</v>
      </c>
      <c r="J228" s="3" t="s">
        <v>45</v>
      </c>
      <c r="K228" s="3" t="s">
        <v>146</v>
      </c>
      <c r="L228" s="3" t="s">
        <v>67</v>
      </c>
      <c r="M228" s="3" t="s">
        <v>48</v>
      </c>
      <c r="N228" s="4" t="s">
        <v>402</v>
      </c>
      <c r="O228" s="67" t="s">
        <v>586</v>
      </c>
      <c r="P228" s="3" t="s">
        <v>50</v>
      </c>
      <c r="Q228" s="3" t="s">
        <v>68</v>
      </c>
      <c r="R228" s="6">
        <v>4</v>
      </c>
      <c r="S228" s="3" t="s">
        <v>52</v>
      </c>
      <c r="T228" s="3" t="s">
        <v>53</v>
      </c>
      <c r="U228" s="3" t="s">
        <v>54</v>
      </c>
      <c r="V228" s="7"/>
      <c r="W228" s="7"/>
      <c r="X228" s="7"/>
      <c r="Y228" s="7"/>
      <c r="Z228" s="3" t="s">
        <v>55</v>
      </c>
      <c r="AA228" s="3" t="s">
        <v>56</v>
      </c>
      <c r="AB228" s="3" t="s">
        <v>57</v>
      </c>
      <c r="AD228" s="8">
        <v>20.181999999999999</v>
      </c>
      <c r="AE228" s="8">
        <v>20.616</v>
      </c>
      <c r="AG228" s="3">
        <v>1.44</v>
      </c>
      <c r="AH228" s="11">
        <v>46.08</v>
      </c>
      <c r="AI228" s="3">
        <v>11.79</v>
      </c>
      <c r="AJ228" s="88">
        <v>30.75</v>
      </c>
      <c r="AK228" s="3" t="s">
        <v>58</v>
      </c>
      <c r="AL228" s="9">
        <f t="shared" si="3"/>
        <v>36.9</v>
      </c>
      <c r="AM228" s="35" t="s">
        <v>5480</v>
      </c>
      <c r="AN228" t="s">
        <v>5519</v>
      </c>
      <c r="AO228" s="74" t="s">
        <v>5629</v>
      </c>
    </row>
    <row r="229" spans="1:41" ht="14.25" customHeight="1" x14ac:dyDescent="0.3">
      <c r="A229" s="3" t="s">
        <v>397</v>
      </c>
      <c r="B229" s="3" t="s">
        <v>406</v>
      </c>
      <c r="C229" s="3" t="s">
        <v>399</v>
      </c>
      <c r="D229" s="4" t="s">
        <v>407</v>
      </c>
      <c r="E229" s="3" t="s">
        <v>401</v>
      </c>
      <c r="F229" s="3" t="s">
        <v>41</v>
      </c>
      <c r="G229" s="5" t="s">
        <v>42</v>
      </c>
      <c r="H229" s="5" t="s">
        <v>43</v>
      </c>
      <c r="I229" s="5" t="s">
        <v>44</v>
      </c>
      <c r="J229" s="3" t="s">
        <v>45</v>
      </c>
      <c r="K229" s="3" t="s">
        <v>146</v>
      </c>
      <c r="L229" s="3" t="s">
        <v>47</v>
      </c>
      <c r="M229" s="3" t="s">
        <v>48</v>
      </c>
      <c r="N229" s="4" t="s">
        <v>402</v>
      </c>
      <c r="O229" s="67" t="s">
        <v>586</v>
      </c>
      <c r="P229" s="3" t="s">
        <v>50</v>
      </c>
      <c r="Q229" s="3" t="s">
        <v>51</v>
      </c>
      <c r="R229" s="6">
        <v>2</v>
      </c>
      <c r="S229" s="3" t="s">
        <v>52</v>
      </c>
      <c r="T229" s="3" t="s">
        <v>53</v>
      </c>
      <c r="U229" s="3" t="s">
        <v>54</v>
      </c>
      <c r="V229" s="7"/>
      <c r="W229" s="7"/>
      <c r="X229" s="7"/>
      <c r="Y229" s="7"/>
      <c r="Z229" s="3" t="s">
        <v>55</v>
      </c>
      <c r="AA229" s="3" t="s">
        <v>56</v>
      </c>
      <c r="AB229" s="3" t="s">
        <v>57</v>
      </c>
      <c r="AD229" s="8">
        <v>20.100000000000001</v>
      </c>
      <c r="AE229" s="8">
        <v>20.486000000000001</v>
      </c>
      <c r="AG229" s="3">
        <v>1.44</v>
      </c>
      <c r="AH229" s="11">
        <v>51.84</v>
      </c>
      <c r="AI229" s="3">
        <v>12.96</v>
      </c>
      <c r="AJ229" s="88">
        <v>35.75</v>
      </c>
      <c r="AK229" s="3" t="s">
        <v>58</v>
      </c>
      <c r="AL229" s="9">
        <f t="shared" si="3"/>
        <v>42.9</v>
      </c>
      <c r="AM229" s="35" t="s">
        <v>5480</v>
      </c>
      <c r="AN229" t="s">
        <v>5519</v>
      </c>
      <c r="AO229" s="74" t="s">
        <v>5629</v>
      </c>
    </row>
    <row r="230" spans="1:41" ht="14.25" customHeight="1" x14ac:dyDescent="0.3">
      <c r="A230" s="3" t="s">
        <v>397</v>
      </c>
      <c r="B230" s="3" t="s">
        <v>415</v>
      </c>
      <c r="C230" s="3" t="s">
        <v>399</v>
      </c>
      <c r="D230" s="4" t="s">
        <v>416</v>
      </c>
      <c r="E230" s="3" t="s">
        <v>401</v>
      </c>
      <c r="F230" s="3" t="s">
        <v>41</v>
      </c>
      <c r="G230" s="5" t="s">
        <v>42</v>
      </c>
      <c r="H230" s="5" t="s">
        <v>43</v>
      </c>
      <c r="I230" s="5" t="s">
        <v>44</v>
      </c>
      <c r="J230" s="3" t="s">
        <v>45</v>
      </c>
      <c r="K230" s="3" t="s">
        <v>146</v>
      </c>
      <c r="L230" s="3" t="s">
        <v>417</v>
      </c>
      <c r="M230" s="3" t="s">
        <v>48</v>
      </c>
      <c r="N230" s="4" t="s">
        <v>402</v>
      </c>
      <c r="O230" s="67" t="s">
        <v>586</v>
      </c>
      <c r="P230" s="3" t="s">
        <v>50</v>
      </c>
      <c r="Q230" s="3" t="s">
        <v>68</v>
      </c>
      <c r="R230" s="6">
        <v>2</v>
      </c>
      <c r="S230" s="3" t="s">
        <v>52</v>
      </c>
      <c r="T230" s="3" t="s">
        <v>53</v>
      </c>
      <c r="U230" s="3" t="s">
        <v>54</v>
      </c>
      <c r="V230" s="7"/>
      <c r="W230" s="7"/>
      <c r="X230" s="7"/>
      <c r="Y230" s="7"/>
      <c r="Z230" s="3" t="s">
        <v>55</v>
      </c>
      <c r="AA230" s="3" t="s">
        <v>56</v>
      </c>
      <c r="AB230" s="3" t="s">
        <v>57</v>
      </c>
      <c r="AD230" s="8">
        <v>21.280999999999999</v>
      </c>
      <c r="AE230" s="8">
        <v>21.481000000000002</v>
      </c>
      <c r="AG230" s="8">
        <v>1.125</v>
      </c>
      <c r="AH230" s="11">
        <v>54</v>
      </c>
      <c r="AI230" s="8">
        <v>13.27</v>
      </c>
      <c r="AJ230" s="88">
        <v>37.415999999999997</v>
      </c>
      <c r="AK230" s="3" t="s">
        <v>58</v>
      </c>
      <c r="AL230" s="9">
        <f t="shared" si="3"/>
        <v>44.899199999999993</v>
      </c>
      <c r="AM230" s="35" t="s">
        <v>5480</v>
      </c>
      <c r="AN230" t="s">
        <v>5519</v>
      </c>
      <c r="AO230" s="74" t="s">
        <v>5629</v>
      </c>
    </row>
    <row r="231" spans="1:41" ht="14.25" customHeight="1" x14ac:dyDescent="0.3">
      <c r="A231" s="3" t="s">
        <v>397</v>
      </c>
      <c r="B231" s="3" t="s">
        <v>413</v>
      </c>
      <c r="C231" s="3" t="s">
        <v>399</v>
      </c>
      <c r="D231" s="4" t="s">
        <v>414</v>
      </c>
      <c r="E231" s="3" t="s">
        <v>401</v>
      </c>
      <c r="F231" s="3" t="s">
        <v>41</v>
      </c>
      <c r="G231" s="5" t="s">
        <v>42</v>
      </c>
      <c r="H231" s="5" t="s">
        <v>43</v>
      </c>
      <c r="I231" s="5" t="s">
        <v>44</v>
      </c>
      <c r="J231" s="3" t="s">
        <v>45</v>
      </c>
      <c r="K231" s="3" t="s">
        <v>146</v>
      </c>
      <c r="L231" s="3" t="s">
        <v>67</v>
      </c>
      <c r="M231" s="3" t="s">
        <v>48</v>
      </c>
      <c r="N231" s="4" t="s">
        <v>402</v>
      </c>
      <c r="O231" s="67" t="s">
        <v>586</v>
      </c>
      <c r="P231" s="3" t="s">
        <v>87</v>
      </c>
      <c r="Q231" s="3" t="s">
        <v>68</v>
      </c>
      <c r="R231" s="6">
        <v>4</v>
      </c>
      <c r="S231" s="3" t="s">
        <v>52</v>
      </c>
      <c r="T231" s="3" t="s">
        <v>53</v>
      </c>
      <c r="U231" s="3" t="s">
        <v>148</v>
      </c>
      <c r="V231" s="7"/>
      <c r="W231" s="7"/>
      <c r="X231" s="7"/>
      <c r="Y231" s="7"/>
      <c r="Z231" s="3" t="s">
        <v>55</v>
      </c>
      <c r="AA231" s="3" t="s">
        <v>56</v>
      </c>
      <c r="AB231" s="3" t="s">
        <v>57</v>
      </c>
      <c r="AD231" s="8">
        <v>21.411999999999999</v>
      </c>
      <c r="AE231" s="8">
        <v>21.875</v>
      </c>
      <c r="AG231" s="3">
        <v>1.44</v>
      </c>
      <c r="AH231" s="11">
        <v>43.2</v>
      </c>
      <c r="AI231" s="3">
        <v>15.08</v>
      </c>
      <c r="AJ231" s="88">
        <v>35.75</v>
      </c>
      <c r="AK231" s="3" t="s">
        <v>58</v>
      </c>
      <c r="AL231" s="9">
        <f t="shared" si="3"/>
        <v>42.9</v>
      </c>
      <c r="AM231" s="35" t="s">
        <v>5480</v>
      </c>
      <c r="AN231" t="s">
        <v>5519</v>
      </c>
      <c r="AO231" s="74" t="s">
        <v>5629</v>
      </c>
    </row>
    <row r="232" spans="1:41" ht="14.25" customHeight="1" x14ac:dyDescent="0.3">
      <c r="A232" s="3" t="s">
        <v>397</v>
      </c>
      <c r="B232" s="3" t="s">
        <v>408</v>
      </c>
      <c r="C232" s="3" t="s">
        <v>399</v>
      </c>
      <c r="D232" s="4" t="s">
        <v>409</v>
      </c>
      <c r="E232" s="3" t="s">
        <v>401</v>
      </c>
      <c r="F232" s="3" t="s">
        <v>41</v>
      </c>
      <c r="G232" s="5" t="s">
        <v>42</v>
      </c>
      <c r="H232" s="5" t="s">
        <v>43</v>
      </c>
      <c r="I232" s="5" t="s">
        <v>44</v>
      </c>
      <c r="J232" s="3" t="s">
        <v>45</v>
      </c>
      <c r="K232" s="3" t="s">
        <v>146</v>
      </c>
      <c r="L232" s="3" t="s">
        <v>47</v>
      </c>
      <c r="M232" s="3" t="s">
        <v>48</v>
      </c>
      <c r="N232" s="4" t="s">
        <v>402</v>
      </c>
      <c r="O232" s="68" t="s">
        <v>586</v>
      </c>
      <c r="P232" s="3" t="s">
        <v>410</v>
      </c>
      <c r="Q232" s="3" t="s">
        <v>51</v>
      </c>
      <c r="R232" s="6">
        <v>2</v>
      </c>
      <c r="S232" s="3" t="s">
        <v>52</v>
      </c>
      <c r="T232" s="3" t="s">
        <v>53</v>
      </c>
      <c r="U232" s="3" t="s">
        <v>148</v>
      </c>
      <c r="V232" s="7"/>
      <c r="W232" s="7"/>
      <c r="X232" s="7"/>
      <c r="Y232" s="7"/>
      <c r="Z232" s="3" t="s">
        <v>55</v>
      </c>
      <c r="AA232" s="3" t="s">
        <v>56</v>
      </c>
      <c r="AB232" s="3" t="s">
        <v>57</v>
      </c>
      <c r="AD232" s="8">
        <v>24.306000000000001</v>
      </c>
      <c r="AE232" s="8">
        <v>24.74</v>
      </c>
      <c r="AG232" s="3">
        <v>1.44</v>
      </c>
      <c r="AH232" s="11">
        <v>46.08</v>
      </c>
      <c r="AI232" s="3">
        <v>16.29</v>
      </c>
      <c r="AJ232" s="88">
        <v>39.082999999999998</v>
      </c>
      <c r="AK232" s="3" t="s">
        <v>58</v>
      </c>
      <c r="AL232" s="9">
        <f t="shared" si="3"/>
        <v>46.8996</v>
      </c>
      <c r="AM232" s="35" t="s">
        <v>5480</v>
      </c>
      <c r="AN232" t="s">
        <v>5519</v>
      </c>
      <c r="AO232" s="74" t="s">
        <v>5629</v>
      </c>
    </row>
    <row r="233" spans="1:41" ht="14.25" customHeight="1" x14ac:dyDescent="0.3">
      <c r="A233" s="3" t="s">
        <v>397</v>
      </c>
      <c r="B233" s="3" t="s">
        <v>398</v>
      </c>
      <c r="C233" s="3" t="s">
        <v>399</v>
      </c>
      <c r="D233" s="4" t="s">
        <v>400</v>
      </c>
      <c r="E233" s="3" t="s">
        <v>401</v>
      </c>
      <c r="F233" s="3" t="s">
        <v>41</v>
      </c>
      <c r="G233" s="5" t="s">
        <v>42</v>
      </c>
      <c r="H233" s="5" t="s">
        <v>43</v>
      </c>
      <c r="I233" s="5" t="s">
        <v>44</v>
      </c>
      <c r="J233" s="3" t="s">
        <v>45</v>
      </c>
      <c r="K233" s="3" t="s">
        <v>146</v>
      </c>
      <c r="L233" s="3" t="s">
        <v>132</v>
      </c>
      <c r="M233" s="3" t="s">
        <v>48</v>
      </c>
      <c r="N233" s="4" t="s">
        <v>402</v>
      </c>
      <c r="O233" s="68" t="s">
        <v>586</v>
      </c>
      <c r="P233" s="3" t="s">
        <v>50</v>
      </c>
      <c r="Q233" s="3" t="s">
        <v>68</v>
      </c>
      <c r="R233" s="6">
        <v>1</v>
      </c>
      <c r="S233" s="3" t="s">
        <v>52</v>
      </c>
      <c r="T233" s="3" t="s">
        <v>53</v>
      </c>
      <c r="U233" s="3" t="s">
        <v>54</v>
      </c>
      <c r="V233" s="7"/>
      <c r="W233" s="7"/>
      <c r="X233" s="7"/>
      <c r="Y233" s="7"/>
      <c r="Z233" s="3" t="s">
        <v>55</v>
      </c>
      <c r="AA233" s="3" t="s">
        <v>56</v>
      </c>
      <c r="AB233" s="3" t="s">
        <v>57</v>
      </c>
      <c r="AD233" s="8">
        <v>21.762</v>
      </c>
      <c r="AE233" s="8">
        <v>21.962</v>
      </c>
      <c r="AG233" s="3">
        <v>1.44</v>
      </c>
      <c r="AH233" s="11">
        <v>57.6</v>
      </c>
      <c r="AI233" s="3">
        <v>20.32</v>
      </c>
      <c r="AJ233" s="88">
        <v>58.25</v>
      </c>
      <c r="AK233" s="3" t="s">
        <v>58</v>
      </c>
      <c r="AL233" s="9">
        <f t="shared" si="3"/>
        <v>69.899999999999991</v>
      </c>
      <c r="AM233" s="35" t="s">
        <v>5480</v>
      </c>
      <c r="AN233" t="s">
        <v>5519</v>
      </c>
      <c r="AO233" s="74" t="s">
        <v>5629</v>
      </c>
    </row>
    <row r="234" spans="1:41" ht="14.25" customHeight="1" x14ac:dyDescent="0.3">
      <c r="A234" s="3" t="s">
        <v>397</v>
      </c>
      <c r="B234" s="3" t="s">
        <v>403</v>
      </c>
      <c r="C234" s="3" t="s">
        <v>399</v>
      </c>
      <c r="D234" s="4" t="s">
        <v>404</v>
      </c>
      <c r="E234" s="3" t="s">
        <v>401</v>
      </c>
      <c r="F234" s="3" t="s">
        <v>41</v>
      </c>
      <c r="G234" s="5" t="s">
        <v>42</v>
      </c>
      <c r="H234" s="5" t="s">
        <v>43</v>
      </c>
      <c r="I234" s="5" t="s">
        <v>44</v>
      </c>
      <c r="J234" s="3" t="s">
        <v>45</v>
      </c>
      <c r="K234" s="3" t="s">
        <v>146</v>
      </c>
      <c r="L234" s="3" t="s">
        <v>132</v>
      </c>
      <c r="M234" s="3" t="s">
        <v>48</v>
      </c>
      <c r="N234" s="4" t="s">
        <v>402</v>
      </c>
      <c r="O234" s="67" t="s">
        <v>586</v>
      </c>
      <c r="P234" s="3" t="s">
        <v>405</v>
      </c>
      <c r="Q234" s="3" t="s">
        <v>68</v>
      </c>
      <c r="R234" s="6">
        <v>1</v>
      </c>
      <c r="S234" s="3" t="s">
        <v>52</v>
      </c>
      <c r="T234" s="3" t="s">
        <v>53</v>
      </c>
      <c r="U234" s="3" t="s">
        <v>148</v>
      </c>
      <c r="V234" s="7"/>
      <c r="W234" s="7"/>
      <c r="X234" s="7"/>
      <c r="Y234" s="7"/>
      <c r="Z234" s="3" t="s">
        <v>55</v>
      </c>
      <c r="AA234" s="3" t="s">
        <v>56</v>
      </c>
      <c r="AB234" s="3" t="s">
        <v>57</v>
      </c>
      <c r="AD234" s="8">
        <v>25.759</v>
      </c>
      <c r="AE234" s="8">
        <v>25.959</v>
      </c>
      <c r="AG234" s="3">
        <v>1.44</v>
      </c>
      <c r="AH234" s="11">
        <v>51.84</v>
      </c>
      <c r="AI234" s="3">
        <v>25.33</v>
      </c>
      <c r="AJ234" s="88">
        <v>62.415999999999997</v>
      </c>
      <c r="AK234" s="3" t="s">
        <v>58</v>
      </c>
      <c r="AL234" s="9">
        <f t="shared" si="3"/>
        <v>74.899199999999993</v>
      </c>
      <c r="AM234" s="35" t="s">
        <v>5480</v>
      </c>
      <c r="AN234" t="s">
        <v>5519</v>
      </c>
      <c r="AO234" s="74" t="s">
        <v>5629</v>
      </c>
    </row>
    <row r="235" spans="1:41" ht="14.25" customHeight="1" x14ac:dyDescent="0.3">
      <c r="A235" s="3" t="s">
        <v>799</v>
      </c>
      <c r="B235" s="3" t="s">
        <v>831</v>
      </c>
      <c r="C235" s="3" t="s">
        <v>795</v>
      </c>
      <c r="D235" s="3" t="s">
        <v>832</v>
      </c>
      <c r="E235" s="3" t="s">
        <v>802</v>
      </c>
      <c r="F235" s="3" t="s">
        <v>41</v>
      </c>
      <c r="G235" s="5" t="s">
        <v>42</v>
      </c>
      <c r="H235" s="5" t="s">
        <v>43</v>
      </c>
      <c r="I235" s="5" t="s">
        <v>44</v>
      </c>
      <c r="J235" s="3" t="s">
        <v>45</v>
      </c>
      <c r="K235" s="3" t="s">
        <v>146</v>
      </c>
      <c r="L235" s="3" t="s">
        <v>47</v>
      </c>
      <c r="M235" s="3" t="s">
        <v>48</v>
      </c>
      <c r="N235" s="3" t="s">
        <v>49</v>
      </c>
      <c r="O235" s="71" t="s">
        <v>49</v>
      </c>
      <c r="P235" s="3" t="s">
        <v>50</v>
      </c>
      <c r="Q235" s="3" t="s">
        <v>51</v>
      </c>
      <c r="R235" s="3">
        <v>2</v>
      </c>
      <c r="S235" s="3" t="s">
        <v>52</v>
      </c>
      <c r="T235" s="3" t="s">
        <v>53</v>
      </c>
      <c r="U235" s="3" t="s">
        <v>54</v>
      </c>
      <c r="V235" s="7"/>
      <c r="W235" s="7"/>
      <c r="X235" s="7"/>
      <c r="Y235" s="7"/>
      <c r="Z235" s="3" t="s">
        <v>55</v>
      </c>
      <c r="AA235" s="3" t="s">
        <v>88</v>
      </c>
      <c r="AB235" s="3" t="s">
        <v>57</v>
      </c>
      <c r="AD235" s="3">
        <v>29.79</v>
      </c>
      <c r="AE235" s="3">
        <v>29.79</v>
      </c>
      <c r="AG235" s="3">
        <v>1.44</v>
      </c>
      <c r="AH235" s="12">
        <v>50.4</v>
      </c>
      <c r="AI235" s="3">
        <v>21.1</v>
      </c>
      <c r="AJ235" s="88">
        <v>49.915999999999997</v>
      </c>
      <c r="AK235" s="3" t="s">
        <v>58</v>
      </c>
      <c r="AL235" s="9">
        <f t="shared" si="3"/>
        <v>59.899199999999993</v>
      </c>
      <c r="AN235" t="s">
        <v>5519</v>
      </c>
      <c r="AO235" s="74" t="s">
        <v>5629</v>
      </c>
    </row>
    <row r="236" spans="1:41" ht="14.25" customHeight="1" x14ac:dyDescent="0.3">
      <c r="A236" s="3" t="s">
        <v>799</v>
      </c>
      <c r="B236" s="3" t="s">
        <v>841</v>
      </c>
      <c r="C236" s="3" t="s">
        <v>795</v>
      </c>
      <c r="D236" s="3" t="s">
        <v>842</v>
      </c>
      <c r="E236" s="3" t="s">
        <v>802</v>
      </c>
      <c r="F236" s="3" t="s">
        <v>41</v>
      </c>
      <c r="G236" s="5" t="s">
        <v>42</v>
      </c>
      <c r="H236" s="5" t="s">
        <v>43</v>
      </c>
      <c r="I236" s="5" t="s">
        <v>44</v>
      </c>
      <c r="J236" s="3" t="s">
        <v>45</v>
      </c>
      <c r="K236" s="3" t="s">
        <v>146</v>
      </c>
      <c r="L236" s="3" t="s">
        <v>47</v>
      </c>
      <c r="M236" s="3" t="s">
        <v>48</v>
      </c>
      <c r="N236" s="3" t="s">
        <v>49</v>
      </c>
      <c r="O236" s="71" t="s">
        <v>49</v>
      </c>
      <c r="P236" s="3" t="s">
        <v>50</v>
      </c>
      <c r="Q236" s="3" t="s">
        <v>51</v>
      </c>
      <c r="R236" s="3">
        <v>2</v>
      </c>
      <c r="S236" s="3" t="s">
        <v>52</v>
      </c>
      <c r="T236" s="3" t="s">
        <v>53</v>
      </c>
      <c r="U236" s="3" t="s">
        <v>148</v>
      </c>
      <c r="V236" s="7"/>
      <c r="W236" s="7"/>
      <c r="X236" s="7"/>
      <c r="Y236" s="7"/>
      <c r="Z236" s="3" t="s">
        <v>55</v>
      </c>
      <c r="AA236" s="3" t="s">
        <v>88</v>
      </c>
      <c r="AB236" s="3" t="s">
        <v>57</v>
      </c>
      <c r="AD236" s="3">
        <v>30.3</v>
      </c>
      <c r="AE236" s="3">
        <v>30.3</v>
      </c>
      <c r="AG236" s="3">
        <v>1.44</v>
      </c>
      <c r="AH236" s="12">
        <v>50.4</v>
      </c>
      <c r="AI236" s="3">
        <v>27.5</v>
      </c>
      <c r="AJ236" s="88">
        <v>58.25</v>
      </c>
      <c r="AK236" s="3" t="s">
        <v>58</v>
      </c>
      <c r="AL236" s="9">
        <f t="shared" si="3"/>
        <v>69.899999999999991</v>
      </c>
      <c r="AN236" t="s">
        <v>5519</v>
      </c>
      <c r="AO236" s="74" t="s">
        <v>5629</v>
      </c>
    </row>
    <row r="237" spans="1:41" ht="14.25" customHeight="1" x14ac:dyDescent="0.3">
      <c r="A237" s="3" t="s">
        <v>799</v>
      </c>
      <c r="B237" s="3" t="s">
        <v>800</v>
      </c>
      <c r="C237" s="3" t="s">
        <v>795</v>
      </c>
      <c r="D237" s="3" t="s">
        <v>801</v>
      </c>
      <c r="E237" s="3" t="s">
        <v>802</v>
      </c>
      <c r="F237" s="3" t="s">
        <v>41</v>
      </c>
      <c r="G237" s="5" t="s">
        <v>42</v>
      </c>
      <c r="H237" s="5" t="s">
        <v>43</v>
      </c>
      <c r="I237" s="5" t="s">
        <v>44</v>
      </c>
      <c r="J237" s="3" t="s">
        <v>45</v>
      </c>
      <c r="K237" s="3" t="s">
        <v>146</v>
      </c>
      <c r="L237" s="3" t="s">
        <v>132</v>
      </c>
      <c r="M237" s="3" t="s">
        <v>48</v>
      </c>
      <c r="N237" s="3" t="s">
        <v>49</v>
      </c>
      <c r="O237" s="71" t="s">
        <v>49</v>
      </c>
      <c r="P237" s="3" t="s">
        <v>50</v>
      </c>
      <c r="Q237" s="3" t="s">
        <v>68</v>
      </c>
      <c r="R237" s="30">
        <v>2</v>
      </c>
      <c r="S237" s="3" t="s">
        <v>52</v>
      </c>
      <c r="T237" s="3" t="s">
        <v>53</v>
      </c>
      <c r="U237" s="3" t="s">
        <v>54</v>
      </c>
      <c r="V237" s="7"/>
      <c r="W237" s="7"/>
      <c r="X237" s="7"/>
      <c r="Y237" s="7"/>
      <c r="Z237" s="3" t="s">
        <v>55</v>
      </c>
      <c r="AA237" s="3" t="s">
        <v>88</v>
      </c>
      <c r="AB237" s="3" t="s">
        <v>57</v>
      </c>
      <c r="AD237" s="3">
        <v>63.65</v>
      </c>
      <c r="AE237" s="3">
        <v>63.65</v>
      </c>
      <c r="AG237" s="3">
        <v>2.88</v>
      </c>
      <c r="AH237" s="12">
        <v>57.6</v>
      </c>
      <c r="AI237" s="3">
        <v>28.6</v>
      </c>
      <c r="AJ237" s="88">
        <v>66.582999999999998</v>
      </c>
      <c r="AK237" s="3" t="s">
        <v>58</v>
      </c>
      <c r="AL237" s="9">
        <f t="shared" si="3"/>
        <v>79.899599999999992</v>
      </c>
      <c r="AN237" t="s">
        <v>5519</v>
      </c>
      <c r="AO237" s="74" t="s">
        <v>5629</v>
      </c>
    </row>
    <row r="238" spans="1:41" ht="14.25" customHeight="1" x14ac:dyDescent="0.3">
      <c r="A238" s="3" t="s">
        <v>799</v>
      </c>
      <c r="B238" s="3" t="s">
        <v>817</v>
      </c>
      <c r="C238" s="3" t="s">
        <v>795</v>
      </c>
      <c r="D238" s="3" t="s">
        <v>818</v>
      </c>
      <c r="E238" s="3" t="s">
        <v>802</v>
      </c>
      <c r="F238" s="3" t="s">
        <v>41</v>
      </c>
      <c r="G238" s="5" t="s">
        <v>42</v>
      </c>
      <c r="H238" s="5" t="s">
        <v>43</v>
      </c>
      <c r="I238" s="5" t="s">
        <v>44</v>
      </c>
      <c r="J238" s="3" t="s">
        <v>45</v>
      </c>
      <c r="K238" s="3" t="s">
        <v>146</v>
      </c>
      <c r="L238" s="3" t="s">
        <v>132</v>
      </c>
      <c r="M238" s="3" t="s">
        <v>48</v>
      </c>
      <c r="N238" s="3" t="s">
        <v>49</v>
      </c>
      <c r="O238" s="71" t="s">
        <v>49</v>
      </c>
      <c r="P238" s="3" t="s">
        <v>50</v>
      </c>
      <c r="Q238" s="3" t="s">
        <v>68</v>
      </c>
      <c r="R238" s="3">
        <v>2</v>
      </c>
      <c r="S238" s="3" t="s">
        <v>52</v>
      </c>
      <c r="T238" s="3" t="s">
        <v>53</v>
      </c>
      <c r="U238" s="3" t="s">
        <v>148</v>
      </c>
      <c r="V238" s="7"/>
      <c r="W238" s="7"/>
      <c r="X238" s="7"/>
      <c r="Y238" s="7"/>
      <c r="Z238" s="3" t="s">
        <v>55</v>
      </c>
      <c r="AA238" s="3" t="s">
        <v>88</v>
      </c>
      <c r="AB238" s="3" t="s">
        <v>57</v>
      </c>
      <c r="AD238" s="3">
        <v>61.57</v>
      </c>
      <c r="AE238" s="3">
        <v>61.57</v>
      </c>
      <c r="AG238" s="3">
        <v>2.88</v>
      </c>
      <c r="AH238" s="12">
        <v>57.6</v>
      </c>
      <c r="AI238" s="3">
        <v>31.5</v>
      </c>
      <c r="AJ238" s="88">
        <v>70.75</v>
      </c>
      <c r="AK238" s="3" t="s">
        <v>58</v>
      </c>
      <c r="AL238" s="9">
        <f t="shared" si="3"/>
        <v>84.899999999999991</v>
      </c>
      <c r="AN238" t="s">
        <v>5519</v>
      </c>
      <c r="AO238" s="74" t="s">
        <v>5629</v>
      </c>
    </row>
    <row r="239" spans="1:41" ht="14.25" customHeight="1" x14ac:dyDescent="0.3">
      <c r="A239" s="3" t="s">
        <v>914</v>
      </c>
      <c r="B239" s="3" t="s">
        <v>920</v>
      </c>
      <c r="C239" s="3" t="s">
        <v>916</v>
      </c>
      <c r="D239" s="3" t="s">
        <v>921</v>
      </c>
      <c r="E239" s="3" t="s">
        <v>918</v>
      </c>
      <c r="F239" s="3" t="s">
        <v>41</v>
      </c>
      <c r="G239" s="5" t="s">
        <v>42</v>
      </c>
      <c r="H239" s="5" t="s">
        <v>43</v>
      </c>
      <c r="I239" s="5" t="s">
        <v>44</v>
      </c>
      <c r="J239" s="3" t="s">
        <v>45</v>
      </c>
      <c r="K239" s="3" t="s">
        <v>146</v>
      </c>
      <c r="L239" s="3" t="s">
        <v>47</v>
      </c>
      <c r="M239" s="3" t="s">
        <v>48</v>
      </c>
      <c r="N239" s="4" t="s">
        <v>919</v>
      </c>
      <c r="O239" s="68" t="s">
        <v>586</v>
      </c>
      <c r="P239" s="3" t="s">
        <v>151</v>
      </c>
      <c r="Q239" s="3" t="s">
        <v>51</v>
      </c>
      <c r="R239" s="3">
        <v>2</v>
      </c>
      <c r="S239" s="3" t="s">
        <v>52</v>
      </c>
      <c r="T239" s="3" t="s">
        <v>53</v>
      </c>
      <c r="U239" s="3" t="s">
        <v>148</v>
      </c>
      <c r="V239" s="7"/>
      <c r="W239" s="7"/>
      <c r="X239" s="7"/>
      <c r="Y239" s="7"/>
      <c r="Z239" s="3" t="s">
        <v>55</v>
      </c>
      <c r="AA239" s="3" t="s">
        <v>88</v>
      </c>
      <c r="AB239" s="3" t="s">
        <v>57</v>
      </c>
      <c r="AD239" s="13">
        <v>16.271999999999998</v>
      </c>
      <c r="AE239" s="3">
        <v>16.271999999999998</v>
      </c>
      <c r="AG239" s="3">
        <v>1.44</v>
      </c>
      <c r="AH239" s="3">
        <v>43.2</v>
      </c>
      <c r="AI239" s="3">
        <v>27.5</v>
      </c>
      <c r="AJ239" s="89">
        <f>74.9/1.2</f>
        <v>62.416666666666671</v>
      </c>
      <c r="AK239" s="3" t="s">
        <v>58</v>
      </c>
      <c r="AM239" s="35" t="s">
        <v>5480</v>
      </c>
      <c r="AN239" t="s">
        <v>5519</v>
      </c>
      <c r="AO239" s="74" t="s">
        <v>5629</v>
      </c>
    </row>
    <row r="240" spans="1:41" ht="14.25" customHeight="1" x14ac:dyDescent="0.3">
      <c r="A240" s="3" t="s">
        <v>914</v>
      </c>
      <c r="B240" s="3" t="s">
        <v>915</v>
      </c>
      <c r="C240" s="3" t="s">
        <v>916</v>
      </c>
      <c r="D240" s="3" t="s">
        <v>917</v>
      </c>
      <c r="E240" s="3" t="s">
        <v>918</v>
      </c>
      <c r="F240" s="3" t="s">
        <v>41</v>
      </c>
      <c r="G240" s="5" t="s">
        <v>42</v>
      </c>
      <c r="H240" s="5" t="s">
        <v>43</v>
      </c>
      <c r="I240" s="5" t="s">
        <v>44</v>
      </c>
      <c r="J240" s="3" t="s">
        <v>45</v>
      </c>
      <c r="K240" s="3" t="s">
        <v>146</v>
      </c>
      <c r="L240" s="3" t="s">
        <v>132</v>
      </c>
      <c r="M240" s="3" t="s">
        <v>48</v>
      </c>
      <c r="N240" s="4" t="s">
        <v>919</v>
      </c>
      <c r="O240" s="68" t="s">
        <v>586</v>
      </c>
      <c r="P240" s="3" t="s">
        <v>147</v>
      </c>
      <c r="Q240" s="3" t="s">
        <v>68</v>
      </c>
      <c r="R240" s="3">
        <v>2</v>
      </c>
      <c r="S240" s="3" t="s">
        <v>52</v>
      </c>
      <c r="T240" s="3" t="s">
        <v>53</v>
      </c>
      <c r="U240" s="3" t="s">
        <v>148</v>
      </c>
      <c r="V240" s="7"/>
      <c r="W240" s="7"/>
      <c r="X240" s="7"/>
      <c r="Y240" s="7"/>
      <c r="Z240" s="3" t="s">
        <v>55</v>
      </c>
      <c r="AA240" s="3" t="s">
        <v>88</v>
      </c>
      <c r="AB240" s="3" t="s">
        <v>57</v>
      </c>
      <c r="AD240" s="13">
        <v>21.254000000000001</v>
      </c>
      <c r="AE240" s="3">
        <v>21.254000000000001</v>
      </c>
      <c r="AG240" s="3">
        <v>2.88</v>
      </c>
      <c r="AH240" s="3">
        <v>69.12</v>
      </c>
      <c r="AI240" s="3">
        <v>37.5</v>
      </c>
      <c r="AJ240" s="89">
        <f>89.9/1.2</f>
        <v>74.916666666666671</v>
      </c>
      <c r="AK240" s="3" t="s">
        <v>58</v>
      </c>
      <c r="AL240" s="3">
        <f t="shared" ref="AL240:AL271" si="4">AJ240*1.2</f>
        <v>89.9</v>
      </c>
      <c r="AM240" s="35" t="s">
        <v>5480</v>
      </c>
      <c r="AN240" t="s">
        <v>5519</v>
      </c>
      <c r="AO240" s="74" t="s">
        <v>5629</v>
      </c>
    </row>
    <row r="241" spans="1:41" ht="14.25" customHeight="1" x14ac:dyDescent="0.3">
      <c r="A241" s="3" t="s">
        <v>922</v>
      </c>
      <c r="B241" s="3" t="s">
        <v>929</v>
      </c>
      <c r="C241" s="3" t="s">
        <v>924</v>
      </c>
      <c r="D241" s="4" t="s">
        <v>930</v>
      </c>
      <c r="E241" s="3" t="s">
        <v>926</v>
      </c>
      <c r="F241" s="3" t="s">
        <v>41</v>
      </c>
      <c r="G241" s="5" t="s">
        <v>42</v>
      </c>
      <c r="H241" s="5" t="s">
        <v>43</v>
      </c>
      <c r="I241" s="5" t="s">
        <v>44</v>
      </c>
      <c r="J241" s="3" t="s">
        <v>45</v>
      </c>
      <c r="K241" s="3" t="s">
        <v>146</v>
      </c>
      <c r="L241" s="3" t="s">
        <v>67</v>
      </c>
      <c r="M241" s="3" t="s">
        <v>48</v>
      </c>
      <c r="N241" s="4" t="s">
        <v>279</v>
      </c>
      <c r="O241" s="68" t="s">
        <v>279</v>
      </c>
      <c r="P241" s="3" t="s">
        <v>87</v>
      </c>
      <c r="Q241" s="3" t="s">
        <v>68</v>
      </c>
      <c r="R241" s="3">
        <v>4</v>
      </c>
      <c r="S241" s="3" t="s">
        <v>52</v>
      </c>
      <c r="T241" s="3" t="s">
        <v>53</v>
      </c>
      <c r="U241" s="3" t="s">
        <v>148</v>
      </c>
      <c r="V241" s="7"/>
      <c r="W241" s="7"/>
      <c r="X241" s="7"/>
      <c r="Y241" s="7"/>
      <c r="Z241" s="3" t="s">
        <v>55</v>
      </c>
      <c r="AA241" s="3" t="s">
        <v>56</v>
      </c>
      <c r="AB241" s="3" t="s">
        <v>57</v>
      </c>
      <c r="AD241" s="8">
        <v>19.535</v>
      </c>
      <c r="AE241" s="8">
        <v>20.512</v>
      </c>
      <c r="AG241" s="3">
        <v>1.44</v>
      </c>
      <c r="AH241" s="11">
        <v>43.2</v>
      </c>
      <c r="AI241" s="3">
        <v>17.079999999999998</v>
      </c>
      <c r="AJ241" s="88">
        <v>35.75</v>
      </c>
      <c r="AK241" s="3" t="s">
        <v>58</v>
      </c>
      <c r="AL241" s="9">
        <f t="shared" si="4"/>
        <v>42.9</v>
      </c>
      <c r="AN241" t="s">
        <v>5519</v>
      </c>
      <c r="AO241" s="74" t="s">
        <v>5629</v>
      </c>
    </row>
    <row r="242" spans="1:41" ht="14.25" customHeight="1" x14ac:dyDescent="0.3">
      <c r="A242" s="3" t="s">
        <v>922</v>
      </c>
      <c r="B242" s="3" t="s">
        <v>927</v>
      </c>
      <c r="C242" s="3" t="s">
        <v>924</v>
      </c>
      <c r="D242" s="4" t="s">
        <v>928</v>
      </c>
      <c r="E242" s="3" t="s">
        <v>926</v>
      </c>
      <c r="F242" s="3" t="s">
        <v>41</v>
      </c>
      <c r="G242" s="5" t="s">
        <v>42</v>
      </c>
      <c r="H242" s="5" t="s">
        <v>43</v>
      </c>
      <c r="I242" s="5" t="s">
        <v>44</v>
      </c>
      <c r="J242" s="3" t="s">
        <v>45</v>
      </c>
      <c r="K242" s="3" t="s">
        <v>146</v>
      </c>
      <c r="L242" s="3" t="s">
        <v>47</v>
      </c>
      <c r="M242" s="3" t="s">
        <v>48</v>
      </c>
      <c r="N242" s="4" t="s">
        <v>279</v>
      </c>
      <c r="O242" s="68" t="s">
        <v>279</v>
      </c>
      <c r="P242" s="3" t="s">
        <v>388</v>
      </c>
      <c r="Q242" s="3" t="s">
        <v>51</v>
      </c>
      <c r="R242" s="3">
        <v>2</v>
      </c>
      <c r="S242" s="3" t="s">
        <v>52</v>
      </c>
      <c r="T242" s="3" t="s">
        <v>53</v>
      </c>
      <c r="U242" s="3" t="s">
        <v>148</v>
      </c>
      <c r="V242" s="7"/>
      <c r="W242" s="7"/>
      <c r="X242" s="7"/>
      <c r="Y242" s="7"/>
      <c r="Z242" s="3" t="s">
        <v>55</v>
      </c>
      <c r="AA242" s="3" t="s">
        <v>56</v>
      </c>
      <c r="AB242" s="3" t="s">
        <v>57</v>
      </c>
      <c r="AD242" s="8">
        <v>24.306000000000001</v>
      </c>
      <c r="AE242" s="8">
        <v>24.74</v>
      </c>
      <c r="AG242" s="3">
        <v>1.44</v>
      </c>
      <c r="AH242" s="11">
        <v>46.08</v>
      </c>
      <c r="AI242" s="3">
        <v>20.83</v>
      </c>
      <c r="AJ242" s="88">
        <v>41.582999999999998</v>
      </c>
      <c r="AK242" s="3" t="s">
        <v>58</v>
      </c>
      <c r="AL242" s="9">
        <f t="shared" si="4"/>
        <v>49.8996</v>
      </c>
      <c r="AN242" t="s">
        <v>5519</v>
      </c>
      <c r="AO242" s="74" t="s">
        <v>5629</v>
      </c>
    </row>
    <row r="243" spans="1:41" ht="14.25" customHeight="1" x14ac:dyDescent="0.3">
      <c r="A243" s="3" t="s">
        <v>922</v>
      </c>
      <c r="B243" s="3" t="s">
        <v>923</v>
      </c>
      <c r="C243" s="3" t="s">
        <v>924</v>
      </c>
      <c r="D243" s="4" t="s">
        <v>925</v>
      </c>
      <c r="E243" s="3" t="s">
        <v>926</v>
      </c>
      <c r="F243" s="3" t="s">
        <v>41</v>
      </c>
      <c r="G243" s="5" t="s">
        <v>42</v>
      </c>
      <c r="H243" s="5" t="s">
        <v>43</v>
      </c>
      <c r="I243" s="5" t="s">
        <v>44</v>
      </c>
      <c r="J243" s="3" t="s">
        <v>45</v>
      </c>
      <c r="K243" s="3" t="s">
        <v>146</v>
      </c>
      <c r="L243" s="3" t="s">
        <v>132</v>
      </c>
      <c r="M243" s="3" t="s">
        <v>48</v>
      </c>
      <c r="N243" s="4" t="s">
        <v>279</v>
      </c>
      <c r="O243" s="68" t="s">
        <v>279</v>
      </c>
      <c r="P243" s="3" t="s">
        <v>50</v>
      </c>
      <c r="Q243" s="3" t="s">
        <v>68</v>
      </c>
      <c r="R243" s="3">
        <v>1</v>
      </c>
      <c r="S243" s="3" t="s">
        <v>52</v>
      </c>
      <c r="T243" s="3" t="s">
        <v>53</v>
      </c>
      <c r="U243" s="3" t="s">
        <v>148</v>
      </c>
      <c r="V243" s="7"/>
      <c r="W243" s="7"/>
      <c r="X243" s="7"/>
      <c r="Y243" s="7"/>
      <c r="Z243" s="3" t="s">
        <v>55</v>
      </c>
      <c r="AA243" s="3" t="s">
        <v>56</v>
      </c>
      <c r="AB243" s="3" t="s">
        <v>57</v>
      </c>
      <c r="AD243" s="8">
        <v>25.759</v>
      </c>
      <c r="AE243" s="8">
        <v>25.959</v>
      </c>
      <c r="AG243" s="3">
        <v>1.44</v>
      </c>
      <c r="AH243" s="11">
        <v>51.84</v>
      </c>
      <c r="AI243" s="3">
        <v>25.33</v>
      </c>
      <c r="AJ243" s="88">
        <v>62.415999999999997</v>
      </c>
      <c r="AK243" s="3" t="s">
        <v>58</v>
      </c>
      <c r="AL243" s="9">
        <f t="shared" si="4"/>
        <v>74.899199999999993</v>
      </c>
      <c r="AN243" t="s">
        <v>5519</v>
      </c>
      <c r="AO243" s="74" t="s">
        <v>5629</v>
      </c>
    </row>
    <row r="244" spans="1:41" ht="14.25" customHeight="1" x14ac:dyDescent="0.3">
      <c r="A244" s="3" t="s">
        <v>1381</v>
      </c>
      <c r="B244" s="3" t="s">
        <v>1382</v>
      </c>
      <c r="C244" s="3" t="s">
        <v>1383</v>
      </c>
      <c r="D244" s="3" t="s">
        <v>1384</v>
      </c>
      <c r="E244" s="3" t="s">
        <v>1385</v>
      </c>
      <c r="F244" s="3" t="s">
        <v>41</v>
      </c>
      <c r="G244" s="5" t="s">
        <v>42</v>
      </c>
      <c r="H244" s="5" t="s">
        <v>43</v>
      </c>
      <c r="I244" s="5" t="s">
        <v>44</v>
      </c>
      <c r="J244" s="3" t="s">
        <v>45</v>
      </c>
      <c r="K244" s="3" t="s">
        <v>1276</v>
      </c>
      <c r="L244" s="3" t="s">
        <v>67</v>
      </c>
      <c r="M244" s="3" t="s">
        <v>48</v>
      </c>
      <c r="N244" s="3" t="s">
        <v>1386</v>
      </c>
      <c r="O244" s="69" t="s">
        <v>586</v>
      </c>
      <c r="P244" s="3" t="s">
        <v>87</v>
      </c>
      <c r="Q244" s="3" t="s">
        <v>68</v>
      </c>
      <c r="R244" s="3">
        <v>3</v>
      </c>
      <c r="S244" s="3" t="s">
        <v>52</v>
      </c>
      <c r="T244" s="3" t="s">
        <v>53</v>
      </c>
      <c r="U244" s="3" t="s">
        <v>54</v>
      </c>
      <c r="V244" s="7"/>
      <c r="W244" s="7"/>
      <c r="X244" s="7"/>
      <c r="Y244" s="7"/>
      <c r="Z244" s="3" t="s">
        <v>55</v>
      </c>
      <c r="AA244" s="3" t="s">
        <v>88</v>
      </c>
      <c r="AB244" s="3" t="s">
        <v>57</v>
      </c>
      <c r="AD244" s="3">
        <v>7.83</v>
      </c>
      <c r="AE244" s="3">
        <v>7.83</v>
      </c>
      <c r="AF244" s="3">
        <v>752</v>
      </c>
      <c r="AG244" s="3">
        <v>1.08</v>
      </c>
      <c r="AH244" s="3">
        <v>34.56</v>
      </c>
      <c r="AI244" s="3">
        <v>17.5</v>
      </c>
      <c r="AJ244" s="89">
        <f>49.9/1.2</f>
        <v>41.583333333333336</v>
      </c>
      <c r="AK244" s="3" t="s">
        <v>58</v>
      </c>
      <c r="AL244" s="3">
        <f t="shared" si="4"/>
        <v>49.9</v>
      </c>
      <c r="AN244" t="s">
        <v>5519</v>
      </c>
      <c r="AO244" s="74" t="s">
        <v>5639</v>
      </c>
    </row>
    <row r="245" spans="1:41" ht="14.25" customHeight="1" x14ac:dyDescent="0.3">
      <c r="A245" s="3" t="s">
        <v>1381</v>
      </c>
      <c r="B245" s="3" t="s">
        <v>1387</v>
      </c>
      <c r="C245" s="3" t="s">
        <v>1383</v>
      </c>
      <c r="D245" s="3" t="s">
        <v>1388</v>
      </c>
      <c r="E245" s="3" t="s">
        <v>1385</v>
      </c>
      <c r="F245" s="3" t="s">
        <v>41</v>
      </c>
      <c r="G245" s="5" t="s">
        <v>42</v>
      </c>
      <c r="H245" s="5" t="s">
        <v>43</v>
      </c>
      <c r="I245" s="5" t="s">
        <v>44</v>
      </c>
      <c r="J245" s="3" t="s">
        <v>45</v>
      </c>
      <c r="K245" s="3" t="s">
        <v>146</v>
      </c>
      <c r="L245" s="3" t="s">
        <v>67</v>
      </c>
      <c r="M245" s="3" t="s">
        <v>48</v>
      </c>
      <c r="N245" s="3" t="s">
        <v>1389</v>
      </c>
      <c r="O245" s="69" t="s">
        <v>279</v>
      </c>
      <c r="P245" s="3" t="s">
        <v>87</v>
      </c>
      <c r="Q245" s="3" t="s">
        <v>68</v>
      </c>
      <c r="R245" s="3">
        <v>3</v>
      </c>
      <c r="S245" s="3" t="s">
        <v>52</v>
      </c>
      <c r="T245" s="3" t="s">
        <v>53</v>
      </c>
      <c r="U245" s="3" t="s">
        <v>54</v>
      </c>
      <c r="V245" s="7"/>
      <c r="W245" s="7"/>
      <c r="X245" s="7"/>
      <c r="Y245" s="7"/>
      <c r="Z245" s="3" t="s">
        <v>55</v>
      </c>
      <c r="AA245" s="3" t="s">
        <v>88</v>
      </c>
      <c r="AB245" s="3" t="s">
        <v>57</v>
      </c>
      <c r="AD245" s="3">
        <v>7.83</v>
      </c>
      <c r="AE245" s="3">
        <v>7.83</v>
      </c>
      <c r="AF245" s="3">
        <v>752</v>
      </c>
      <c r="AG245" s="3">
        <v>1.08</v>
      </c>
      <c r="AH245" s="3">
        <v>34.56</v>
      </c>
      <c r="AI245" s="3">
        <v>17.5</v>
      </c>
      <c r="AJ245" s="89">
        <f>49.9/1.2</f>
        <v>41.583333333333336</v>
      </c>
      <c r="AK245" s="3" t="s">
        <v>58</v>
      </c>
      <c r="AL245" s="3">
        <f t="shared" si="4"/>
        <v>49.9</v>
      </c>
      <c r="AN245" t="s">
        <v>5519</v>
      </c>
      <c r="AO245" s="74" t="s">
        <v>5639</v>
      </c>
    </row>
    <row r="246" spans="1:41" ht="14.25" customHeight="1" x14ac:dyDescent="0.3">
      <c r="A246" s="3" t="s">
        <v>1381</v>
      </c>
      <c r="B246" s="3" t="s">
        <v>1390</v>
      </c>
      <c r="C246" s="3" t="s">
        <v>1383</v>
      </c>
      <c r="D246" s="3" t="s">
        <v>1391</v>
      </c>
      <c r="E246" s="3" t="s">
        <v>1385</v>
      </c>
      <c r="F246" s="3" t="s">
        <v>41</v>
      </c>
      <c r="G246" s="5" t="s">
        <v>42</v>
      </c>
      <c r="H246" s="5" t="s">
        <v>43</v>
      </c>
      <c r="I246" s="5" t="s">
        <v>44</v>
      </c>
      <c r="J246" s="3" t="s">
        <v>45</v>
      </c>
      <c r="K246" s="3" t="s">
        <v>146</v>
      </c>
      <c r="L246" s="3" t="s">
        <v>67</v>
      </c>
      <c r="M246" s="3" t="s">
        <v>48</v>
      </c>
      <c r="N246" s="3" t="s">
        <v>1392</v>
      </c>
      <c r="O246" s="69" t="s">
        <v>64</v>
      </c>
      <c r="P246" s="3" t="s">
        <v>87</v>
      </c>
      <c r="Q246" s="3" t="s">
        <v>68</v>
      </c>
      <c r="R246" s="3">
        <v>3</v>
      </c>
      <c r="S246" s="3" t="s">
        <v>52</v>
      </c>
      <c r="T246" s="3" t="s">
        <v>53</v>
      </c>
      <c r="U246" s="3" t="s">
        <v>54</v>
      </c>
      <c r="V246" s="7"/>
      <c r="W246" s="7"/>
      <c r="X246" s="7"/>
      <c r="Y246" s="7"/>
      <c r="Z246" s="3" t="s">
        <v>55</v>
      </c>
      <c r="AA246" s="3" t="s">
        <v>88</v>
      </c>
      <c r="AB246" s="3" t="s">
        <v>57</v>
      </c>
      <c r="AD246" s="3">
        <v>7.83</v>
      </c>
      <c r="AE246" s="3">
        <v>7.83</v>
      </c>
      <c r="AF246" s="3">
        <v>752</v>
      </c>
      <c r="AG246" s="3">
        <v>1.08</v>
      </c>
      <c r="AH246" s="3">
        <v>34.56</v>
      </c>
      <c r="AI246" s="3">
        <v>17.5</v>
      </c>
      <c r="AJ246" s="89">
        <f>49.9/1.2</f>
        <v>41.583333333333336</v>
      </c>
      <c r="AK246" s="3" t="s">
        <v>58</v>
      </c>
      <c r="AL246" s="3">
        <f t="shared" si="4"/>
        <v>49.9</v>
      </c>
      <c r="AN246" t="s">
        <v>5519</v>
      </c>
      <c r="AO246" s="74" t="s">
        <v>5639</v>
      </c>
    </row>
    <row r="247" spans="1:41" ht="14.25" customHeight="1" x14ac:dyDescent="0.3">
      <c r="A247" s="3" t="s">
        <v>1381</v>
      </c>
      <c r="B247" s="3" t="s">
        <v>1393</v>
      </c>
      <c r="C247" s="3" t="s">
        <v>1383</v>
      </c>
      <c r="D247" s="3" t="s">
        <v>1394</v>
      </c>
      <c r="E247" s="3" t="s">
        <v>1385</v>
      </c>
      <c r="F247" s="3" t="s">
        <v>41</v>
      </c>
      <c r="G247" s="5" t="s">
        <v>42</v>
      </c>
      <c r="H247" s="5" t="s">
        <v>43</v>
      </c>
      <c r="I247" s="5" t="s">
        <v>44</v>
      </c>
      <c r="J247" s="3" t="s">
        <v>45</v>
      </c>
      <c r="K247" s="3" t="s">
        <v>146</v>
      </c>
      <c r="L247" s="3" t="s">
        <v>67</v>
      </c>
      <c r="M247" s="3" t="s">
        <v>48</v>
      </c>
      <c r="N247" s="3" t="s">
        <v>1395</v>
      </c>
      <c r="O247" s="69" t="s">
        <v>61</v>
      </c>
      <c r="P247" s="3" t="s">
        <v>87</v>
      </c>
      <c r="Q247" s="3" t="s">
        <v>68</v>
      </c>
      <c r="R247" s="3">
        <v>3</v>
      </c>
      <c r="S247" s="3" t="s">
        <v>52</v>
      </c>
      <c r="T247" s="3" t="s">
        <v>53</v>
      </c>
      <c r="U247" s="3" t="s">
        <v>54</v>
      </c>
      <c r="V247" s="7"/>
      <c r="W247" s="7"/>
      <c r="X247" s="7"/>
      <c r="Y247" s="7"/>
      <c r="Z247" s="3" t="s">
        <v>55</v>
      </c>
      <c r="AA247" s="3" t="s">
        <v>88</v>
      </c>
      <c r="AB247" s="3" t="s">
        <v>57</v>
      </c>
      <c r="AD247" s="3">
        <v>7.83</v>
      </c>
      <c r="AE247" s="3">
        <v>7.83</v>
      </c>
      <c r="AF247" s="3">
        <v>752</v>
      </c>
      <c r="AG247" s="3">
        <v>1.08</v>
      </c>
      <c r="AH247" s="3">
        <v>34.56</v>
      </c>
      <c r="AI247" s="3">
        <v>17.5</v>
      </c>
      <c r="AJ247" s="89">
        <f>49.9/1.2</f>
        <v>41.583333333333336</v>
      </c>
      <c r="AK247" s="3" t="s">
        <v>58</v>
      </c>
      <c r="AL247" s="3">
        <f t="shared" si="4"/>
        <v>49.9</v>
      </c>
      <c r="AN247" t="s">
        <v>5519</v>
      </c>
      <c r="AO247" s="74" t="s">
        <v>5639</v>
      </c>
    </row>
    <row r="248" spans="1:41" ht="14.25" customHeight="1" x14ac:dyDescent="0.3">
      <c r="A248" s="3" t="s">
        <v>1381</v>
      </c>
      <c r="B248" s="3" t="s">
        <v>1396</v>
      </c>
      <c r="C248" s="3" t="s">
        <v>1383</v>
      </c>
      <c r="D248" s="3" t="s">
        <v>1397</v>
      </c>
      <c r="E248" s="3" t="s">
        <v>1385</v>
      </c>
      <c r="F248" s="3" t="s">
        <v>41</v>
      </c>
      <c r="G248" s="5" t="s">
        <v>42</v>
      </c>
      <c r="H248" s="5" t="s">
        <v>43</v>
      </c>
      <c r="I248" s="5" t="s">
        <v>44</v>
      </c>
      <c r="J248" s="3" t="s">
        <v>45</v>
      </c>
      <c r="K248" s="3" t="s">
        <v>146</v>
      </c>
      <c r="L248" s="3" t="s">
        <v>67</v>
      </c>
      <c r="M248" s="3" t="s">
        <v>48</v>
      </c>
      <c r="N248" s="3" t="s">
        <v>1398</v>
      </c>
      <c r="O248" s="69" t="s">
        <v>61</v>
      </c>
      <c r="P248" s="3" t="s">
        <v>87</v>
      </c>
      <c r="Q248" s="3" t="s">
        <v>68</v>
      </c>
      <c r="R248" s="3">
        <v>3</v>
      </c>
      <c r="S248" s="3" t="s">
        <v>52</v>
      </c>
      <c r="T248" s="3" t="s">
        <v>53</v>
      </c>
      <c r="U248" s="3" t="s">
        <v>54</v>
      </c>
      <c r="V248" s="7"/>
      <c r="W248" s="7"/>
      <c r="X248" s="7"/>
      <c r="Y248" s="7"/>
      <c r="Z248" s="3" t="s">
        <v>55</v>
      </c>
      <c r="AA248" s="3" t="s">
        <v>88</v>
      </c>
      <c r="AB248" s="3" t="s">
        <v>57</v>
      </c>
      <c r="AD248" s="3">
        <v>7.83</v>
      </c>
      <c r="AE248" s="3">
        <v>7.83</v>
      </c>
      <c r="AF248" s="3">
        <v>752</v>
      </c>
      <c r="AG248" s="3">
        <v>1.08</v>
      </c>
      <c r="AH248" s="3">
        <v>34.56</v>
      </c>
      <c r="AI248" s="3">
        <v>17.5</v>
      </c>
      <c r="AJ248" s="89">
        <f>49.9/1.2</f>
        <v>41.583333333333336</v>
      </c>
      <c r="AK248" s="3" t="s">
        <v>58</v>
      </c>
      <c r="AL248" s="3">
        <f t="shared" si="4"/>
        <v>49.9</v>
      </c>
      <c r="AN248" t="s">
        <v>5519</v>
      </c>
      <c r="AO248" s="74" t="s">
        <v>5639</v>
      </c>
    </row>
    <row r="249" spans="1:41" ht="14.25" customHeight="1" x14ac:dyDescent="0.3">
      <c r="A249" s="3" t="s">
        <v>1381</v>
      </c>
      <c r="B249" s="3" t="s">
        <v>1399</v>
      </c>
      <c r="C249" s="3" t="s">
        <v>1383</v>
      </c>
      <c r="D249" s="3" t="s">
        <v>1400</v>
      </c>
      <c r="E249" s="3" t="s">
        <v>1385</v>
      </c>
      <c r="F249" s="3" t="s">
        <v>41</v>
      </c>
      <c r="G249" s="5" t="s">
        <v>42</v>
      </c>
      <c r="H249" s="5" t="s">
        <v>43</v>
      </c>
      <c r="I249" s="5" t="s">
        <v>44</v>
      </c>
      <c r="J249" s="3" t="s">
        <v>45</v>
      </c>
      <c r="K249" s="3" t="s">
        <v>146</v>
      </c>
      <c r="L249" s="3" t="s">
        <v>47</v>
      </c>
      <c r="M249" s="3" t="s">
        <v>48</v>
      </c>
      <c r="N249" s="3" t="s">
        <v>1386</v>
      </c>
      <c r="O249" s="69" t="s">
        <v>586</v>
      </c>
      <c r="P249" s="3" t="s">
        <v>87</v>
      </c>
      <c r="Q249" s="3" t="s">
        <v>51</v>
      </c>
      <c r="R249" s="3">
        <v>2</v>
      </c>
      <c r="S249" s="3" t="s">
        <v>52</v>
      </c>
      <c r="T249" s="3" t="s">
        <v>53</v>
      </c>
      <c r="U249" s="3" t="s">
        <v>54</v>
      </c>
      <c r="V249" s="7"/>
      <c r="W249" s="7"/>
      <c r="X249" s="7"/>
      <c r="Y249" s="7"/>
      <c r="Z249" s="3" t="s">
        <v>55</v>
      </c>
      <c r="AA249" s="3" t="s">
        <v>88</v>
      </c>
      <c r="AB249" s="3" t="s">
        <v>57</v>
      </c>
      <c r="AD249" s="3">
        <v>15.75</v>
      </c>
      <c r="AE249" s="3">
        <v>15.75</v>
      </c>
      <c r="AF249" s="3">
        <v>1008</v>
      </c>
      <c r="AG249" s="3">
        <v>1.44</v>
      </c>
      <c r="AH249" s="3">
        <v>46.08</v>
      </c>
      <c r="AI249" s="3">
        <v>20.5</v>
      </c>
      <c r="AJ249" s="89">
        <f t="shared" ref="AJ249:AJ258" si="5">59.9/1.2</f>
        <v>49.916666666666664</v>
      </c>
      <c r="AK249" s="3" t="s">
        <v>58</v>
      </c>
      <c r="AL249" s="3">
        <f t="shared" si="4"/>
        <v>59.899999999999991</v>
      </c>
      <c r="AN249" t="s">
        <v>5519</v>
      </c>
      <c r="AO249" s="74" t="s">
        <v>5639</v>
      </c>
    </row>
    <row r="250" spans="1:41" ht="14.25" customHeight="1" x14ac:dyDescent="0.3">
      <c r="A250" s="3" t="s">
        <v>1381</v>
      </c>
      <c r="B250" s="3" t="s">
        <v>1401</v>
      </c>
      <c r="C250" s="3" t="s">
        <v>1383</v>
      </c>
      <c r="D250" s="3" t="s">
        <v>1402</v>
      </c>
      <c r="E250" s="3" t="s">
        <v>1385</v>
      </c>
      <c r="F250" s="3" t="s">
        <v>41</v>
      </c>
      <c r="G250" s="5" t="s">
        <v>42</v>
      </c>
      <c r="H250" s="5" t="s">
        <v>43</v>
      </c>
      <c r="I250" s="5" t="s">
        <v>44</v>
      </c>
      <c r="J250" s="3" t="s">
        <v>45</v>
      </c>
      <c r="K250" s="3" t="s">
        <v>146</v>
      </c>
      <c r="L250" s="3" t="s">
        <v>47</v>
      </c>
      <c r="M250" s="3" t="s">
        <v>48</v>
      </c>
      <c r="N250" s="3" t="s">
        <v>1389</v>
      </c>
      <c r="O250" s="69" t="s">
        <v>279</v>
      </c>
      <c r="P250" s="3" t="s">
        <v>87</v>
      </c>
      <c r="Q250" s="3" t="s">
        <v>51</v>
      </c>
      <c r="R250" s="3">
        <v>2</v>
      </c>
      <c r="S250" s="3" t="s">
        <v>52</v>
      </c>
      <c r="T250" s="3" t="s">
        <v>53</v>
      </c>
      <c r="U250" s="3" t="s">
        <v>54</v>
      </c>
      <c r="V250" s="7"/>
      <c r="W250" s="7"/>
      <c r="X250" s="7"/>
      <c r="Y250" s="7"/>
      <c r="Z250" s="3" t="s">
        <v>55</v>
      </c>
      <c r="AA250" s="3" t="s">
        <v>88</v>
      </c>
      <c r="AB250" s="3" t="s">
        <v>57</v>
      </c>
      <c r="AD250" s="3">
        <v>15.75</v>
      </c>
      <c r="AE250" s="3">
        <v>15.75</v>
      </c>
      <c r="AF250" s="3">
        <v>1008</v>
      </c>
      <c r="AG250" s="3">
        <v>1.44</v>
      </c>
      <c r="AH250" s="3">
        <v>46.08</v>
      </c>
      <c r="AI250" s="3">
        <v>20.5</v>
      </c>
      <c r="AJ250" s="89">
        <f t="shared" si="5"/>
        <v>49.916666666666664</v>
      </c>
      <c r="AK250" s="3" t="s">
        <v>58</v>
      </c>
      <c r="AL250" s="3">
        <f t="shared" si="4"/>
        <v>59.899999999999991</v>
      </c>
      <c r="AN250" t="s">
        <v>5519</v>
      </c>
      <c r="AO250" s="74" t="s">
        <v>5639</v>
      </c>
    </row>
    <row r="251" spans="1:41" ht="14.25" customHeight="1" x14ac:dyDescent="0.3">
      <c r="A251" s="3" t="s">
        <v>1381</v>
      </c>
      <c r="B251" s="3" t="s">
        <v>1403</v>
      </c>
      <c r="C251" s="3" t="s">
        <v>1383</v>
      </c>
      <c r="D251" s="3" t="s">
        <v>1404</v>
      </c>
      <c r="E251" s="3" t="s">
        <v>1385</v>
      </c>
      <c r="F251" s="3" t="s">
        <v>41</v>
      </c>
      <c r="G251" s="5" t="s">
        <v>42</v>
      </c>
      <c r="H251" s="5" t="s">
        <v>43</v>
      </c>
      <c r="I251" s="5" t="s">
        <v>44</v>
      </c>
      <c r="J251" s="3" t="s">
        <v>45</v>
      </c>
      <c r="K251" s="3" t="s">
        <v>146</v>
      </c>
      <c r="L251" s="3" t="s">
        <v>47</v>
      </c>
      <c r="M251" s="3" t="s">
        <v>48</v>
      </c>
      <c r="N251" s="3" t="s">
        <v>1392</v>
      </c>
      <c r="O251" s="69" t="s">
        <v>64</v>
      </c>
      <c r="P251" s="3" t="s">
        <v>87</v>
      </c>
      <c r="Q251" s="3" t="s">
        <v>51</v>
      </c>
      <c r="R251" s="3">
        <v>2</v>
      </c>
      <c r="S251" s="3" t="s">
        <v>52</v>
      </c>
      <c r="T251" s="3" t="s">
        <v>53</v>
      </c>
      <c r="U251" s="3" t="s">
        <v>54</v>
      </c>
      <c r="V251" s="7"/>
      <c r="W251" s="7"/>
      <c r="X251" s="7"/>
      <c r="Y251" s="7"/>
      <c r="Z251" s="3" t="s">
        <v>55</v>
      </c>
      <c r="AA251" s="3" t="s">
        <v>88</v>
      </c>
      <c r="AB251" s="3" t="s">
        <v>57</v>
      </c>
      <c r="AD251" s="3">
        <v>15.75</v>
      </c>
      <c r="AE251" s="3">
        <v>15.75</v>
      </c>
      <c r="AF251" s="3">
        <v>1008</v>
      </c>
      <c r="AG251" s="3">
        <v>1.44</v>
      </c>
      <c r="AH251" s="3">
        <v>46.08</v>
      </c>
      <c r="AI251" s="3">
        <v>20.5</v>
      </c>
      <c r="AJ251" s="89">
        <f t="shared" si="5"/>
        <v>49.916666666666664</v>
      </c>
      <c r="AK251" s="3" t="s">
        <v>58</v>
      </c>
      <c r="AL251" s="3">
        <f t="shared" si="4"/>
        <v>59.899999999999991</v>
      </c>
      <c r="AN251" t="s">
        <v>5519</v>
      </c>
      <c r="AO251" s="74" t="s">
        <v>5639</v>
      </c>
    </row>
    <row r="252" spans="1:41" ht="14.25" customHeight="1" x14ac:dyDescent="0.3">
      <c r="A252" s="3" t="s">
        <v>1381</v>
      </c>
      <c r="B252" s="3" t="s">
        <v>1405</v>
      </c>
      <c r="C252" s="3" t="s">
        <v>1383</v>
      </c>
      <c r="D252" s="3" t="s">
        <v>1406</v>
      </c>
      <c r="E252" s="3" t="s">
        <v>1385</v>
      </c>
      <c r="F252" s="3" t="s">
        <v>41</v>
      </c>
      <c r="G252" s="5" t="s">
        <v>42</v>
      </c>
      <c r="H252" s="5" t="s">
        <v>43</v>
      </c>
      <c r="I252" s="5" t="s">
        <v>44</v>
      </c>
      <c r="J252" s="3" t="s">
        <v>45</v>
      </c>
      <c r="K252" s="3" t="s">
        <v>146</v>
      </c>
      <c r="L252" s="3" t="s">
        <v>47</v>
      </c>
      <c r="M252" s="3" t="s">
        <v>48</v>
      </c>
      <c r="N252" s="3" t="s">
        <v>1395</v>
      </c>
      <c r="O252" s="70" t="s">
        <v>61</v>
      </c>
      <c r="P252" s="3" t="s">
        <v>87</v>
      </c>
      <c r="Q252" s="3" t="s">
        <v>51</v>
      </c>
      <c r="R252" s="3">
        <v>2</v>
      </c>
      <c r="S252" s="3" t="s">
        <v>52</v>
      </c>
      <c r="T252" s="3" t="s">
        <v>53</v>
      </c>
      <c r="U252" s="3" t="s">
        <v>54</v>
      </c>
      <c r="V252" s="7"/>
      <c r="W252" s="7"/>
      <c r="X252" s="7"/>
      <c r="Y252" s="7"/>
      <c r="Z252" s="3" t="s">
        <v>55</v>
      </c>
      <c r="AA252" s="3" t="s">
        <v>88</v>
      </c>
      <c r="AB252" s="3" t="s">
        <v>57</v>
      </c>
      <c r="AD252" s="3">
        <v>15.75</v>
      </c>
      <c r="AE252" s="3">
        <v>15.75</v>
      </c>
      <c r="AF252" s="3">
        <v>1008</v>
      </c>
      <c r="AG252" s="3">
        <v>1.44</v>
      </c>
      <c r="AH252" s="3">
        <v>46.08</v>
      </c>
      <c r="AI252" s="3">
        <v>20.5</v>
      </c>
      <c r="AJ252" s="89">
        <f t="shared" si="5"/>
        <v>49.916666666666664</v>
      </c>
      <c r="AK252" s="3" t="s">
        <v>58</v>
      </c>
      <c r="AL252" s="3">
        <f t="shared" si="4"/>
        <v>59.899999999999991</v>
      </c>
      <c r="AN252" t="s">
        <v>5519</v>
      </c>
      <c r="AO252" s="74" t="s">
        <v>5639</v>
      </c>
    </row>
    <row r="253" spans="1:41" ht="14.25" customHeight="1" x14ac:dyDescent="0.3">
      <c r="A253" s="3" t="s">
        <v>1381</v>
      </c>
      <c r="B253" s="3" t="s">
        <v>1407</v>
      </c>
      <c r="C253" s="3" t="s">
        <v>1383</v>
      </c>
      <c r="D253" s="3" t="s">
        <v>1408</v>
      </c>
      <c r="E253" s="3" t="s">
        <v>1385</v>
      </c>
      <c r="F253" s="3" t="s">
        <v>41</v>
      </c>
      <c r="G253" s="5" t="s">
        <v>42</v>
      </c>
      <c r="H253" s="5" t="s">
        <v>43</v>
      </c>
      <c r="I253" s="5" t="s">
        <v>44</v>
      </c>
      <c r="J253" s="3" t="s">
        <v>45</v>
      </c>
      <c r="K253" s="3" t="s">
        <v>146</v>
      </c>
      <c r="L253" s="3" t="s">
        <v>47</v>
      </c>
      <c r="M253" s="3" t="s">
        <v>48</v>
      </c>
      <c r="N253" s="3" t="s">
        <v>1398</v>
      </c>
      <c r="O253" s="70" t="s">
        <v>61</v>
      </c>
      <c r="P253" s="3" t="s">
        <v>87</v>
      </c>
      <c r="Q253" s="3" t="s">
        <v>51</v>
      </c>
      <c r="R253" s="3">
        <v>2</v>
      </c>
      <c r="S253" s="3" t="s">
        <v>52</v>
      </c>
      <c r="T253" s="3" t="s">
        <v>53</v>
      </c>
      <c r="U253" s="3" t="s">
        <v>54</v>
      </c>
      <c r="V253" s="7"/>
      <c r="W253" s="7"/>
      <c r="X253" s="7"/>
      <c r="Y253" s="7"/>
      <c r="Z253" s="3" t="s">
        <v>55</v>
      </c>
      <c r="AA253" s="3" t="s">
        <v>88</v>
      </c>
      <c r="AB253" s="3" t="s">
        <v>57</v>
      </c>
      <c r="AD253" s="3">
        <v>15.75</v>
      </c>
      <c r="AE253" s="3">
        <v>15.75</v>
      </c>
      <c r="AF253" s="3">
        <v>1008</v>
      </c>
      <c r="AG253" s="3">
        <v>1.44</v>
      </c>
      <c r="AH253" s="3">
        <v>46.08</v>
      </c>
      <c r="AI253" s="3">
        <v>20.5</v>
      </c>
      <c r="AJ253" s="89">
        <f t="shared" si="5"/>
        <v>49.916666666666664</v>
      </c>
      <c r="AK253" s="3" t="s">
        <v>58</v>
      </c>
      <c r="AL253" s="3">
        <f t="shared" si="4"/>
        <v>59.899999999999991</v>
      </c>
      <c r="AN253" t="s">
        <v>5519</v>
      </c>
      <c r="AO253" s="74" t="s">
        <v>5639</v>
      </c>
    </row>
    <row r="254" spans="1:41" ht="14.25" customHeight="1" x14ac:dyDescent="0.3">
      <c r="A254" s="3" t="s">
        <v>1381</v>
      </c>
      <c r="B254" s="3" t="s">
        <v>1419</v>
      </c>
      <c r="C254" s="3" t="s">
        <v>1383</v>
      </c>
      <c r="D254" s="3" t="s">
        <v>1420</v>
      </c>
      <c r="E254" s="3" t="s">
        <v>1385</v>
      </c>
      <c r="F254" s="3" t="s">
        <v>41</v>
      </c>
      <c r="G254" s="5" t="s">
        <v>42</v>
      </c>
      <c r="H254" s="5" t="s">
        <v>43</v>
      </c>
      <c r="I254" s="5" t="s">
        <v>44</v>
      </c>
      <c r="J254" s="3" t="s">
        <v>45</v>
      </c>
      <c r="K254" s="3" t="s">
        <v>146</v>
      </c>
      <c r="L254" s="3" t="s">
        <v>67</v>
      </c>
      <c r="M254" s="3" t="s">
        <v>48</v>
      </c>
      <c r="N254" s="3" t="s">
        <v>1386</v>
      </c>
      <c r="O254" s="70" t="s">
        <v>586</v>
      </c>
      <c r="P254" s="3" t="s">
        <v>87</v>
      </c>
      <c r="Q254" s="3" t="s">
        <v>68</v>
      </c>
      <c r="R254" s="3">
        <v>3</v>
      </c>
      <c r="S254" s="3" t="s">
        <v>52</v>
      </c>
      <c r="T254" s="3" t="s">
        <v>53</v>
      </c>
      <c r="U254" s="3" t="s">
        <v>148</v>
      </c>
      <c r="V254" s="7"/>
      <c r="W254" s="7"/>
      <c r="X254" s="7"/>
      <c r="Y254" s="7"/>
      <c r="Z254" s="3" t="s">
        <v>55</v>
      </c>
      <c r="AA254" s="3" t="s">
        <v>88</v>
      </c>
      <c r="AB254" s="3" t="s">
        <v>57</v>
      </c>
      <c r="AD254" s="3">
        <v>8.16</v>
      </c>
      <c r="AE254" s="3">
        <v>8.16</v>
      </c>
      <c r="AF254" s="3">
        <v>752</v>
      </c>
      <c r="AG254" s="3">
        <v>1.08</v>
      </c>
      <c r="AH254" s="3">
        <v>34.56</v>
      </c>
      <c r="AI254" s="3">
        <v>21.5</v>
      </c>
      <c r="AJ254" s="89">
        <f t="shared" si="5"/>
        <v>49.916666666666664</v>
      </c>
      <c r="AK254" s="3" t="s">
        <v>58</v>
      </c>
      <c r="AL254" s="3">
        <f t="shared" si="4"/>
        <v>59.899999999999991</v>
      </c>
      <c r="AN254" t="s">
        <v>5519</v>
      </c>
      <c r="AO254" s="74" t="s">
        <v>5639</v>
      </c>
    </row>
    <row r="255" spans="1:41" ht="14.25" customHeight="1" x14ac:dyDescent="0.3">
      <c r="A255" s="3" t="s">
        <v>1381</v>
      </c>
      <c r="B255" s="3" t="s">
        <v>1421</v>
      </c>
      <c r="C255" s="3" t="s">
        <v>1383</v>
      </c>
      <c r="D255" s="3" t="s">
        <v>1422</v>
      </c>
      <c r="E255" s="3" t="s">
        <v>1385</v>
      </c>
      <c r="F255" s="3" t="s">
        <v>41</v>
      </c>
      <c r="G255" s="5" t="s">
        <v>42</v>
      </c>
      <c r="H255" s="5" t="s">
        <v>43</v>
      </c>
      <c r="I255" s="5" t="s">
        <v>44</v>
      </c>
      <c r="J255" s="3" t="s">
        <v>45</v>
      </c>
      <c r="K255" s="3" t="s">
        <v>146</v>
      </c>
      <c r="L255" s="3" t="s">
        <v>67</v>
      </c>
      <c r="M255" s="3" t="s">
        <v>48</v>
      </c>
      <c r="N255" s="3" t="s">
        <v>1389</v>
      </c>
      <c r="O255" s="70" t="s">
        <v>279</v>
      </c>
      <c r="P255" s="3" t="s">
        <v>87</v>
      </c>
      <c r="Q255" s="3" t="s">
        <v>68</v>
      </c>
      <c r="R255" s="3">
        <v>3</v>
      </c>
      <c r="S255" s="3" t="s">
        <v>52</v>
      </c>
      <c r="T255" s="3" t="s">
        <v>53</v>
      </c>
      <c r="U255" s="3" t="s">
        <v>148</v>
      </c>
      <c r="V255" s="7"/>
      <c r="W255" s="7"/>
      <c r="X255" s="7"/>
      <c r="Y255" s="7"/>
      <c r="Z255" s="3" t="s">
        <v>55</v>
      </c>
      <c r="AA255" s="3" t="s">
        <v>88</v>
      </c>
      <c r="AB255" s="3" t="s">
        <v>57</v>
      </c>
      <c r="AD255" s="3">
        <v>8.16</v>
      </c>
      <c r="AE255" s="3">
        <v>8.16</v>
      </c>
      <c r="AF255" s="3">
        <v>752</v>
      </c>
      <c r="AG255" s="3">
        <v>1.08</v>
      </c>
      <c r="AH255" s="3">
        <v>34.56</v>
      </c>
      <c r="AI255" s="3">
        <v>21.5</v>
      </c>
      <c r="AJ255" s="89">
        <f t="shared" si="5"/>
        <v>49.916666666666664</v>
      </c>
      <c r="AK255" s="3" t="s">
        <v>58</v>
      </c>
      <c r="AL255" s="3">
        <f t="shared" si="4"/>
        <v>59.899999999999991</v>
      </c>
      <c r="AN255" t="s">
        <v>5519</v>
      </c>
      <c r="AO255" s="74" t="s">
        <v>5639</v>
      </c>
    </row>
    <row r="256" spans="1:41" ht="14.25" customHeight="1" x14ac:dyDescent="0.3">
      <c r="A256" s="3" t="s">
        <v>1381</v>
      </c>
      <c r="B256" s="3" t="s">
        <v>1423</v>
      </c>
      <c r="C256" s="3" t="s">
        <v>1383</v>
      </c>
      <c r="D256" s="3" t="s">
        <v>1424</v>
      </c>
      <c r="E256" s="3" t="s">
        <v>1385</v>
      </c>
      <c r="F256" s="3" t="s">
        <v>41</v>
      </c>
      <c r="G256" s="5" t="s">
        <v>42</v>
      </c>
      <c r="H256" s="5" t="s">
        <v>43</v>
      </c>
      <c r="I256" s="5" t="s">
        <v>44</v>
      </c>
      <c r="J256" s="3" t="s">
        <v>45</v>
      </c>
      <c r="K256" s="3" t="s">
        <v>146</v>
      </c>
      <c r="L256" s="3" t="s">
        <v>67</v>
      </c>
      <c r="M256" s="3" t="s">
        <v>48</v>
      </c>
      <c r="N256" s="3" t="s">
        <v>1392</v>
      </c>
      <c r="O256" s="70" t="s">
        <v>64</v>
      </c>
      <c r="P256" s="3" t="s">
        <v>87</v>
      </c>
      <c r="Q256" s="3" t="s">
        <v>68</v>
      </c>
      <c r="R256" s="31">
        <v>3</v>
      </c>
      <c r="S256" s="3" t="s">
        <v>52</v>
      </c>
      <c r="T256" s="3" t="s">
        <v>53</v>
      </c>
      <c r="U256" s="3" t="s">
        <v>148</v>
      </c>
      <c r="V256" s="7"/>
      <c r="W256" s="7"/>
      <c r="X256" s="7"/>
      <c r="Y256" s="7"/>
      <c r="Z256" s="3" t="s">
        <v>55</v>
      </c>
      <c r="AA256" s="3" t="s">
        <v>88</v>
      </c>
      <c r="AB256" s="3" t="s">
        <v>57</v>
      </c>
      <c r="AD256" s="3">
        <v>8.16</v>
      </c>
      <c r="AE256" s="3">
        <v>8.16</v>
      </c>
      <c r="AF256" s="3">
        <v>752</v>
      </c>
      <c r="AG256" s="3">
        <v>1.08</v>
      </c>
      <c r="AH256" s="3">
        <v>34.56</v>
      </c>
      <c r="AI256" s="3">
        <v>21.5</v>
      </c>
      <c r="AJ256" s="89">
        <f t="shared" si="5"/>
        <v>49.916666666666664</v>
      </c>
      <c r="AK256" s="3" t="s">
        <v>58</v>
      </c>
      <c r="AL256" s="3">
        <f t="shared" si="4"/>
        <v>59.899999999999991</v>
      </c>
      <c r="AN256" t="s">
        <v>5519</v>
      </c>
      <c r="AO256" s="74" t="s">
        <v>5639</v>
      </c>
    </row>
    <row r="257" spans="1:41" ht="14.25" customHeight="1" x14ac:dyDescent="0.3">
      <c r="A257" s="3" t="s">
        <v>1381</v>
      </c>
      <c r="B257" s="3" t="s">
        <v>1425</v>
      </c>
      <c r="C257" s="3" t="s">
        <v>1383</v>
      </c>
      <c r="D257" s="3" t="s">
        <v>1426</v>
      </c>
      <c r="E257" s="3" t="s">
        <v>1385</v>
      </c>
      <c r="F257" s="3" t="s">
        <v>41</v>
      </c>
      <c r="G257" s="5" t="s">
        <v>42</v>
      </c>
      <c r="H257" s="5" t="s">
        <v>43</v>
      </c>
      <c r="I257" s="5" t="s">
        <v>44</v>
      </c>
      <c r="J257" s="3" t="s">
        <v>45</v>
      </c>
      <c r="K257" s="3" t="s">
        <v>146</v>
      </c>
      <c r="L257" s="3" t="s">
        <v>67</v>
      </c>
      <c r="M257" s="3" t="s">
        <v>48</v>
      </c>
      <c r="N257" s="3" t="s">
        <v>1395</v>
      </c>
      <c r="O257" s="70" t="s">
        <v>61</v>
      </c>
      <c r="P257" s="3" t="s">
        <v>87</v>
      </c>
      <c r="Q257" s="3" t="s">
        <v>68</v>
      </c>
      <c r="R257" s="31">
        <v>3</v>
      </c>
      <c r="S257" s="3" t="s">
        <v>52</v>
      </c>
      <c r="T257" s="3" t="s">
        <v>53</v>
      </c>
      <c r="U257" s="3" t="s">
        <v>148</v>
      </c>
      <c r="V257" s="7"/>
      <c r="W257" s="7"/>
      <c r="X257" s="7"/>
      <c r="Y257" s="7"/>
      <c r="Z257" s="3" t="s">
        <v>55</v>
      </c>
      <c r="AA257" s="3" t="s">
        <v>88</v>
      </c>
      <c r="AB257" s="3" t="s">
        <v>57</v>
      </c>
      <c r="AD257" s="3">
        <v>8.16</v>
      </c>
      <c r="AE257" s="3">
        <v>8.16</v>
      </c>
      <c r="AF257" s="3">
        <v>752</v>
      </c>
      <c r="AG257" s="3">
        <v>1.08</v>
      </c>
      <c r="AH257" s="3">
        <v>34.56</v>
      </c>
      <c r="AI257" s="3">
        <v>21.5</v>
      </c>
      <c r="AJ257" s="89">
        <f t="shared" si="5"/>
        <v>49.916666666666664</v>
      </c>
      <c r="AK257" s="3" t="s">
        <v>58</v>
      </c>
      <c r="AL257" s="3">
        <f t="shared" si="4"/>
        <v>59.899999999999991</v>
      </c>
      <c r="AN257" t="s">
        <v>5519</v>
      </c>
      <c r="AO257" s="74" t="s">
        <v>5639</v>
      </c>
    </row>
    <row r="258" spans="1:41" ht="14.25" customHeight="1" x14ac:dyDescent="0.3">
      <c r="A258" s="3" t="s">
        <v>1381</v>
      </c>
      <c r="B258" s="3" t="s">
        <v>1427</v>
      </c>
      <c r="C258" s="3" t="s">
        <v>1383</v>
      </c>
      <c r="D258" s="3" t="s">
        <v>1428</v>
      </c>
      <c r="E258" s="3" t="s">
        <v>1385</v>
      </c>
      <c r="F258" s="3" t="s">
        <v>41</v>
      </c>
      <c r="G258" s="5" t="s">
        <v>42</v>
      </c>
      <c r="H258" s="5" t="s">
        <v>43</v>
      </c>
      <c r="I258" s="5" t="s">
        <v>44</v>
      </c>
      <c r="J258" s="3" t="s">
        <v>45</v>
      </c>
      <c r="K258" s="3" t="s">
        <v>146</v>
      </c>
      <c r="L258" s="3" t="s">
        <v>67</v>
      </c>
      <c r="M258" s="3" t="s">
        <v>48</v>
      </c>
      <c r="N258" s="3" t="s">
        <v>1398</v>
      </c>
      <c r="O258" s="70" t="s">
        <v>61</v>
      </c>
      <c r="P258" s="3" t="s">
        <v>87</v>
      </c>
      <c r="Q258" s="3" t="s">
        <v>68</v>
      </c>
      <c r="R258" s="31">
        <v>3</v>
      </c>
      <c r="S258" s="3" t="s">
        <v>52</v>
      </c>
      <c r="T258" s="3" t="s">
        <v>53</v>
      </c>
      <c r="U258" s="3" t="s">
        <v>148</v>
      </c>
      <c r="V258" s="7"/>
      <c r="W258" s="7"/>
      <c r="X258" s="7"/>
      <c r="Y258" s="7"/>
      <c r="Z258" s="3" t="s">
        <v>55</v>
      </c>
      <c r="AA258" s="3" t="s">
        <v>88</v>
      </c>
      <c r="AB258" s="3" t="s">
        <v>57</v>
      </c>
      <c r="AD258" s="3">
        <v>8.16</v>
      </c>
      <c r="AE258" s="3">
        <v>8.16</v>
      </c>
      <c r="AF258" s="3">
        <v>752</v>
      </c>
      <c r="AG258" s="3">
        <v>1.08</v>
      </c>
      <c r="AH258" s="3">
        <v>34.56</v>
      </c>
      <c r="AI258" s="3">
        <v>21.5</v>
      </c>
      <c r="AJ258" s="89">
        <f t="shared" si="5"/>
        <v>49.916666666666664</v>
      </c>
      <c r="AK258" s="3" t="s">
        <v>58</v>
      </c>
      <c r="AL258" s="3">
        <f t="shared" si="4"/>
        <v>59.899999999999991</v>
      </c>
      <c r="AN258" t="s">
        <v>5519</v>
      </c>
      <c r="AO258" s="74" t="s">
        <v>5639</v>
      </c>
    </row>
    <row r="259" spans="1:41" ht="14.25" customHeight="1" x14ac:dyDescent="0.3">
      <c r="A259" s="3" t="s">
        <v>1381</v>
      </c>
      <c r="B259" s="3" t="s">
        <v>1429</v>
      </c>
      <c r="C259" s="3" t="s">
        <v>1383</v>
      </c>
      <c r="D259" s="3" t="s">
        <v>1430</v>
      </c>
      <c r="E259" s="3" t="s">
        <v>1385</v>
      </c>
      <c r="F259" s="3" t="s">
        <v>41</v>
      </c>
      <c r="G259" s="5" t="s">
        <v>42</v>
      </c>
      <c r="H259" s="5" t="s">
        <v>43</v>
      </c>
      <c r="I259" s="5" t="s">
        <v>44</v>
      </c>
      <c r="J259" s="3" t="s">
        <v>45</v>
      </c>
      <c r="K259" s="3" t="s">
        <v>146</v>
      </c>
      <c r="L259" s="3" t="s">
        <v>47</v>
      </c>
      <c r="M259" s="3" t="s">
        <v>48</v>
      </c>
      <c r="N259" s="3" t="s">
        <v>1386</v>
      </c>
      <c r="O259" s="70" t="s">
        <v>586</v>
      </c>
      <c r="P259" s="3" t="s">
        <v>87</v>
      </c>
      <c r="Q259" s="3" t="s">
        <v>51</v>
      </c>
      <c r="R259" s="31">
        <v>2</v>
      </c>
      <c r="S259" s="3" t="s">
        <v>52</v>
      </c>
      <c r="T259" s="3" t="s">
        <v>53</v>
      </c>
      <c r="U259" s="3" t="s">
        <v>148</v>
      </c>
      <c r="V259" s="7"/>
      <c r="W259" s="7"/>
      <c r="X259" s="7"/>
      <c r="Y259" s="7"/>
      <c r="Z259" s="3" t="s">
        <v>55</v>
      </c>
      <c r="AA259" s="3" t="s">
        <v>88</v>
      </c>
      <c r="AB259" s="3" t="s">
        <v>57</v>
      </c>
      <c r="AD259" s="3">
        <v>16.25</v>
      </c>
      <c r="AE259" s="3">
        <v>16.25</v>
      </c>
      <c r="AF259" s="3">
        <v>1008</v>
      </c>
      <c r="AG259" s="3">
        <v>1.44</v>
      </c>
      <c r="AH259" s="3">
        <v>46.08</v>
      </c>
      <c r="AI259" s="3">
        <v>24.5</v>
      </c>
      <c r="AJ259" s="89">
        <f t="shared" ref="AJ259:AJ268" si="6">69.9/1.2</f>
        <v>58.250000000000007</v>
      </c>
      <c r="AK259" s="3" t="s">
        <v>58</v>
      </c>
      <c r="AL259" s="3">
        <f t="shared" si="4"/>
        <v>69.900000000000006</v>
      </c>
      <c r="AN259" t="s">
        <v>5519</v>
      </c>
      <c r="AO259" s="74" t="s">
        <v>5639</v>
      </c>
    </row>
    <row r="260" spans="1:41" ht="14.25" customHeight="1" x14ac:dyDescent="0.3">
      <c r="A260" s="3" t="s">
        <v>1381</v>
      </c>
      <c r="B260" s="3" t="s">
        <v>1431</v>
      </c>
      <c r="C260" s="3" t="s">
        <v>1383</v>
      </c>
      <c r="D260" s="3" t="s">
        <v>1432</v>
      </c>
      <c r="E260" s="3" t="s">
        <v>1385</v>
      </c>
      <c r="F260" s="3" t="s">
        <v>41</v>
      </c>
      <c r="G260" s="5" t="s">
        <v>42</v>
      </c>
      <c r="H260" s="5" t="s">
        <v>43</v>
      </c>
      <c r="I260" s="5" t="s">
        <v>44</v>
      </c>
      <c r="J260" s="3" t="s">
        <v>45</v>
      </c>
      <c r="K260" s="3" t="s">
        <v>146</v>
      </c>
      <c r="L260" s="3" t="s">
        <v>47</v>
      </c>
      <c r="M260" s="3" t="s">
        <v>48</v>
      </c>
      <c r="N260" s="3" t="s">
        <v>1389</v>
      </c>
      <c r="O260" s="69" t="s">
        <v>279</v>
      </c>
      <c r="P260" s="3" t="s">
        <v>87</v>
      </c>
      <c r="Q260" s="3" t="s">
        <v>51</v>
      </c>
      <c r="R260" s="31">
        <v>2</v>
      </c>
      <c r="S260" s="3" t="s">
        <v>52</v>
      </c>
      <c r="T260" s="3" t="s">
        <v>53</v>
      </c>
      <c r="U260" s="3" t="s">
        <v>148</v>
      </c>
      <c r="V260" s="7"/>
      <c r="W260" s="7"/>
      <c r="X260" s="7"/>
      <c r="Y260" s="7"/>
      <c r="Z260" s="3" t="s">
        <v>55</v>
      </c>
      <c r="AA260" s="3" t="s">
        <v>88</v>
      </c>
      <c r="AB260" s="3" t="s">
        <v>57</v>
      </c>
      <c r="AD260" s="3">
        <v>16.25</v>
      </c>
      <c r="AE260" s="3">
        <v>16.25</v>
      </c>
      <c r="AF260" s="3">
        <v>1008</v>
      </c>
      <c r="AG260" s="3">
        <v>1.44</v>
      </c>
      <c r="AH260" s="3">
        <v>46.08</v>
      </c>
      <c r="AI260" s="3">
        <v>24.5</v>
      </c>
      <c r="AJ260" s="89">
        <f t="shared" si="6"/>
        <v>58.250000000000007</v>
      </c>
      <c r="AK260" s="3" t="s">
        <v>58</v>
      </c>
      <c r="AL260" s="3">
        <f t="shared" si="4"/>
        <v>69.900000000000006</v>
      </c>
      <c r="AN260" t="s">
        <v>5519</v>
      </c>
      <c r="AO260" s="74" t="s">
        <v>5639</v>
      </c>
    </row>
    <row r="261" spans="1:41" ht="14.25" customHeight="1" x14ac:dyDescent="0.3">
      <c r="A261" s="3" t="s">
        <v>1381</v>
      </c>
      <c r="B261" s="3" t="s">
        <v>1433</v>
      </c>
      <c r="C261" s="3" t="s">
        <v>1383</v>
      </c>
      <c r="D261" s="3" t="s">
        <v>1434</v>
      </c>
      <c r="E261" s="3" t="s">
        <v>1385</v>
      </c>
      <c r="F261" s="3" t="s">
        <v>41</v>
      </c>
      <c r="G261" s="5" t="s">
        <v>42</v>
      </c>
      <c r="H261" s="5" t="s">
        <v>43</v>
      </c>
      <c r="I261" s="5" t="s">
        <v>44</v>
      </c>
      <c r="J261" s="3" t="s">
        <v>45</v>
      </c>
      <c r="K261" s="3" t="s">
        <v>146</v>
      </c>
      <c r="L261" s="3" t="s">
        <v>47</v>
      </c>
      <c r="M261" s="3" t="s">
        <v>48</v>
      </c>
      <c r="N261" s="3" t="s">
        <v>1392</v>
      </c>
      <c r="O261" s="69" t="s">
        <v>64</v>
      </c>
      <c r="P261" s="3" t="s">
        <v>87</v>
      </c>
      <c r="Q261" s="3" t="s">
        <v>51</v>
      </c>
      <c r="R261" s="31">
        <v>2</v>
      </c>
      <c r="S261" s="3" t="s">
        <v>52</v>
      </c>
      <c r="T261" s="3" t="s">
        <v>53</v>
      </c>
      <c r="U261" s="3" t="s">
        <v>148</v>
      </c>
      <c r="V261" s="7"/>
      <c r="W261" s="7"/>
      <c r="X261" s="7"/>
      <c r="Y261" s="7"/>
      <c r="Z261" s="3" t="s">
        <v>55</v>
      </c>
      <c r="AA261" s="3" t="s">
        <v>88</v>
      </c>
      <c r="AB261" s="3" t="s">
        <v>57</v>
      </c>
      <c r="AD261" s="3">
        <v>16.25</v>
      </c>
      <c r="AE261" s="3">
        <v>16.25</v>
      </c>
      <c r="AF261" s="3">
        <v>1008</v>
      </c>
      <c r="AG261" s="3">
        <v>1.44</v>
      </c>
      <c r="AH261" s="3">
        <v>46.08</v>
      </c>
      <c r="AI261" s="3">
        <v>24.5</v>
      </c>
      <c r="AJ261" s="89">
        <f t="shared" si="6"/>
        <v>58.250000000000007</v>
      </c>
      <c r="AK261" s="3" t="s">
        <v>58</v>
      </c>
      <c r="AL261" s="3">
        <f t="shared" si="4"/>
        <v>69.900000000000006</v>
      </c>
      <c r="AN261" t="s">
        <v>5519</v>
      </c>
      <c r="AO261" s="74" t="s">
        <v>5639</v>
      </c>
    </row>
    <row r="262" spans="1:41" ht="14.25" customHeight="1" x14ac:dyDescent="0.3">
      <c r="A262" s="3" t="s">
        <v>1381</v>
      </c>
      <c r="B262" s="3" t="s">
        <v>1435</v>
      </c>
      <c r="C262" s="3" t="s">
        <v>1383</v>
      </c>
      <c r="D262" s="3" t="s">
        <v>1436</v>
      </c>
      <c r="E262" s="3" t="s">
        <v>1385</v>
      </c>
      <c r="F262" s="3" t="s">
        <v>41</v>
      </c>
      <c r="G262" s="5" t="s">
        <v>42</v>
      </c>
      <c r="H262" s="5" t="s">
        <v>43</v>
      </c>
      <c r="I262" s="5" t="s">
        <v>44</v>
      </c>
      <c r="J262" s="3" t="s">
        <v>45</v>
      </c>
      <c r="K262" s="3" t="s">
        <v>146</v>
      </c>
      <c r="L262" s="3" t="s">
        <v>47</v>
      </c>
      <c r="M262" s="3" t="s">
        <v>48</v>
      </c>
      <c r="N262" s="3" t="s">
        <v>1395</v>
      </c>
      <c r="O262" s="69" t="s">
        <v>61</v>
      </c>
      <c r="P262" s="3" t="s">
        <v>87</v>
      </c>
      <c r="Q262" s="3" t="s">
        <v>51</v>
      </c>
      <c r="R262" s="31">
        <v>2</v>
      </c>
      <c r="S262" s="3" t="s">
        <v>52</v>
      </c>
      <c r="T262" s="3" t="s">
        <v>53</v>
      </c>
      <c r="U262" s="3" t="s">
        <v>148</v>
      </c>
      <c r="V262" s="7"/>
      <c r="W262" s="7"/>
      <c r="X262" s="7"/>
      <c r="Y262" s="7"/>
      <c r="Z262" s="3" t="s">
        <v>55</v>
      </c>
      <c r="AA262" s="3" t="s">
        <v>88</v>
      </c>
      <c r="AB262" s="3" t="s">
        <v>57</v>
      </c>
      <c r="AD262" s="3">
        <v>16.25</v>
      </c>
      <c r="AE262" s="3">
        <v>16.25</v>
      </c>
      <c r="AF262" s="3">
        <v>1008</v>
      </c>
      <c r="AG262" s="3">
        <v>1.44</v>
      </c>
      <c r="AH262" s="3">
        <v>46.08</v>
      </c>
      <c r="AI262" s="3">
        <v>24.5</v>
      </c>
      <c r="AJ262" s="89">
        <f t="shared" si="6"/>
        <v>58.250000000000007</v>
      </c>
      <c r="AK262" s="3" t="s">
        <v>58</v>
      </c>
      <c r="AL262" s="3">
        <f t="shared" si="4"/>
        <v>69.900000000000006</v>
      </c>
      <c r="AN262" t="s">
        <v>5519</v>
      </c>
      <c r="AO262" s="74" t="s">
        <v>5639</v>
      </c>
    </row>
    <row r="263" spans="1:41" ht="14.25" customHeight="1" x14ac:dyDescent="0.3">
      <c r="A263" s="3" t="s">
        <v>1381</v>
      </c>
      <c r="B263" s="3" t="s">
        <v>1437</v>
      </c>
      <c r="C263" s="3" t="s">
        <v>1383</v>
      </c>
      <c r="D263" s="3" t="s">
        <v>1438</v>
      </c>
      <c r="E263" s="3" t="s">
        <v>1385</v>
      </c>
      <c r="F263" s="3" t="s">
        <v>41</v>
      </c>
      <c r="G263" s="5" t="s">
        <v>42</v>
      </c>
      <c r="H263" s="5" t="s">
        <v>43</v>
      </c>
      <c r="I263" s="5" t="s">
        <v>44</v>
      </c>
      <c r="J263" s="3" t="s">
        <v>45</v>
      </c>
      <c r="K263" s="3" t="s">
        <v>146</v>
      </c>
      <c r="L263" s="3" t="s">
        <v>47</v>
      </c>
      <c r="M263" s="3" t="s">
        <v>48</v>
      </c>
      <c r="N263" s="3" t="s">
        <v>1398</v>
      </c>
      <c r="O263" s="69" t="s">
        <v>61</v>
      </c>
      <c r="P263" s="3" t="s">
        <v>87</v>
      </c>
      <c r="Q263" s="3" t="s">
        <v>51</v>
      </c>
      <c r="R263" s="31">
        <v>2</v>
      </c>
      <c r="S263" s="3" t="s">
        <v>52</v>
      </c>
      <c r="T263" s="3" t="s">
        <v>53</v>
      </c>
      <c r="U263" s="3" t="s">
        <v>148</v>
      </c>
      <c r="V263" s="7"/>
      <c r="W263" s="7"/>
      <c r="X263" s="7"/>
      <c r="Y263" s="7"/>
      <c r="Z263" s="3" t="s">
        <v>55</v>
      </c>
      <c r="AA263" s="3" t="s">
        <v>88</v>
      </c>
      <c r="AB263" s="3" t="s">
        <v>57</v>
      </c>
      <c r="AD263" s="3">
        <v>16.25</v>
      </c>
      <c r="AE263" s="3">
        <v>16.25</v>
      </c>
      <c r="AF263" s="3">
        <v>1008</v>
      </c>
      <c r="AG263" s="3">
        <v>1.44</v>
      </c>
      <c r="AH263" s="3">
        <v>46.08</v>
      </c>
      <c r="AI263" s="3">
        <v>24.5</v>
      </c>
      <c r="AJ263" s="89">
        <f t="shared" si="6"/>
        <v>58.250000000000007</v>
      </c>
      <c r="AK263" s="3" t="s">
        <v>58</v>
      </c>
      <c r="AL263" s="3">
        <f t="shared" si="4"/>
        <v>69.900000000000006</v>
      </c>
      <c r="AN263" t="s">
        <v>5519</v>
      </c>
      <c r="AO263" s="74" t="s">
        <v>5639</v>
      </c>
    </row>
    <row r="264" spans="1:41" ht="14.25" customHeight="1" x14ac:dyDescent="0.3">
      <c r="A264" s="3" t="s">
        <v>1381</v>
      </c>
      <c r="B264" s="3" t="s">
        <v>1409</v>
      </c>
      <c r="C264" s="3" t="s">
        <v>1383</v>
      </c>
      <c r="D264" s="3" t="s">
        <v>1410</v>
      </c>
      <c r="E264" s="3" t="s">
        <v>1385</v>
      </c>
      <c r="F264" s="3" t="s">
        <v>41</v>
      </c>
      <c r="G264" s="5" t="s">
        <v>42</v>
      </c>
      <c r="H264" s="5" t="s">
        <v>43</v>
      </c>
      <c r="I264" s="5" t="s">
        <v>44</v>
      </c>
      <c r="J264" s="3" t="s">
        <v>45</v>
      </c>
      <c r="K264" s="3" t="s">
        <v>146</v>
      </c>
      <c r="L264" s="3" t="s">
        <v>132</v>
      </c>
      <c r="M264" s="3" t="s">
        <v>48</v>
      </c>
      <c r="N264" s="3" t="s">
        <v>1386</v>
      </c>
      <c r="O264" s="69" t="s">
        <v>586</v>
      </c>
      <c r="P264" s="3" t="s">
        <v>87</v>
      </c>
      <c r="Q264" s="3" t="s">
        <v>68</v>
      </c>
      <c r="R264" s="65">
        <v>2</v>
      </c>
      <c r="S264" s="3" t="s">
        <v>52</v>
      </c>
      <c r="T264" s="3" t="s">
        <v>53</v>
      </c>
      <c r="U264" s="3" t="s">
        <v>54</v>
      </c>
      <c r="V264" s="7"/>
      <c r="W264" s="7"/>
      <c r="X264" s="7"/>
      <c r="Y264" s="7"/>
      <c r="Z264" s="3" t="s">
        <v>55</v>
      </c>
      <c r="AA264" s="3" t="s">
        <v>88</v>
      </c>
      <c r="AB264" s="3" t="s">
        <v>57</v>
      </c>
      <c r="AD264" s="3">
        <v>35</v>
      </c>
      <c r="AE264" s="3">
        <v>35</v>
      </c>
      <c r="AF264" s="3">
        <v>1260</v>
      </c>
      <c r="AG264" s="3">
        <v>2.88</v>
      </c>
      <c r="AH264" s="3">
        <v>51.84</v>
      </c>
      <c r="AI264" s="3">
        <v>25</v>
      </c>
      <c r="AJ264" s="89">
        <f t="shared" si="6"/>
        <v>58.250000000000007</v>
      </c>
      <c r="AK264" s="3" t="s">
        <v>58</v>
      </c>
      <c r="AL264" s="3">
        <f t="shared" si="4"/>
        <v>69.900000000000006</v>
      </c>
      <c r="AN264" t="s">
        <v>5519</v>
      </c>
      <c r="AO264" s="74" t="s">
        <v>5639</v>
      </c>
    </row>
    <row r="265" spans="1:41" ht="14.25" customHeight="1" x14ac:dyDescent="0.3">
      <c r="A265" s="3" t="s">
        <v>1381</v>
      </c>
      <c r="B265" s="3" t="s">
        <v>1411</v>
      </c>
      <c r="C265" s="3" t="s">
        <v>1383</v>
      </c>
      <c r="D265" s="3" t="s">
        <v>1412</v>
      </c>
      <c r="E265" s="3" t="s">
        <v>1385</v>
      </c>
      <c r="F265" s="3" t="s">
        <v>41</v>
      </c>
      <c r="G265" s="5" t="s">
        <v>42</v>
      </c>
      <c r="H265" s="5" t="s">
        <v>43</v>
      </c>
      <c r="I265" s="5" t="s">
        <v>44</v>
      </c>
      <c r="J265" s="3" t="s">
        <v>45</v>
      </c>
      <c r="K265" s="3" t="s">
        <v>146</v>
      </c>
      <c r="L265" s="3" t="s">
        <v>132</v>
      </c>
      <c r="M265" s="3" t="s">
        <v>48</v>
      </c>
      <c r="N265" s="3" t="s">
        <v>1389</v>
      </c>
      <c r="O265" s="69" t="s">
        <v>279</v>
      </c>
      <c r="P265" s="3" t="s">
        <v>87</v>
      </c>
      <c r="Q265" s="3" t="s">
        <v>68</v>
      </c>
      <c r="R265" s="85">
        <v>2</v>
      </c>
      <c r="S265" s="3" t="s">
        <v>52</v>
      </c>
      <c r="T265" s="3" t="s">
        <v>53</v>
      </c>
      <c r="U265" s="3" t="s">
        <v>54</v>
      </c>
      <c r="V265" s="7"/>
      <c r="W265" s="7"/>
      <c r="X265" s="7"/>
      <c r="Y265" s="7"/>
      <c r="Z265" s="3" t="s">
        <v>55</v>
      </c>
      <c r="AA265" s="3" t="s">
        <v>88</v>
      </c>
      <c r="AB265" s="3" t="s">
        <v>57</v>
      </c>
      <c r="AD265" s="3">
        <v>35</v>
      </c>
      <c r="AE265" s="3">
        <v>35</v>
      </c>
      <c r="AF265" s="3">
        <v>1260</v>
      </c>
      <c r="AG265" s="3">
        <v>2.88</v>
      </c>
      <c r="AH265" s="3">
        <v>51.84</v>
      </c>
      <c r="AI265" s="3">
        <v>25</v>
      </c>
      <c r="AJ265" s="89">
        <f t="shared" si="6"/>
        <v>58.250000000000007</v>
      </c>
      <c r="AK265" s="3" t="s">
        <v>58</v>
      </c>
      <c r="AL265" s="3">
        <f t="shared" si="4"/>
        <v>69.900000000000006</v>
      </c>
      <c r="AN265" t="s">
        <v>5519</v>
      </c>
      <c r="AO265" s="74" t="s">
        <v>5639</v>
      </c>
    </row>
    <row r="266" spans="1:41" ht="14.25" customHeight="1" x14ac:dyDescent="0.3">
      <c r="A266" s="3" t="s">
        <v>1381</v>
      </c>
      <c r="B266" s="3" t="s">
        <v>1413</v>
      </c>
      <c r="C266" s="3" t="s">
        <v>1383</v>
      </c>
      <c r="D266" s="3" t="s">
        <v>1414</v>
      </c>
      <c r="E266" s="3" t="s">
        <v>1385</v>
      </c>
      <c r="F266" s="3" t="s">
        <v>41</v>
      </c>
      <c r="G266" s="5" t="s">
        <v>42</v>
      </c>
      <c r="H266" s="5" t="s">
        <v>43</v>
      </c>
      <c r="I266" s="5" t="s">
        <v>44</v>
      </c>
      <c r="J266" s="3" t="s">
        <v>45</v>
      </c>
      <c r="K266" s="3" t="s">
        <v>146</v>
      </c>
      <c r="L266" s="3" t="s">
        <v>132</v>
      </c>
      <c r="M266" s="3" t="s">
        <v>48</v>
      </c>
      <c r="N266" s="3" t="s">
        <v>1392</v>
      </c>
      <c r="O266" s="69" t="s">
        <v>64</v>
      </c>
      <c r="P266" s="3" t="s">
        <v>87</v>
      </c>
      <c r="Q266" s="3" t="s">
        <v>68</v>
      </c>
      <c r="R266" s="85">
        <v>2</v>
      </c>
      <c r="S266" s="3" t="s">
        <v>52</v>
      </c>
      <c r="T266" s="3" t="s">
        <v>53</v>
      </c>
      <c r="U266" s="3" t="s">
        <v>54</v>
      </c>
      <c r="V266" s="7"/>
      <c r="W266" s="7"/>
      <c r="X266" s="7"/>
      <c r="Y266" s="7"/>
      <c r="Z266" s="3" t="s">
        <v>55</v>
      </c>
      <c r="AA266" s="3" t="s">
        <v>88</v>
      </c>
      <c r="AB266" s="3" t="s">
        <v>57</v>
      </c>
      <c r="AD266" s="3">
        <v>35</v>
      </c>
      <c r="AE266" s="3">
        <v>35</v>
      </c>
      <c r="AF266" s="3">
        <v>1260</v>
      </c>
      <c r="AG266" s="3">
        <v>2.88</v>
      </c>
      <c r="AH266" s="3">
        <v>51.84</v>
      </c>
      <c r="AI266" s="3">
        <v>25</v>
      </c>
      <c r="AJ266" s="89">
        <f t="shared" si="6"/>
        <v>58.250000000000007</v>
      </c>
      <c r="AK266" s="3" t="s">
        <v>58</v>
      </c>
      <c r="AL266" s="3">
        <f t="shared" si="4"/>
        <v>69.900000000000006</v>
      </c>
      <c r="AN266" t="s">
        <v>5519</v>
      </c>
      <c r="AO266" s="74" t="s">
        <v>5639</v>
      </c>
    </row>
    <row r="267" spans="1:41" ht="14.25" customHeight="1" x14ac:dyDescent="0.3">
      <c r="A267" s="3" t="s">
        <v>1381</v>
      </c>
      <c r="B267" s="3" t="s">
        <v>1415</v>
      </c>
      <c r="C267" s="3" t="s">
        <v>1383</v>
      </c>
      <c r="D267" s="3" t="s">
        <v>1416</v>
      </c>
      <c r="E267" s="3" t="s">
        <v>1385</v>
      </c>
      <c r="F267" s="3" t="s">
        <v>41</v>
      </c>
      <c r="G267" s="5" t="s">
        <v>42</v>
      </c>
      <c r="H267" s="5" t="s">
        <v>43</v>
      </c>
      <c r="I267" s="5" t="s">
        <v>44</v>
      </c>
      <c r="J267" s="3" t="s">
        <v>45</v>
      </c>
      <c r="K267" s="3" t="s">
        <v>146</v>
      </c>
      <c r="L267" s="3" t="s">
        <v>132</v>
      </c>
      <c r="M267" s="3" t="s">
        <v>48</v>
      </c>
      <c r="N267" s="3" t="s">
        <v>1395</v>
      </c>
      <c r="O267" s="69" t="s">
        <v>61</v>
      </c>
      <c r="P267" s="3" t="s">
        <v>87</v>
      </c>
      <c r="Q267" s="3" t="s">
        <v>68</v>
      </c>
      <c r="R267" s="85">
        <v>2</v>
      </c>
      <c r="S267" s="3" t="s">
        <v>52</v>
      </c>
      <c r="T267" s="3" t="s">
        <v>53</v>
      </c>
      <c r="U267" s="3" t="s">
        <v>54</v>
      </c>
      <c r="V267" s="7"/>
      <c r="W267" s="7"/>
      <c r="X267" s="7"/>
      <c r="Y267" s="7"/>
      <c r="Z267" s="3" t="s">
        <v>55</v>
      </c>
      <c r="AA267" s="3" t="s">
        <v>88</v>
      </c>
      <c r="AB267" s="3" t="s">
        <v>57</v>
      </c>
      <c r="AD267" s="3">
        <v>35</v>
      </c>
      <c r="AE267" s="3">
        <v>35</v>
      </c>
      <c r="AF267" s="3">
        <v>1260</v>
      </c>
      <c r="AG267" s="3">
        <v>2.88</v>
      </c>
      <c r="AH267" s="3">
        <v>51.84</v>
      </c>
      <c r="AI267" s="3">
        <v>25</v>
      </c>
      <c r="AJ267" s="89">
        <f t="shared" si="6"/>
        <v>58.250000000000007</v>
      </c>
      <c r="AK267" s="3" t="s">
        <v>58</v>
      </c>
      <c r="AL267" s="3">
        <f t="shared" si="4"/>
        <v>69.900000000000006</v>
      </c>
      <c r="AN267" t="s">
        <v>5519</v>
      </c>
      <c r="AO267" s="74" t="s">
        <v>5639</v>
      </c>
    </row>
    <row r="268" spans="1:41" ht="14.25" customHeight="1" x14ac:dyDescent="0.3">
      <c r="A268" s="3" t="s">
        <v>1381</v>
      </c>
      <c r="B268" s="3" t="s">
        <v>1417</v>
      </c>
      <c r="C268" s="3" t="s">
        <v>1383</v>
      </c>
      <c r="D268" s="3" t="s">
        <v>1418</v>
      </c>
      <c r="E268" s="3" t="s">
        <v>1385</v>
      </c>
      <c r="F268" s="3" t="s">
        <v>41</v>
      </c>
      <c r="G268" s="5" t="s">
        <v>42</v>
      </c>
      <c r="H268" s="5" t="s">
        <v>43</v>
      </c>
      <c r="I268" s="5" t="s">
        <v>44</v>
      </c>
      <c r="J268" s="3" t="s">
        <v>45</v>
      </c>
      <c r="K268" s="3" t="s">
        <v>146</v>
      </c>
      <c r="L268" s="3" t="s">
        <v>132</v>
      </c>
      <c r="M268" s="3" t="s">
        <v>48</v>
      </c>
      <c r="N268" s="3" t="s">
        <v>1398</v>
      </c>
      <c r="O268" s="69" t="s">
        <v>61</v>
      </c>
      <c r="P268" s="3" t="s">
        <v>87</v>
      </c>
      <c r="Q268" s="3" t="s">
        <v>68</v>
      </c>
      <c r="R268" s="85">
        <v>2</v>
      </c>
      <c r="S268" s="3" t="s">
        <v>52</v>
      </c>
      <c r="T268" s="3" t="s">
        <v>53</v>
      </c>
      <c r="U268" s="3" t="s">
        <v>54</v>
      </c>
      <c r="V268" s="7"/>
      <c r="W268" s="7"/>
      <c r="X268" s="7"/>
      <c r="Y268" s="7"/>
      <c r="Z268" s="3" t="s">
        <v>55</v>
      </c>
      <c r="AA268" s="3" t="s">
        <v>88</v>
      </c>
      <c r="AB268" s="3" t="s">
        <v>57</v>
      </c>
      <c r="AD268" s="3">
        <v>35</v>
      </c>
      <c r="AE268" s="3">
        <v>35</v>
      </c>
      <c r="AF268" s="3">
        <v>1260</v>
      </c>
      <c r="AG268" s="3">
        <v>2.88</v>
      </c>
      <c r="AH268" s="3">
        <v>51.84</v>
      </c>
      <c r="AI268" s="3">
        <v>25</v>
      </c>
      <c r="AJ268" s="89">
        <f t="shared" si="6"/>
        <v>58.250000000000007</v>
      </c>
      <c r="AK268" s="3" t="s">
        <v>58</v>
      </c>
      <c r="AL268" s="3">
        <f t="shared" si="4"/>
        <v>69.900000000000006</v>
      </c>
      <c r="AN268" t="s">
        <v>5519</v>
      </c>
      <c r="AO268" s="74" t="s">
        <v>5639</v>
      </c>
    </row>
    <row r="269" spans="1:41" ht="14.25" customHeight="1" x14ac:dyDescent="0.3">
      <c r="A269" s="3" t="s">
        <v>1381</v>
      </c>
      <c r="B269" s="3" t="s">
        <v>1439</v>
      </c>
      <c r="C269" s="3" t="s">
        <v>1383</v>
      </c>
      <c r="D269" s="3" t="s">
        <v>1440</v>
      </c>
      <c r="E269" s="3" t="s">
        <v>1385</v>
      </c>
      <c r="F269" s="3" t="s">
        <v>41</v>
      </c>
      <c r="G269" s="5" t="s">
        <v>42</v>
      </c>
      <c r="H269" s="5" t="s">
        <v>43</v>
      </c>
      <c r="I269" s="5" t="s">
        <v>44</v>
      </c>
      <c r="J269" s="3" t="s">
        <v>45</v>
      </c>
      <c r="K269" s="3" t="s">
        <v>146</v>
      </c>
      <c r="L269" s="3" t="s">
        <v>132</v>
      </c>
      <c r="M269" s="3" t="s">
        <v>48</v>
      </c>
      <c r="N269" s="3" t="s">
        <v>1386</v>
      </c>
      <c r="O269" s="69" t="s">
        <v>586</v>
      </c>
      <c r="P269" s="3" t="s">
        <v>87</v>
      </c>
      <c r="Q269" s="3" t="s">
        <v>68</v>
      </c>
      <c r="R269" s="85">
        <v>2</v>
      </c>
      <c r="S269" s="3" t="s">
        <v>52</v>
      </c>
      <c r="T269" s="3" t="s">
        <v>53</v>
      </c>
      <c r="U269" s="3" t="s">
        <v>148</v>
      </c>
      <c r="V269" s="7"/>
      <c r="W269" s="7"/>
      <c r="X269" s="7"/>
      <c r="Y269" s="7"/>
      <c r="Z269" s="3" t="s">
        <v>55</v>
      </c>
      <c r="AA269" s="3" t="s">
        <v>88</v>
      </c>
      <c r="AB269" s="3" t="s">
        <v>57</v>
      </c>
      <c r="AD269" s="3">
        <v>35</v>
      </c>
      <c r="AE269" s="3">
        <v>35</v>
      </c>
      <c r="AF269" s="3">
        <v>1260</v>
      </c>
      <c r="AG269" s="3">
        <v>2.88</v>
      </c>
      <c r="AH269" s="3">
        <v>51.84</v>
      </c>
      <c r="AI269" s="3">
        <v>28.5</v>
      </c>
      <c r="AJ269" s="89">
        <f>79.9/1.2</f>
        <v>66.583333333333343</v>
      </c>
      <c r="AK269" s="3" t="s">
        <v>58</v>
      </c>
      <c r="AL269" s="3">
        <f t="shared" si="4"/>
        <v>79.900000000000006</v>
      </c>
      <c r="AN269" t="s">
        <v>5519</v>
      </c>
      <c r="AO269" s="74" t="s">
        <v>5639</v>
      </c>
    </row>
    <row r="270" spans="1:41" ht="14.25" customHeight="1" x14ac:dyDescent="0.3">
      <c r="A270" s="3" t="s">
        <v>1381</v>
      </c>
      <c r="B270" s="3" t="s">
        <v>1441</v>
      </c>
      <c r="C270" s="3" t="s">
        <v>1383</v>
      </c>
      <c r="D270" s="3" t="s">
        <v>1442</v>
      </c>
      <c r="E270" s="3" t="s">
        <v>1385</v>
      </c>
      <c r="F270" s="3" t="s">
        <v>41</v>
      </c>
      <c r="G270" s="5" t="s">
        <v>42</v>
      </c>
      <c r="H270" s="5" t="s">
        <v>43</v>
      </c>
      <c r="I270" s="5" t="s">
        <v>44</v>
      </c>
      <c r="J270" s="3" t="s">
        <v>45</v>
      </c>
      <c r="K270" s="3" t="s">
        <v>146</v>
      </c>
      <c r="L270" s="3" t="s">
        <v>132</v>
      </c>
      <c r="M270" s="3" t="s">
        <v>48</v>
      </c>
      <c r="N270" s="3" t="s">
        <v>1389</v>
      </c>
      <c r="O270" s="69" t="s">
        <v>279</v>
      </c>
      <c r="P270" s="3" t="s">
        <v>87</v>
      </c>
      <c r="Q270" s="3" t="s">
        <v>68</v>
      </c>
      <c r="R270" s="85">
        <v>2</v>
      </c>
      <c r="S270" s="3" t="s">
        <v>52</v>
      </c>
      <c r="T270" s="3" t="s">
        <v>53</v>
      </c>
      <c r="U270" s="3" t="s">
        <v>148</v>
      </c>
      <c r="V270" s="7"/>
      <c r="W270" s="7"/>
      <c r="X270" s="7"/>
      <c r="Y270" s="7"/>
      <c r="Z270" s="3" t="s">
        <v>55</v>
      </c>
      <c r="AA270" s="3" t="s">
        <v>88</v>
      </c>
      <c r="AB270" s="3" t="s">
        <v>57</v>
      </c>
      <c r="AD270" s="3">
        <v>35</v>
      </c>
      <c r="AE270" s="3">
        <v>35</v>
      </c>
      <c r="AF270" s="3">
        <v>1260</v>
      </c>
      <c r="AG270" s="3">
        <v>2.88</v>
      </c>
      <c r="AH270" s="3">
        <v>51.84</v>
      </c>
      <c r="AI270" s="3">
        <v>28.5</v>
      </c>
      <c r="AJ270" s="89">
        <f>79.9/1.2</f>
        <v>66.583333333333343</v>
      </c>
      <c r="AK270" s="3" t="s">
        <v>58</v>
      </c>
      <c r="AL270" s="3">
        <f t="shared" si="4"/>
        <v>79.900000000000006</v>
      </c>
      <c r="AN270" t="s">
        <v>5519</v>
      </c>
      <c r="AO270" s="74" t="s">
        <v>5639</v>
      </c>
    </row>
    <row r="271" spans="1:41" ht="14.25" customHeight="1" x14ac:dyDescent="0.3">
      <c r="A271" s="3" t="s">
        <v>1381</v>
      </c>
      <c r="B271" s="3" t="s">
        <v>1443</v>
      </c>
      <c r="C271" s="3" t="s">
        <v>1383</v>
      </c>
      <c r="D271" s="3" t="s">
        <v>1444</v>
      </c>
      <c r="E271" s="3" t="s">
        <v>1385</v>
      </c>
      <c r="F271" s="3" t="s">
        <v>41</v>
      </c>
      <c r="G271" s="5" t="s">
        <v>42</v>
      </c>
      <c r="H271" s="5" t="s">
        <v>43</v>
      </c>
      <c r="I271" s="5" t="s">
        <v>44</v>
      </c>
      <c r="J271" s="3" t="s">
        <v>45</v>
      </c>
      <c r="K271" s="3" t="s">
        <v>146</v>
      </c>
      <c r="L271" s="3" t="s">
        <v>132</v>
      </c>
      <c r="M271" s="3" t="s">
        <v>48</v>
      </c>
      <c r="N271" s="3" t="s">
        <v>1392</v>
      </c>
      <c r="O271" s="69" t="s">
        <v>64</v>
      </c>
      <c r="P271" s="3" t="s">
        <v>87</v>
      </c>
      <c r="Q271" s="3" t="s">
        <v>68</v>
      </c>
      <c r="R271" s="86">
        <v>2</v>
      </c>
      <c r="S271" s="3" t="s">
        <v>52</v>
      </c>
      <c r="T271" s="3" t="s">
        <v>53</v>
      </c>
      <c r="U271" s="3" t="s">
        <v>148</v>
      </c>
      <c r="V271" s="7"/>
      <c r="W271" s="7"/>
      <c r="X271" s="7"/>
      <c r="Y271" s="7"/>
      <c r="Z271" s="3" t="s">
        <v>55</v>
      </c>
      <c r="AA271" s="3" t="s">
        <v>88</v>
      </c>
      <c r="AB271" s="3" t="s">
        <v>57</v>
      </c>
      <c r="AD271" s="3">
        <v>35</v>
      </c>
      <c r="AE271" s="3">
        <v>35</v>
      </c>
      <c r="AF271" s="3">
        <v>1260</v>
      </c>
      <c r="AG271" s="3">
        <v>2.88</v>
      </c>
      <c r="AH271" s="3">
        <v>51.84</v>
      </c>
      <c r="AI271" s="3">
        <v>28.5</v>
      </c>
      <c r="AJ271" s="89">
        <f>79.9/1.2</f>
        <v>66.583333333333343</v>
      </c>
      <c r="AK271" s="3" t="s">
        <v>58</v>
      </c>
      <c r="AL271" s="3">
        <f t="shared" si="4"/>
        <v>79.900000000000006</v>
      </c>
      <c r="AN271" t="s">
        <v>5519</v>
      </c>
      <c r="AO271" s="74" t="s">
        <v>5639</v>
      </c>
    </row>
    <row r="272" spans="1:41" ht="14.25" customHeight="1" x14ac:dyDescent="0.3">
      <c r="A272" s="3" t="s">
        <v>1381</v>
      </c>
      <c r="B272" s="3" t="s">
        <v>1445</v>
      </c>
      <c r="C272" s="3" t="s">
        <v>1383</v>
      </c>
      <c r="D272" s="3" t="s">
        <v>1446</v>
      </c>
      <c r="E272" s="3" t="s">
        <v>1385</v>
      </c>
      <c r="F272" s="3" t="s">
        <v>41</v>
      </c>
      <c r="G272" s="5" t="s">
        <v>42</v>
      </c>
      <c r="H272" s="5" t="s">
        <v>43</v>
      </c>
      <c r="I272" s="5" t="s">
        <v>44</v>
      </c>
      <c r="J272" s="3" t="s">
        <v>45</v>
      </c>
      <c r="K272" s="3" t="s">
        <v>146</v>
      </c>
      <c r="L272" s="3" t="s">
        <v>132</v>
      </c>
      <c r="M272" s="3" t="s">
        <v>48</v>
      </c>
      <c r="N272" s="3" t="s">
        <v>1395</v>
      </c>
      <c r="O272" s="69" t="s">
        <v>61</v>
      </c>
      <c r="P272" s="3" t="s">
        <v>87</v>
      </c>
      <c r="Q272" s="3" t="s">
        <v>68</v>
      </c>
      <c r="R272" s="31">
        <v>2</v>
      </c>
      <c r="S272" s="3" t="s">
        <v>52</v>
      </c>
      <c r="T272" s="3" t="s">
        <v>53</v>
      </c>
      <c r="U272" s="3" t="s">
        <v>148</v>
      </c>
      <c r="V272" s="7"/>
      <c r="W272" s="7"/>
      <c r="X272" s="7"/>
      <c r="Y272" s="7"/>
      <c r="Z272" s="3" t="s">
        <v>55</v>
      </c>
      <c r="AA272" s="3" t="s">
        <v>88</v>
      </c>
      <c r="AB272" s="3" t="s">
        <v>57</v>
      </c>
      <c r="AD272" s="3">
        <v>27.95</v>
      </c>
      <c r="AE272" s="3">
        <v>27.95</v>
      </c>
      <c r="AF272" s="3">
        <v>1260</v>
      </c>
      <c r="AG272" s="3">
        <v>2.88</v>
      </c>
      <c r="AH272" s="3">
        <v>51.84</v>
      </c>
      <c r="AI272" s="3">
        <v>28.5</v>
      </c>
      <c r="AJ272" s="89">
        <f>79.9/1.2</f>
        <v>66.583333333333343</v>
      </c>
      <c r="AK272" s="3" t="s">
        <v>58</v>
      </c>
      <c r="AL272" s="3">
        <f t="shared" ref="AL272:AL303" si="7">AJ272*1.2</f>
        <v>79.900000000000006</v>
      </c>
      <c r="AN272" t="s">
        <v>5519</v>
      </c>
      <c r="AO272" s="74" t="s">
        <v>5639</v>
      </c>
    </row>
    <row r="273" spans="1:41" ht="14.25" customHeight="1" x14ac:dyDescent="0.3">
      <c r="A273" s="3" t="s">
        <v>1381</v>
      </c>
      <c r="B273" s="3" t="s">
        <v>1447</v>
      </c>
      <c r="C273" s="3" t="s">
        <v>1383</v>
      </c>
      <c r="D273" s="3" t="s">
        <v>1448</v>
      </c>
      <c r="E273" s="3" t="s">
        <v>1385</v>
      </c>
      <c r="F273" s="3" t="s">
        <v>41</v>
      </c>
      <c r="G273" s="5" t="s">
        <v>42</v>
      </c>
      <c r="H273" s="5" t="s">
        <v>43</v>
      </c>
      <c r="I273" s="5" t="s">
        <v>44</v>
      </c>
      <c r="J273" s="3" t="s">
        <v>45</v>
      </c>
      <c r="K273" s="3" t="s">
        <v>146</v>
      </c>
      <c r="L273" s="3" t="s">
        <v>132</v>
      </c>
      <c r="M273" s="3" t="s">
        <v>48</v>
      </c>
      <c r="N273" s="3" t="s">
        <v>1398</v>
      </c>
      <c r="O273" s="69" t="s">
        <v>61</v>
      </c>
      <c r="P273" s="3" t="s">
        <v>87</v>
      </c>
      <c r="Q273" s="3" t="s">
        <v>68</v>
      </c>
      <c r="R273" s="31">
        <v>2</v>
      </c>
      <c r="S273" s="3" t="s">
        <v>52</v>
      </c>
      <c r="T273" s="3" t="s">
        <v>53</v>
      </c>
      <c r="U273" s="3" t="s">
        <v>148</v>
      </c>
      <c r="V273" s="7"/>
      <c r="W273" s="7"/>
      <c r="X273" s="7"/>
      <c r="Y273" s="7"/>
      <c r="Z273" s="3" t="s">
        <v>55</v>
      </c>
      <c r="AA273" s="3" t="s">
        <v>88</v>
      </c>
      <c r="AB273" s="3" t="s">
        <v>57</v>
      </c>
      <c r="AD273" s="3">
        <v>35</v>
      </c>
      <c r="AE273" s="3">
        <v>35</v>
      </c>
      <c r="AF273" s="3">
        <v>1260</v>
      </c>
      <c r="AG273" s="3">
        <v>2.88</v>
      </c>
      <c r="AH273" s="3">
        <v>51.84</v>
      </c>
      <c r="AI273" s="3">
        <v>28.5</v>
      </c>
      <c r="AJ273" s="89">
        <f>79.9/1.2</f>
        <v>66.583333333333343</v>
      </c>
      <c r="AK273" s="3" t="s">
        <v>58</v>
      </c>
      <c r="AL273" s="3">
        <f t="shared" si="7"/>
        <v>79.900000000000006</v>
      </c>
      <c r="AN273" t="s">
        <v>5519</v>
      </c>
      <c r="AO273" s="74" t="s">
        <v>5639</v>
      </c>
    </row>
    <row r="274" spans="1:41" ht="14.25" customHeight="1" x14ac:dyDescent="0.3">
      <c r="A274" s="3" t="s">
        <v>343</v>
      </c>
      <c r="B274" s="3" t="s">
        <v>351</v>
      </c>
      <c r="C274" s="3" t="s">
        <v>339</v>
      </c>
      <c r="D274" s="3" t="s">
        <v>352</v>
      </c>
      <c r="E274" s="3" t="s">
        <v>346</v>
      </c>
      <c r="F274" s="3" t="s">
        <v>41</v>
      </c>
      <c r="G274" s="5" t="s">
        <v>42</v>
      </c>
      <c r="H274" s="5" t="s">
        <v>43</v>
      </c>
      <c r="I274" s="5" t="s">
        <v>44</v>
      </c>
      <c r="J274" s="3" t="s">
        <v>45</v>
      </c>
      <c r="K274" s="3" t="s">
        <v>146</v>
      </c>
      <c r="L274" s="3" t="s">
        <v>47</v>
      </c>
      <c r="M274" s="3" t="s">
        <v>48</v>
      </c>
      <c r="N274" s="3" t="s">
        <v>61</v>
      </c>
      <c r="O274" s="69" t="s">
        <v>61</v>
      </c>
      <c r="P274" s="3" t="s">
        <v>50</v>
      </c>
      <c r="Q274" s="3" t="s">
        <v>51</v>
      </c>
      <c r="R274" s="3">
        <v>2</v>
      </c>
      <c r="S274" s="3" t="s">
        <v>52</v>
      </c>
      <c r="T274" s="3" t="s">
        <v>53</v>
      </c>
      <c r="U274" s="3" t="s">
        <v>148</v>
      </c>
      <c r="V274" s="7"/>
      <c r="W274" s="7"/>
      <c r="X274" s="7"/>
      <c r="Y274" s="7"/>
      <c r="Z274" s="3" t="s">
        <v>55</v>
      </c>
      <c r="AA274" s="3" t="s">
        <v>88</v>
      </c>
      <c r="AB274" s="3" t="s">
        <v>57</v>
      </c>
      <c r="AD274" s="3">
        <v>15.15</v>
      </c>
      <c r="AE274" s="3">
        <v>15.15</v>
      </c>
      <c r="AG274" s="3">
        <v>1.44</v>
      </c>
      <c r="AH274" s="12">
        <v>50.4</v>
      </c>
      <c r="AI274" s="3">
        <v>27.5</v>
      </c>
      <c r="AJ274" s="88">
        <v>58.25</v>
      </c>
      <c r="AK274" s="3" t="s">
        <v>58</v>
      </c>
      <c r="AL274" s="9">
        <f t="shared" si="7"/>
        <v>69.899999999999991</v>
      </c>
      <c r="AN274" t="s">
        <v>5519</v>
      </c>
      <c r="AO274" s="74" t="s">
        <v>5629</v>
      </c>
    </row>
    <row r="275" spans="1:41" ht="14.25" customHeight="1" x14ac:dyDescent="0.3">
      <c r="A275" s="3" t="s">
        <v>343</v>
      </c>
      <c r="B275" s="3" t="s">
        <v>344</v>
      </c>
      <c r="C275" s="3" t="s">
        <v>339</v>
      </c>
      <c r="D275" s="3" t="s">
        <v>345</v>
      </c>
      <c r="E275" s="3" t="s">
        <v>346</v>
      </c>
      <c r="F275" s="3" t="s">
        <v>41</v>
      </c>
      <c r="G275" s="5" t="s">
        <v>42</v>
      </c>
      <c r="H275" s="5" t="s">
        <v>43</v>
      </c>
      <c r="I275" s="5" t="s">
        <v>44</v>
      </c>
      <c r="J275" s="3" t="s">
        <v>45</v>
      </c>
      <c r="K275" s="3" t="s">
        <v>146</v>
      </c>
      <c r="L275" s="3" t="s">
        <v>132</v>
      </c>
      <c r="M275" s="3" t="s">
        <v>48</v>
      </c>
      <c r="N275" s="3" t="s">
        <v>61</v>
      </c>
      <c r="O275" s="69" t="s">
        <v>61</v>
      </c>
      <c r="P275" s="3" t="s">
        <v>50</v>
      </c>
      <c r="Q275" s="3" t="s">
        <v>68</v>
      </c>
      <c r="R275" s="3">
        <v>2</v>
      </c>
      <c r="S275" s="3" t="s">
        <v>52</v>
      </c>
      <c r="T275" s="3" t="s">
        <v>53</v>
      </c>
      <c r="U275" s="3" t="s">
        <v>148</v>
      </c>
      <c r="V275" s="7"/>
      <c r="W275" s="7"/>
      <c r="X275" s="7"/>
      <c r="Y275" s="7"/>
      <c r="Z275" s="3" t="s">
        <v>55</v>
      </c>
      <c r="AA275" s="3" t="s">
        <v>88</v>
      </c>
      <c r="AB275" s="3" t="s">
        <v>57</v>
      </c>
      <c r="AD275" s="3">
        <v>31.05</v>
      </c>
      <c r="AE275" s="3">
        <v>31.05</v>
      </c>
      <c r="AG275" s="3">
        <v>2.88</v>
      </c>
      <c r="AH275" s="12">
        <v>57.6</v>
      </c>
      <c r="AI275" s="3">
        <v>31.5</v>
      </c>
      <c r="AJ275" s="88">
        <v>70.75</v>
      </c>
      <c r="AK275" s="3" t="s">
        <v>58</v>
      </c>
      <c r="AL275" s="9">
        <f t="shared" si="7"/>
        <v>84.899999999999991</v>
      </c>
      <c r="AN275" t="s">
        <v>5519</v>
      </c>
      <c r="AO275" s="74" t="s">
        <v>5629</v>
      </c>
    </row>
    <row r="276" spans="1:41" ht="14.25" customHeight="1" x14ac:dyDescent="0.3">
      <c r="A276" s="3" t="s">
        <v>1136</v>
      </c>
      <c r="B276" s="3" t="s">
        <v>1165</v>
      </c>
      <c r="C276" s="3" t="s">
        <v>1138</v>
      </c>
      <c r="D276" s="3" t="s">
        <v>1166</v>
      </c>
      <c r="E276" s="3" t="s">
        <v>1140</v>
      </c>
      <c r="F276" s="3" t="s">
        <v>41</v>
      </c>
      <c r="G276" s="5" t="s">
        <v>42</v>
      </c>
      <c r="H276" s="5" t="s">
        <v>43</v>
      </c>
      <c r="I276" s="5" t="s">
        <v>44</v>
      </c>
      <c r="J276" s="3" t="s">
        <v>45</v>
      </c>
      <c r="K276" s="3" t="s">
        <v>146</v>
      </c>
      <c r="L276" s="3" t="s">
        <v>47</v>
      </c>
      <c r="M276" s="3" t="s">
        <v>48</v>
      </c>
      <c r="N276" s="3" t="s">
        <v>1141</v>
      </c>
      <c r="O276" s="69" t="s">
        <v>586</v>
      </c>
      <c r="P276" s="3" t="s">
        <v>50</v>
      </c>
      <c r="Q276" s="3" t="s">
        <v>51</v>
      </c>
      <c r="R276" s="3">
        <v>2</v>
      </c>
      <c r="S276" s="3" t="s">
        <v>52</v>
      </c>
      <c r="T276" s="3" t="s">
        <v>53</v>
      </c>
      <c r="U276" s="3" t="s">
        <v>148</v>
      </c>
      <c r="V276" s="7"/>
      <c r="W276" s="7"/>
      <c r="X276" s="7"/>
      <c r="Y276" s="7"/>
      <c r="Z276" s="3" t="s">
        <v>55</v>
      </c>
      <c r="AA276" s="3" t="s">
        <v>88</v>
      </c>
      <c r="AB276" s="3" t="s">
        <v>57</v>
      </c>
      <c r="AD276" s="3">
        <v>14.97</v>
      </c>
      <c r="AE276" s="3">
        <v>14.97</v>
      </c>
      <c r="AG276" s="3">
        <v>1.44</v>
      </c>
      <c r="AH276" s="3">
        <v>50.4</v>
      </c>
      <c r="AI276" s="3">
        <v>27.5</v>
      </c>
      <c r="AJ276" s="88">
        <v>58.25</v>
      </c>
      <c r="AK276" s="3" t="s">
        <v>58</v>
      </c>
      <c r="AL276" s="9">
        <f t="shared" si="7"/>
        <v>69.899999999999991</v>
      </c>
      <c r="AN276" t="s">
        <v>5519</v>
      </c>
      <c r="AO276" s="74" t="s">
        <v>5634</v>
      </c>
    </row>
    <row r="277" spans="1:41" ht="14.25" customHeight="1" x14ac:dyDescent="0.3">
      <c r="A277" s="3" t="s">
        <v>1136</v>
      </c>
      <c r="B277" s="3" t="s">
        <v>1167</v>
      </c>
      <c r="C277" s="3" t="s">
        <v>1138</v>
      </c>
      <c r="D277" s="3" t="s">
        <v>1168</v>
      </c>
      <c r="E277" s="3" t="s">
        <v>1140</v>
      </c>
      <c r="F277" s="3" t="s">
        <v>41</v>
      </c>
      <c r="G277" s="5" t="s">
        <v>42</v>
      </c>
      <c r="H277" s="5" t="s">
        <v>43</v>
      </c>
      <c r="I277" s="5" t="s">
        <v>44</v>
      </c>
      <c r="J277" s="3" t="s">
        <v>45</v>
      </c>
      <c r="K277" s="3" t="s">
        <v>146</v>
      </c>
      <c r="L277" s="3" t="s">
        <v>47</v>
      </c>
      <c r="M277" s="3" t="s">
        <v>48</v>
      </c>
      <c r="N277" s="3" t="s">
        <v>1144</v>
      </c>
      <c r="O277" s="69" t="s">
        <v>586</v>
      </c>
      <c r="P277" s="3" t="s">
        <v>50</v>
      </c>
      <c r="Q277" s="3" t="s">
        <v>51</v>
      </c>
      <c r="R277" s="3">
        <v>2</v>
      </c>
      <c r="S277" s="3" t="s">
        <v>52</v>
      </c>
      <c r="T277" s="3" t="s">
        <v>53</v>
      </c>
      <c r="U277" s="3" t="s">
        <v>148</v>
      </c>
      <c r="V277" s="7"/>
      <c r="W277" s="7"/>
      <c r="X277" s="7"/>
      <c r="Y277" s="7"/>
      <c r="Z277" s="3" t="s">
        <v>55</v>
      </c>
      <c r="AA277" s="3" t="s">
        <v>88</v>
      </c>
      <c r="AB277" s="3" t="s">
        <v>57</v>
      </c>
      <c r="AD277" s="3">
        <v>15.15</v>
      </c>
      <c r="AE277" s="3">
        <v>15.15</v>
      </c>
      <c r="AG277" s="3">
        <v>1.44</v>
      </c>
      <c r="AH277" s="3">
        <v>50.4</v>
      </c>
      <c r="AI277" s="3">
        <v>27.5</v>
      </c>
      <c r="AJ277" s="88">
        <v>58.25</v>
      </c>
      <c r="AK277" s="3" t="s">
        <v>58</v>
      </c>
      <c r="AL277" s="9">
        <f t="shared" si="7"/>
        <v>69.899999999999991</v>
      </c>
      <c r="AN277" t="s">
        <v>5519</v>
      </c>
      <c r="AO277" s="74" t="s">
        <v>5634</v>
      </c>
    </row>
    <row r="278" spans="1:41" ht="14.25" customHeight="1" x14ac:dyDescent="0.3">
      <c r="A278" s="3" t="s">
        <v>1136</v>
      </c>
      <c r="B278" s="3" t="s">
        <v>1169</v>
      </c>
      <c r="C278" s="3" t="s">
        <v>1138</v>
      </c>
      <c r="D278" s="3" t="s">
        <v>1170</v>
      </c>
      <c r="E278" s="3" t="s">
        <v>1140</v>
      </c>
      <c r="F278" s="3" t="s">
        <v>41</v>
      </c>
      <c r="G278" s="5" t="s">
        <v>42</v>
      </c>
      <c r="H278" s="5" t="s">
        <v>43</v>
      </c>
      <c r="I278" s="5" t="s">
        <v>44</v>
      </c>
      <c r="J278" s="3" t="s">
        <v>45</v>
      </c>
      <c r="K278" s="3" t="s">
        <v>146</v>
      </c>
      <c r="L278" s="3" t="s">
        <v>47</v>
      </c>
      <c r="M278" s="3" t="s">
        <v>48</v>
      </c>
      <c r="N278" s="3" t="s">
        <v>1147</v>
      </c>
      <c r="O278" s="69" t="s">
        <v>586</v>
      </c>
      <c r="P278" s="3" t="s">
        <v>50</v>
      </c>
      <c r="Q278" s="3" t="s">
        <v>51</v>
      </c>
      <c r="R278" s="3">
        <v>2</v>
      </c>
      <c r="S278" s="3" t="s">
        <v>52</v>
      </c>
      <c r="T278" s="3" t="s">
        <v>53</v>
      </c>
      <c r="U278" s="3" t="s">
        <v>148</v>
      </c>
      <c r="V278" s="7"/>
      <c r="W278" s="7"/>
      <c r="X278" s="7"/>
      <c r="Y278" s="7"/>
      <c r="Z278" s="3" t="s">
        <v>55</v>
      </c>
      <c r="AA278" s="3" t="s">
        <v>88</v>
      </c>
      <c r="AB278" s="3" t="s">
        <v>57</v>
      </c>
      <c r="AD278" s="3">
        <v>14.87</v>
      </c>
      <c r="AE278" s="3">
        <v>14.87</v>
      </c>
      <c r="AG278" s="3">
        <v>1.44</v>
      </c>
      <c r="AH278" s="3">
        <v>50.4</v>
      </c>
      <c r="AI278" s="3">
        <v>27.5</v>
      </c>
      <c r="AJ278" s="88">
        <v>58.25</v>
      </c>
      <c r="AK278" s="3" t="s">
        <v>58</v>
      </c>
      <c r="AL278" s="9">
        <f t="shared" si="7"/>
        <v>69.899999999999991</v>
      </c>
      <c r="AN278" t="s">
        <v>5519</v>
      </c>
      <c r="AO278" s="74" t="s">
        <v>5634</v>
      </c>
    </row>
    <row r="279" spans="1:41" ht="14.25" customHeight="1" x14ac:dyDescent="0.3">
      <c r="A279" s="3" t="s">
        <v>1136</v>
      </c>
      <c r="B279" s="3" t="s">
        <v>1171</v>
      </c>
      <c r="C279" s="3" t="s">
        <v>1138</v>
      </c>
      <c r="D279" s="3" t="s">
        <v>1172</v>
      </c>
      <c r="E279" s="3" t="s">
        <v>1140</v>
      </c>
      <c r="F279" s="3" t="s">
        <v>41</v>
      </c>
      <c r="G279" s="5" t="s">
        <v>42</v>
      </c>
      <c r="H279" s="5" t="s">
        <v>43</v>
      </c>
      <c r="I279" s="5" t="s">
        <v>44</v>
      </c>
      <c r="J279" s="3" t="s">
        <v>45</v>
      </c>
      <c r="K279" s="3" t="s">
        <v>146</v>
      </c>
      <c r="L279" s="3" t="s">
        <v>47</v>
      </c>
      <c r="M279" s="3" t="s">
        <v>48</v>
      </c>
      <c r="N279" s="3" t="s">
        <v>1150</v>
      </c>
      <c r="O279" s="69" t="s">
        <v>1150</v>
      </c>
      <c r="P279" s="3" t="s">
        <v>50</v>
      </c>
      <c r="Q279" s="3" t="s">
        <v>51</v>
      </c>
      <c r="R279" s="3">
        <v>2</v>
      </c>
      <c r="S279" s="3" t="s">
        <v>52</v>
      </c>
      <c r="T279" s="3" t="s">
        <v>53</v>
      </c>
      <c r="U279" s="3" t="s">
        <v>148</v>
      </c>
      <c r="V279" s="7"/>
      <c r="W279" s="7"/>
      <c r="X279" s="7"/>
      <c r="Y279" s="7"/>
      <c r="Z279" s="3" t="s">
        <v>55</v>
      </c>
      <c r="AA279" s="3" t="s">
        <v>88</v>
      </c>
      <c r="AB279" s="3" t="s">
        <v>57</v>
      </c>
      <c r="AD279" s="3">
        <v>14.95</v>
      </c>
      <c r="AE279" s="3">
        <v>14.95</v>
      </c>
      <c r="AG279" s="3">
        <v>1.44</v>
      </c>
      <c r="AH279" s="3">
        <v>50.4</v>
      </c>
      <c r="AI279" s="3">
        <v>27.5</v>
      </c>
      <c r="AJ279" s="88">
        <v>58.25</v>
      </c>
      <c r="AK279" s="3" t="s">
        <v>58</v>
      </c>
      <c r="AL279" s="9">
        <f t="shared" si="7"/>
        <v>69.899999999999991</v>
      </c>
      <c r="AN279" t="s">
        <v>5519</v>
      </c>
      <c r="AO279" s="74" t="s">
        <v>5634</v>
      </c>
    </row>
    <row r="280" spans="1:41" ht="14.25" customHeight="1" x14ac:dyDescent="0.3">
      <c r="A280" s="3" t="s">
        <v>1136</v>
      </c>
      <c r="B280" s="3" t="s">
        <v>1173</v>
      </c>
      <c r="C280" s="3" t="s">
        <v>1138</v>
      </c>
      <c r="D280" s="3" t="s">
        <v>1174</v>
      </c>
      <c r="E280" s="3" t="s">
        <v>1140</v>
      </c>
      <c r="F280" s="3" t="s">
        <v>41</v>
      </c>
      <c r="G280" s="5" t="s">
        <v>42</v>
      </c>
      <c r="H280" s="5" t="s">
        <v>43</v>
      </c>
      <c r="I280" s="5" t="s">
        <v>44</v>
      </c>
      <c r="J280" s="3" t="s">
        <v>45</v>
      </c>
      <c r="K280" s="3" t="s">
        <v>146</v>
      </c>
      <c r="L280" s="3" t="s">
        <v>47</v>
      </c>
      <c r="M280" s="3" t="s">
        <v>48</v>
      </c>
      <c r="N280" s="3" t="s">
        <v>1175</v>
      </c>
      <c r="O280" s="69" t="s">
        <v>3268</v>
      </c>
      <c r="P280" s="3" t="s">
        <v>50</v>
      </c>
      <c r="Q280" s="3" t="s">
        <v>51</v>
      </c>
      <c r="R280" s="3">
        <v>2</v>
      </c>
      <c r="S280" s="3" t="s">
        <v>52</v>
      </c>
      <c r="T280" s="3" t="s">
        <v>53</v>
      </c>
      <c r="U280" s="3" t="s">
        <v>148</v>
      </c>
      <c r="V280" s="7"/>
      <c r="W280" s="7"/>
      <c r="X280" s="7"/>
      <c r="Y280" s="7"/>
      <c r="Z280" s="3" t="s">
        <v>55</v>
      </c>
      <c r="AA280" s="3" t="s">
        <v>88</v>
      </c>
      <c r="AB280" s="3" t="s">
        <v>57</v>
      </c>
      <c r="AD280" s="3">
        <v>14.87</v>
      </c>
      <c r="AE280" s="3">
        <v>14.87</v>
      </c>
      <c r="AG280" s="3">
        <v>1.44</v>
      </c>
      <c r="AH280" s="3">
        <v>50.4</v>
      </c>
      <c r="AI280" s="3">
        <v>27.5</v>
      </c>
      <c r="AJ280" s="88">
        <v>58.25</v>
      </c>
      <c r="AK280" s="3" t="s">
        <v>58</v>
      </c>
      <c r="AL280" s="9">
        <f t="shared" si="7"/>
        <v>69.899999999999991</v>
      </c>
      <c r="AN280" t="s">
        <v>5519</v>
      </c>
      <c r="AO280" s="74" t="s">
        <v>5634</v>
      </c>
    </row>
    <row r="281" spans="1:41" ht="14.25" customHeight="1" x14ac:dyDescent="0.3">
      <c r="A281" s="3" t="s">
        <v>1136</v>
      </c>
      <c r="B281" s="3" t="s">
        <v>1176</v>
      </c>
      <c r="C281" s="3" t="s">
        <v>1138</v>
      </c>
      <c r="D281" s="3" t="s">
        <v>1177</v>
      </c>
      <c r="E281" s="3" t="s">
        <v>1140</v>
      </c>
      <c r="F281" s="3" t="s">
        <v>41</v>
      </c>
      <c r="G281" s="5" t="s">
        <v>42</v>
      </c>
      <c r="H281" s="5" t="s">
        <v>43</v>
      </c>
      <c r="I281" s="5" t="s">
        <v>44</v>
      </c>
      <c r="J281" s="3" t="s">
        <v>45</v>
      </c>
      <c r="K281" s="3" t="s">
        <v>146</v>
      </c>
      <c r="L281" s="3" t="s">
        <v>47</v>
      </c>
      <c r="M281" s="3" t="s">
        <v>48</v>
      </c>
      <c r="N281" s="64" t="s">
        <v>5622</v>
      </c>
      <c r="O281" s="69" t="s">
        <v>64</v>
      </c>
      <c r="P281" s="3" t="s">
        <v>50</v>
      </c>
      <c r="Q281" s="3" t="s">
        <v>51</v>
      </c>
      <c r="R281" s="3">
        <v>2</v>
      </c>
      <c r="S281" s="3" t="s">
        <v>52</v>
      </c>
      <c r="T281" s="3" t="s">
        <v>53</v>
      </c>
      <c r="U281" s="3" t="s">
        <v>148</v>
      </c>
      <c r="V281" s="7"/>
      <c r="W281" s="7"/>
      <c r="X281" s="7"/>
      <c r="Y281" s="7"/>
      <c r="Z281" s="3" t="s">
        <v>55</v>
      </c>
      <c r="AA281" s="3" t="s">
        <v>88</v>
      </c>
      <c r="AB281" s="3" t="s">
        <v>57</v>
      </c>
      <c r="AD281" s="3">
        <v>14.97</v>
      </c>
      <c r="AE281" s="3">
        <v>14.97</v>
      </c>
      <c r="AG281" s="3">
        <v>1.44</v>
      </c>
      <c r="AH281" s="3">
        <v>50.4</v>
      </c>
      <c r="AI281" s="3">
        <v>27.5</v>
      </c>
      <c r="AJ281" s="88">
        <v>58.25</v>
      </c>
      <c r="AK281" s="3" t="s">
        <v>58</v>
      </c>
      <c r="AL281" s="9">
        <f t="shared" si="7"/>
        <v>69.899999999999991</v>
      </c>
      <c r="AN281" t="s">
        <v>5519</v>
      </c>
      <c r="AO281" s="74" t="s">
        <v>5634</v>
      </c>
    </row>
    <row r="282" spans="1:41" ht="14.25" customHeight="1" x14ac:dyDescent="0.3">
      <c r="A282" s="3" t="s">
        <v>1136</v>
      </c>
      <c r="B282" s="3" t="s">
        <v>1178</v>
      </c>
      <c r="C282" s="3" t="s">
        <v>1138</v>
      </c>
      <c r="D282" s="3">
        <v>8055493239811</v>
      </c>
      <c r="E282" s="3" t="s">
        <v>1140</v>
      </c>
      <c r="F282" s="3" t="s">
        <v>41</v>
      </c>
      <c r="G282" s="5" t="s">
        <v>42</v>
      </c>
      <c r="H282" s="5" t="s">
        <v>43</v>
      </c>
      <c r="I282" s="5" t="s">
        <v>44</v>
      </c>
      <c r="J282" s="3" t="s">
        <v>45</v>
      </c>
      <c r="K282" s="3" t="s">
        <v>146</v>
      </c>
      <c r="L282" s="3" t="s">
        <v>47</v>
      </c>
      <c r="M282" s="3" t="s">
        <v>48</v>
      </c>
      <c r="N282" s="3" t="s">
        <v>1179</v>
      </c>
      <c r="O282" s="69" t="s">
        <v>64</v>
      </c>
      <c r="P282" s="3" t="s">
        <v>50</v>
      </c>
      <c r="Q282" s="3" t="s">
        <v>51</v>
      </c>
      <c r="R282" s="3">
        <v>2</v>
      </c>
      <c r="S282" s="3" t="s">
        <v>52</v>
      </c>
      <c r="T282" s="3" t="s">
        <v>53</v>
      </c>
      <c r="U282" s="3" t="s">
        <v>148</v>
      </c>
      <c r="V282" s="7"/>
      <c r="W282" s="7"/>
      <c r="X282" s="7"/>
      <c r="Y282" s="7"/>
      <c r="Z282" s="3" t="s">
        <v>55</v>
      </c>
      <c r="AA282" s="3" t="s">
        <v>88</v>
      </c>
      <c r="AB282" s="3" t="s">
        <v>57</v>
      </c>
      <c r="AD282" s="3">
        <v>14.97</v>
      </c>
      <c r="AE282" s="3">
        <v>14.97</v>
      </c>
      <c r="AG282" s="3">
        <v>1.44</v>
      </c>
      <c r="AH282" s="3">
        <v>50.4</v>
      </c>
      <c r="AI282" s="3">
        <v>27.5</v>
      </c>
      <c r="AJ282" s="88">
        <v>58.25</v>
      </c>
      <c r="AK282" s="3" t="s">
        <v>58</v>
      </c>
      <c r="AL282" s="9">
        <f t="shared" si="7"/>
        <v>69.899999999999991</v>
      </c>
      <c r="AN282" t="s">
        <v>5519</v>
      </c>
      <c r="AO282" s="74" t="s">
        <v>5634</v>
      </c>
    </row>
    <row r="283" spans="1:41" ht="14.25" customHeight="1" x14ac:dyDescent="0.3">
      <c r="A283" s="3" t="s">
        <v>1136</v>
      </c>
      <c r="B283" s="3" t="s">
        <v>1180</v>
      </c>
      <c r="C283" s="3" t="s">
        <v>1138</v>
      </c>
      <c r="D283" s="3" t="s">
        <v>1181</v>
      </c>
      <c r="E283" s="3" t="s">
        <v>1140</v>
      </c>
      <c r="F283" s="3" t="s">
        <v>41</v>
      </c>
      <c r="G283" s="5" t="s">
        <v>42</v>
      </c>
      <c r="H283" s="5" t="s">
        <v>43</v>
      </c>
      <c r="I283" s="5" t="s">
        <v>44</v>
      </c>
      <c r="J283" s="3" t="s">
        <v>45</v>
      </c>
      <c r="K283" s="3" t="s">
        <v>146</v>
      </c>
      <c r="L283" s="3" t="s">
        <v>47</v>
      </c>
      <c r="M283" s="3" t="s">
        <v>48</v>
      </c>
      <c r="N283" s="3" t="s">
        <v>1141</v>
      </c>
      <c r="O283" s="69" t="s">
        <v>586</v>
      </c>
      <c r="P283" s="3" t="s">
        <v>50</v>
      </c>
      <c r="Q283" s="3" t="s">
        <v>51</v>
      </c>
      <c r="R283" s="3">
        <v>2</v>
      </c>
      <c r="S283" s="3" t="s">
        <v>52</v>
      </c>
      <c r="T283" s="3" t="s">
        <v>53</v>
      </c>
      <c r="U283" s="3" t="s">
        <v>1156</v>
      </c>
      <c r="V283" s="7"/>
      <c r="W283" s="7"/>
      <c r="X283" s="7"/>
      <c r="Y283" s="7"/>
      <c r="Z283" s="3" t="s">
        <v>55</v>
      </c>
      <c r="AA283" s="3" t="s">
        <v>88</v>
      </c>
      <c r="AB283" s="3" t="s">
        <v>57</v>
      </c>
      <c r="AD283" s="3">
        <v>15.15</v>
      </c>
      <c r="AE283" s="3">
        <v>15.15</v>
      </c>
      <c r="AG283" s="3">
        <v>1.44</v>
      </c>
      <c r="AH283" s="3">
        <v>50.4</v>
      </c>
      <c r="AI283" s="3">
        <v>27.5</v>
      </c>
      <c r="AJ283" s="88">
        <v>54.082999999999998</v>
      </c>
      <c r="AK283" s="3" t="s">
        <v>58</v>
      </c>
      <c r="AL283" s="9">
        <f t="shared" si="7"/>
        <v>64.899599999999992</v>
      </c>
      <c r="AN283" t="s">
        <v>5519</v>
      </c>
      <c r="AO283" s="74" t="s">
        <v>5634</v>
      </c>
    </row>
    <row r="284" spans="1:41" ht="14.25" customHeight="1" x14ac:dyDescent="0.3">
      <c r="A284" s="3" t="s">
        <v>1136</v>
      </c>
      <c r="B284" s="3" t="s">
        <v>1182</v>
      </c>
      <c r="C284" s="3" t="s">
        <v>1138</v>
      </c>
      <c r="D284" s="3" t="s">
        <v>1183</v>
      </c>
      <c r="E284" s="3" t="s">
        <v>1140</v>
      </c>
      <c r="F284" s="3" t="s">
        <v>41</v>
      </c>
      <c r="G284" s="5" t="s">
        <v>42</v>
      </c>
      <c r="H284" s="5" t="s">
        <v>43</v>
      </c>
      <c r="I284" s="5" t="s">
        <v>44</v>
      </c>
      <c r="J284" s="3" t="s">
        <v>45</v>
      </c>
      <c r="K284" s="3" t="s">
        <v>146</v>
      </c>
      <c r="L284" s="3" t="s">
        <v>47</v>
      </c>
      <c r="M284" s="3" t="s">
        <v>48</v>
      </c>
      <c r="N284" s="3" t="s">
        <v>1144</v>
      </c>
      <c r="O284" s="69" t="s">
        <v>586</v>
      </c>
      <c r="P284" s="3" t="s">
        <v>50</v>
      </c>
      <c r="Q284" s="3" t="s">
        <v>51</v>
      </c>
      <c r="R284" s="3">
        <v>2</v>
      </c>
      <c r="S284" s="3" t="s">
        <v>52</v>
      </c>
      <c r="T284" s="3" t="s">
        <v>53</v>
      </c>
      <c r="U284" s="3" t="s">
        <v>1156</v>
      </c>
      <c r="V284" s="7"/>
      <c r="W284" s="7"/>
      <c r="X284" s="7"/>
      <c r="Y284" s="7"/>
      <c r="Z284" s="3" t="s">
        <v>55</v>
      </c>
      <c r="AA284" s="3" t="s">
        <v>88</v>
      </c>
      <c r="AB284" s="3" t="s">
        <v>57</v>
      </c>
      <c r="AD284" s="3">
        <v>15.15</v>
      </c>
      <c r="AE284" s="3">
        <v>15.15</v>
      </c>
      <c r="AG284" s="3">
        <v>1.44</v>
      </c>
      <c r="AH284" s="3">
        <v>50.4</v>
      </c>
      <c r="AI284" s="3">
        <v>27.5</v>
      </c>
      <c r="AJ284" s="88">
        <v>54.082999999999998</v>
      </c>
      <c r="AK284" s="3" t="s">
        <v>58</v>
      </c>
      <c r="AL284" s="9">
        <f t="shared" si="7"/>
        <v>64.899599999999992</v>
      </c>
      <c r="AN284" t="s">
        <v>5519</v>
      </c>
      <c r="AO284" s="74" t="s">
        <v>5634</v>
      </c>
    </row>
    <row r="285" spans="1:41" ht="14.25" customHeight="1" x14ac:dyDescent="0.3">
      <c r="A285" s="3" t="s">
        <v>1136</v>
      </c>
      <c r="B285" s="3" t="s">
        <v>1184</v>
      </c>
      <c r="C285" s="3" t="s">
        <v>1138</v>
      </c>
      <c r="D285" s="3" t="s">
        <v>1185</v>
      </c>
      <c r="E285" s="3" t="s">
        <v>1140</v>
      </c>
      <c r="F285" s="3" t="s">
        <v>41</v>
      </c>
      <c r="G285" s="5" t="s">
        <v>42</v>
      </c>
      <c r="H285" s="5" t="s">
        <v>43</v>
      </c>
      <c r="I285" s="5" t="s">
        <v>44</v>
      </c>
      <c r="J285" s="3" t="s">
        <v>45</v>
      </c>
      <c r="K285" s="3" t="s">
        <v>146</v>
      </c>
      <c r="L285" s="3" t="s">
        <v>47</v>
      </c>
      <c r="M285" s="3" t="s">
        <v>48</v>
      </c>
      <c r="N285" s="3" t="s">
        <v>1147</v>
      </c>
      <c r="O285" s="69" t="s">
        <v>586</v>
      </c>
      <c r="P285" s="3" t="s">
        <v>50</v>
      </c>
      <c r="Q285" s="3" t="s">
        <v>51</v>
      </c>
      <c r="R285" s="3">
        <v>2</v>
      </c>
      <c r="S285" s="3" t="s">
        <v>52</v>
      </c>
      <c r="T285" s="3" t="s">
        <v>53</v>
      </c>
      <c r="U285" s="3" t="s">
        <v>1156</v>
      </c>
      <c r="V285" s="7"/>
      <c r="W285" s="7"/>
      <c r="X285" s="7"/>
      <c r="Y285" s="7"/>
      <c r="Z285" s="3" t="s">
        <v>55</v>
      </c>
      <c r="AA285" s="3" t="s">
        <v>88</v>
      </c>
      <c r="AB285" s="3" t="s">
        <v>57</v>
      </c>
      <c r="AD285" s="3">
        <v>14.92</v>
      </c>
      <c r="AE285" s="3">
        <v>14.92</v>
      </c>
      <c r="AG285" s="3">
        <v>1.44</v>
      </c>
      <c r="AH285" s="3">
        <v>50.4</v>
      </c>
      <c r="AI285" s="3">
        <v>27.5</v>
      </c>
      <c r="AJ285" s="88">
        <v>54.082999999999998</v>
      </c>
      <c r="AK285" s="3" t="s">
        <v>58</v>
      </c>
      <c r="AL285" s="9">
        <f t="shared" si="7"/>
        <v>64.899599999999992</v>
      </c>
      <c r="AN285" t="s">
        <v>5519</v>
      </c>
      <c r="AO285" s="74" t="s">
        <v>5634</v>
      </c>
    </row>
    <row r="286" spans="1:41" ht="14.25" customHeight="1" x14ac:dyDescent="0.3">
      <c r="A286" s="3" t="s">
        <v>1136</v>
      </c>
      <c r="B286" s="3" t="s">
        <v>1186</v>
      </c>
      <c r="C286" s="3" t="s">
        <v>1138</v>
      </c>
      <c r="D286" s="3" t="s">
        <v>1187</v>
      </c>
      <c r="E286" s="3" t="s">
        <v>1140</v>
      </c>
      <c r="F286" s="3" t="s">
        <v>41</v>
      </c>
      <c r="G286" s="5" t="s">
        <v>42</v>
      </c>
      <c r="H286" s="5" t="s">
        <v>43</v>
      </c>
      <c r="I286" s="5" t="s">
        <v>44</v>
      </c>
      <c r="J286" s="3" t="s">
        <v>45</v>
      </c>
      <c r="K286" s="3" t="s">
        <v>146</v>
      </c>
      <c r="L286" s="3" t="s">
        <v>47</v>
      </c>
      <c r="M286" s="3" t="s">
        <v>48</v>
      </c>
      <c r="N286" s="3" t="s">
        <v>1150</v>
      </c>
      <c r="O286" s="69" t="s">
        <v>1150</v>
      </c>
      <c r="P286" s="3" t="s">
        <v>50</v>
      </c>
      <c r="Q286" s="3" t="s">
        <v>51</v>
      </c>
      <c r="R286" s="3">
        <v>2</v>
      </c>
      <c r="S286" s="3" t="s">
        <v>52</v>
      </c>
      <c r="T286" s="3" t="s">
        <v>53</v>
      </c>
      <c r="U286" s="3" t="s">
        <v>1156</v>
      </c>
      <c r="V286" s="7"/>
      <c r="W286" s="7"/>
      <c r="X286" s="7"/>
      <c r="Y286" s="7"/>
      <c r="Z286" s="3" t="s">
        <v>55</v>
      </c>
      <c r="AA286" s="3" t="s">
        <v>88</v>
      </c>
      <c r="AB286" s="3" t="s">
        <v>57</v>
      </c>
      <c r="AD286" s="3">
        <v>15.15</v>
      </c>
      <c r="AE286" s="3">
        <v>15.15</v>
      </c>
      <c r="AG286" s="3">
        <v>1.44</v>
      </c>
      <c r="AH286" s="3">
        <v>50.4</v>
      </c>
      <c r="AI286" s="3">
        <v>27.5</v>
      </c>
      <c r="AJ286" s="88">
        <v>54.082999999999998</v>
      </c>
      <c r="AK286" s="3" t="s">
        <v>58</v>
      </c>
      <c r="AL286" s="9">
        <f t="shared" si="7"/>
        <v>64.899599999999992</v>
      </c>
      <c r="AN286" t="s">
        <v>5519</v>
      </c>
      <c r="AO286" s="74" t="s">
        <v>5634</v>
      </c>
    </row>
    <row r="287" spans="1:41" ht="14.25" customHeight="1" x14ac:dyDescent="0.3">
      <c r="A287" s="3" t="s">
        <v>1136</v>
      </c>
      <c r="B287" s="3" t="s">
        <v>1188</v>
      </c>
      <c r="C287" s="3" t="s">
        <v>1138</v>
      </c>
      <c r="D287" s="3" t="s">
        <v>1189</v>
      </c>
      <c r="E287" s="3" t="s">
        <v>1140</v>
      </c>
      <c r="F287" s="3" t="s">
        <v>41</v>
      </c>
      <c r="G287" s="5" t="s">
        <v>42</v>
      </c>
      <c r="H287" s="5" t="s">
        <v>43</v>
      </c>
      <c r="I287" s="5" t="s">
        <v>44</v>
      </c>
      <c r="J287" s="3" t="s">
        <v>45</v>
      </c>
      <c r="K287" s="3" t="s">
        <v>146</v>
      </c>
      <c r="L287" s="3" t="s">
        <v>47</v>
      </c>
      <c r="M287" s="3" t="s">
        <v>48</v>
      </c>
      <c r="N287" s="3" t="s">
        <v>1175</v>
      </c>
      <c r="O287" s="69" t="s">
        <v>3268</v>
      </c>
      <c r="P287" s="3" t="s">
        <v>50</v>
      </c>
      <c r="Q287" s="3" t="s">
        <v>51</v>
      </c>
      <c r="R287" s="3">
        <v>2</v>
      </c>
      <c r="S287" s="3" t="s">
        <v>52</v>
      </c>
      <c r="T287" s="3" t="s">
        <v>53</v>
      </c>
      <c r="U287" s="3" t="s">
        <v>1156</v>
      </c>
      <c r="V287" s="7"/>
      <c r="W287" s="7"/>
      <c r="X287" s="7"/>
      <c r="Y287" s="7"/>
      <c r="Z287" s="3" t="s">
        <v>55</v>
      </c>
      <c r="AA287" s="3" t="s">
        <v>88</v>
      </c>
      <c r="AB287" s="3" t="s">
        <v>57</v>
      </c>
      <c r="AD287" s="3">
        <v>15.15</v>
      </c>
      <c r="AE287" s="3">
        <v>15.15</v>
      </c>
      <c r="AG287" s="3">
        <v>1.44</v>
      </c>
      <c r="AH287" s="3">
        <v>50.4</v>
      </c>
      <c r="AI287" s="3">
        <v>27.5</v>
      </c>
      <c r="AJ287" s="88">
        <v>54.082999999999998</v>
      </c>
      <c r="AK287" s="3" t="s">
        <v>58</v>
      </c>
      <c r="AL287" s="9">
        <f t="shared" si="7"/>
        <v>64.899599999999992</v>
      </c>
      <c r="AN287" t="s">
        <v>5519</v>
      </c>
      <c r="AO287" s="74" t="s">
        <v>5634</v>
      </c>
    </row>
    <row r="288" spans="1:41" ht="14.25" customHeight="1" x14ac:dyDescent="0.3">
      <c r="A288" s="3" t="s">
        <v>1136</v>
      </c>
      <c r="B288" s="3" t="s">
        <v>1190</v>
      </c>
      <c r="C288" s="3" t="s">
        <v>1138</v>
      </c>
      <c r="D288" s="3" t="s">
        <v>1191</v>
      </c>
      <c r="E288" s="3" t="s">
        <v>1140</v>
      </c>
      <c r="F288" s="3" t="s">
        <v>41</v>
      </c>
      <c r="G288" s="5" t="s">
        <v>42</v>
      </c>
      <c r="H288" s="5" t="s">
        <v>43</v>
      </c>
      <c r="I288" s="5" t="s">
        <v>44</v>
      </c>
      <c r="J288" s="3" t="s">
        <v>45</v>
      </c>
      <c r="K288" s="3" t="s">
        <v>146</v>
      </c>
      <c r="L288" s="3" t="s">
        <v>47</v>
      </c>
      <c r="M288" s="3" t="s">
        <v>48</v>
      </c>
      <c r="N288" s="3" t="s">
        <v>1153</v>
      </c>
      <c r="O288" s="69" t="s">
        <v>49</v>
      </c>
      <c r="P288" s="3" t="s">
        <v>50</v>
      </c>
      <c r="Q288" s="3" t="s">
        <v>51</v>
      </c>
      <c r="R288" s="3">
        <v>2</v>
      </c>
      <c r="S288" s="3" t="s">
        <v>52</v>
      </c>
      <c r="T288" s="3" t="s">
        <v>53</v>
      </c>
      <c r="U288" s="3" t="s">
        <v>1156</v>
      </c>
      <c r="V288" s="7"/>
      <c r="W288" s="7"/>
      <c r="X288" s="7"/>
      <c r="Y288" s="7"/>
      <c r="Z288" s="3" t="s">
        <v>55</v>
      </c>
      <c r="AA288" s="3" t="s">
        <v>88</v>
      </c>
      <c r="AB288" s="3" t="s">
        <v>57</v>
      </c>
      <c r="AD288" s="3">
        <v>15.15</v>
      </c>
      <c r="AE288" s="3">
        <v>15.15</v>
      </c>
      <c r="AG288" s="3">
        <v>1.44</v>
      </c>
      <c r="AH288" s="3">
        <v>50.4</v>
      </c>
      <c r="AI288" s="3">
        <v>27.5</v>
      </c>
      <c r="AJ288" s="88">
        <v>54.082999999999998</v>
      </c>
      <c r="AK288" s="3" t="s">
        <v>58</v>
      </c>
      <c r="AL288" s="9">
        <f t="shared" si="7"/>
        <v>64.899599999999992</v>
      </c>
      <c r="AN288" t="s">
        <v>5519</v>
      </c>
      <c r="AO288" s="74" t="s">
        <v>5634</v>
      </c>
    </row>
    <row r="289" spans="1:41" ht="14.25" customHeight="1" x14ac:dyDescent="0.3">
      <c r="A289" s="3" t="s">
        <v>1136</v>
      </c>
      <c r="B289" s="3" t="s">
        <v>1137</v>
      </c>
      <c r="C289" s="3" t="s">
        <v>1138</v>
      </c>
      <c r="D289" s="3" t="s">
        <v>1139</v>
      </c>
      <c r="E289" s="3" t="s">
        <v>1140</v>
      </c>
      <c r="F289" s="3" t="s">
        <v>41</v>
      </c>
      <c r="G289" s="5" t="s">
        <v>42</v>
      </c>
      <c r="H289" s="5" t="s">
        <v>43</v>
      </c>
      <c r="I289" s="5" t="s">
        <v>44</v>
      </c>
      <c r="J289" s="3" t="s">
        <v>45</v>
      </c>
      <c r="K289" s="3" t="s">
        <v>146</v>
      </c>
      <c r="L289" s="3" t="s">
        <v>132</v>
      </c>
      <c r="M289" s="3" t="s">
        <v>48</v>
      </c>
      <c r="N289" s="3" t="s">
        <v>1141</v>
      </c>
      <c r="O289" s="69" t="s">
        <v>586</v>
      </c>
      <c r="P289" s="3" t="s">
        <v>50</v>
      </c>
      <c r="Q289" s="3" t="s">
        <v>68</v>
      </c>
      <c r="R289" s="3">
        <v>2</v>
      </c>
      <c r="S289" s="3" t="s">
        <v>52</v>
      </c>
      <c r="T289" s="3" t="s">
        <v>53</v>
      </c>
      <c r="U289" s="3" t="s">
        <v>148</v>
      </c>
      <c r="V289" s="7"/>
      <c r="W289" s="7"/>
      <c r="X289" s="7"/>
      <c r="Y289" s="7"/>
      <c r="Z289" s="3" t="s">
        <v>55</v>
      </c>
      <c r="AA289" s="3" t="s">
        <v>88</v>
      </c>
      <c r="AB289" s="3" t="s">
        <v>57</v>
      </c>
      <c r="AD289" s="3">
        <v>30.78</v>
      </c>
      <c r="AE289" s="3">
        <v>30.78</v>
      </c>
      <c r="AG289" s="3">
        <v>2.88</v>
      </c>
      <c r="AH289" s="3">
        <v>57.6</v>
      </c>
      <c r="AI289" s="3">
        <v>31.5</v>
      </c>
      <c r="AJ289" s="88">
        <v>70.75</v>
      </c>
      <c r="AK289" s="3" t="s">
        <v>58</v>
      </c>
      <c r="AL289" s="9">
        <f t="shared" si="7"/>
        <v>84.899999999999991</v>
      </c>
      <c r="AN289" t="s">
        <v>5519</v>
      </c>
      <c r="AO289" s="74" t="s">
        <v>5634</v>
      </c>
    </row>
    <row r="290" spans="1:41" ht="14.25" customHeight="1" x14ac:dyDescent="0.3">
      <c r="A290" s="3" t="s">
        <v>1136</v>
      </c>
      <c r="B290" s="3" t="s">
        <v>1142</v>
      </c>
      <c r="C290" s="3" t="s">
        <v>1138</v>
      </c>
      <c r="D290" s="3" t="s">
        <v>1143</v>
      </c>
      <c r="E290" s="3" t="s">
        <v>1140</v>
      </c>
      <c r="F290" s="3" t="s">
        <v>41</v>
      </c>
      <c r="G290" s="5" t="s">
        <v>42</v>
      </c>
      <c r="H290" s="5" t="s">
        <v>43</v>
      </c>
      <c r="I290" s="5" t="s">
        <v>44</v>
      </c>
      <c r="J290" s="3" t="s">
        <v>45</v>
      </c>
      <c r="K290" s="3" t="s">
        <v>146</v>
      </c>
      <c r="L290" s="3" t="s">
        <v>132</v>
      </c>
      <c r="M290" s="3" t="s">
        <v>48</v>
      </c>
      <c r="N290" s="3" t="s">
        <v>1144</v>
      </c>
      <c r="O290" s="69" t="s">
        <v>586</v>
      </c>
      <c r="P290" s="3" t="s">
        <v>50</v>
      </c>
      <c r="Q290" s="3" t="s">
        <v>68</v>
      </c>
      <c r="R290" s="3">
        <v>2</v>
      </c>
      <c r="S290" s="3" t="s">
        <v>52</v>
      </c>
      <c r="T290" s="3" t="s">
        <v>53</v>
      </c>
      <c r="U290" s="3" t="s">
        <v>148</v>
      </c>
      <c r="V290" s="7"/>
      <c r="W290" s="7"/>
      <c r="X290" s="7"/>
      <c r="Y290" s="7"/>
      <c r="Z290" s="3" t="s">
        <v>55</v>
      </c>
      <c r="AA290" s="3" t="s">
        <v>88</v>
      </c>
      <c r="AB290" s="3" t="s">
        <v>57</v>
      </c>
      <c r="AD290" s="3">
        <v>30.78</v>
      </c>
      <c r="AE290" s="3">
        <v>30.78</v>
      </c>
      <c r="AG290" s="3">
        <v>2.88</v>
      </c>
      <c r="AH290" s="3">
        <v>57.6</v>
      </c>
      <c r="AI290" s="3">
        <v>31.5</v>
      </c>
      <c r="AJ290" s="88">
        <v>70.75</v>
      </c>
      <c r="AK290" s="3" t="s">
        <v>58</v>
      </c>
      <c r="AL290" s="9">
        <f t="shared" si="7"/>
        <v>84.899999999999991</v>
      </c>
      <c r="AN290" t="s">
        <v>5519</v>
      </c>
      <c r="AO290" s="74" t="s">
        <v>5634</v>
      </c>
    </row>
    <row r="291" spans="1:41" ht="14.25" customHeight="1" x14ac:dyDescent="0.3">
      <c r="A291" s="3" t="s">
        <v>1136</v>
      </c>
      <c r="B291" s="3" t="s">
        <v>1145</v>
      </c>
      <c r="C291" s="3" t="s">
        <v>1138</v>
      </c>
      <c r="D291" s="3" t="s">
        <v>1146</v>
      </c>
      <c r="E291" s="3" t="s">
        <v>1140</v>
      </c>
      <c r="F291" s="3" t="s">
        <v>41</v>
      </c>
      <c r="G291" s="5" t="s">
        <v>42</v>
      </c>
      <c r="H291" s="5" t="s">
        <v>43</v>
      </c>
      <c r="I291" s="5" t="s">
        <v>44</v>
      </c>
      <c r="J291" s="3" t="s">
        <v>45</v>
      </c>
      <c r="K291" s="3" t="s">
        <v>146</v>
      </c>
      <c r="L291" s="3" t="s">
        <v>132</v>
      </c>
      <c r="M291" s="3" t="s">
        <v>48</v>
      </c>
      <c r="N291" s="3" t="s">
        <v>1147</v>
      </c>
      <c r="O291" s="69" t="s">
        <v>586</v>
      </c>
      <c r="P291" s="3" t="s">
        <v>50</v>
      </c>
      <c r="Q291" s="3" t="s">
        <v>68</v>
      </c>
      <c r="R291" s="3">
        <v>2</v>
      </c>
      <c r="S291" s="3" t="s">
        <v>52</v>
      </c>
      <c r="T291" s="3" t="s">
        <v>53</v>
      </c>
      <c r="U291" s="3" t="s">
        <v>148</v>
      </c>
      <c r="V291" s="7"/>
      <c r="W291" s="7"/>
      <c r="X291" s="7"/>
      <c r="Y291" s="7"/>
      <c r="Z291" s="3" t="s">
        <v>55</v>
      </c>
      <c r="AA291" s="3" t="s">
        <v>88</v>
      </c>
      <c r="AB291" s="3" t="s">
        <v>57</v>
      </c>
      <c r="AD291" s="3">
        <v>30.78</v>
      </c>
      <c r="AE291" s="3">
        <v>30.78</v>
      </c>
      <c r="AG291" s="3">
        <v>2.88</v>
      </c>
      <c r="AH291" s="3">
        <v>57.6</v>
      </c>
      <c r="AI291" s="3">
        <v>31.5</v>
      </c>
      <c r="AJ291" s="88">
        <v>70.75</v>
      </c>
      <c r="AK291" s="3" t="s">
        <v>58</v>
      </c>
      <c r="AL291" s="9">
        <f t="shared" si="7"/>
        <v>84.899999999999991</v>
      </c>
      <c r="AN291" t="s">
        <v>5519</v>
      </c>
      <c r="AO291" s="74" t="s">
        <v>5634</v>
      </c>
    </row>
    <row r="292" spans="1:41" ht="14.25" customHeight="1" x14ac:dyDescent="0.3">
      <c r="A292" s="3" t="s">
        <v>1136</v>
      </c>
      <c r="B292" s="3" t="s">
        <v>1148</v>
      </c>
      <c r="C292" s="3" t="s">
        <v>1138</v>
      </c>
      <c r="D292" s="3" t="s">
        <v>1149</v>
      </c>
      <c r="E292" s="3" t="s">
        <v>1140</v>
      </c>
      <c r="F292" s="3" t="s">
        <v>41</v>
      </c>
      <c r="G292" s="5" t="s">
        <v>42</v>
      </c>
      <c r="H292" s="5" t="s">
        <v>43</v>
      </c>
      <c r="I292" s="5" t="s">
        <v>44</v>
      </c>
      <c r="J292" s="3" t="s">
        <v>45</v>
      </c>
      <c r="K292" s="3" t="s">
        <v>146</v>
      </c>
      <c r="L292" s="3" t="s">
        <v>132</v>
      </c>
      <c r="M292" s="3" t="s">
        <v>48</v>
      </c>
      <c r="N292" s="3" t="s">
        <v>1150</v>
      </c>
      <c r="O292" s="69" t="s">
        <v>1150</v>
      </c>
      <c r="P292" s="3" t="s">
        <v>50</v>
      </c>
      <c r="Q292" s="3" t="s">
        <v>68</v>
      </c>
      <c r="R292" s="3">
        <v>2</v>
      </c>
      <c r="S292" s="3" t="s">
        <v>52</v>
      </c>
      <c r="T292" s="3" t="s">
        <v>53</v>
      </c>
      <c r="U292" s="3" t="s">
        <v>148</v>
      </c>
      <c r="V292" s="7"/>
      <c r="W292" s="7"/>
      <c r="X292" s="7"/>
      <c r="Y292" s="7"/>
      <c r="Z292" s="3" t="s">
        <v>55</v>
      </c>
      <c r="AA292" s="3" t="s">
        <v>88</v>
      </c>
      <c r="AB292" s="3" t="s">
        <v>57</v>
      </c>
      <c r="AD292" s="3">
        <v>30.78</v>
      </c>
      <c r="AE292" s="3">
        <v>30.78</v>
      </c>
      <c r="AG292" s="3">
        <v>2.88</v>
      </c>
      <c r="AH292" s="3">
        <v>57.6</v>
      </c>
      <c r="AI292" s="3">
        <v>31.5</v>
      </c>
      <c r="AJ292" s="88">
        <v>70.75</v>
      </c>
      <c r="AK292" s="3" t="s">
        <v>58</v>
      </c>
      <c r="AL292" s="9">
        <f t="shared" si="7"/>
        <v>84.899999999999991</v>
      </c>
      <c r="AN292" t="s">
        <v>5519</v>
      </c>
      <c r="AO292" s="74" t="s">
        <v>5634</v>
      </c>
    </row>
    <row r="293" spans="1:41" ht="14.25" customHeight="1" x14ac:dyDescent="0.3">
      <c r="A293" s="3" t="s">
        <v>1136</v>
      </c>
      <c r="B293" s="3" t="s">
        <v>1151</v>
      </c>
      <c r="C293" s="3" t="s">
        <v>1138</v>
      </c>
      <c r="D293" s="3" t="s">
        <v>1152</v>
      </c>
      <c r="E293" s="3" t="s">
        <v>1140</v>
      </c>
      <c r="F293" s="3" t="s">
        <v>41</v>
      </c>
      <c r="G293" s="5" t="s">
        <v>42</v>
      </c>
      <c r="H293" s="5" t="s">
        <v>43</v>
      </c>
      <c r="I293" s="5" t="s">
        <v>44</v>
      </c>
      <c r="J293" s="3" t="s">
        <v>45</v>
      </c>
      <c r="K293" s="3" t="s">
        <v>146</v>
      </c>
      <c r="L293" s="3" t="s">
        <v>132</v>
      </c>
      <c r="M293" s="3" t="s">
        <v>48</v>
      </c>
      <c r="N293" s="3" t="s">
        <v>1175</v>
      </c>
      <c r="O293" s="69" t="s">
        <v>3268</v>
      </c>
      <c r="P293" s="3" t="s">
        <v>50</v>
      </c>
      <c r="Q293" s="3" t="s">
        <v>68</v>
      </c>
      <c r="R293" s="3">
        <v>2</v>
      </c>
      <c r="S293" s="3" t="s">
        <v>52</v>
      </c>
      <c r="T293" s="3" t="s">
        <v>53</v>
      </c>
      <c r="U293" s="3" t="s">
        <v>148</v>
      </c>
      <c r="V293" s="7"/>
      <c r="W293" s="7"/>
      <c r="X293" s="7"/>
      <c r="Y293" s="7"/>
      <c r="Z293" s="3" t="s">
        <v>55</v>
      </c>
      <c r="AA293" s="3" t="s">
        <v>88</v>
      </c>
      <c r="AB293" s="3" t="s">
        <v>57</v>
      </c>
      <c r="AD293" s="3">
        <v>30.78</v>
      </c>
      <c r="AE293" s="3">
        <v>30.78</v>
      </c>
      <c r="AG293" s="3">
        <v>2.88</v>
      </c>
      <c r="AH293" s="3">
        <v>57.6</v>
      </c>
      <c r="AI293" s="3">
        <v>31.5</v>
      </c>
      <c r="AJ293" s="88">
        <v>70.75</v>
      </c>
      <c r="AK293" s="3" t="s">
        <v>58</v>
      </c>
      <c r="AL293" s="9">
        <f t="shared" si="7"/>
        <v>84.899999999999991</v>
      </c>
      <c r="AN293" t="s">
        <v>5519</v>
      </c>
      <c r="AO293" s="74" t="s">
        <v>5634</v>
      </c>
    </row>
    <row r="294" spans="1:41" ht="14.25" customHeight="1" x14ac:dyDescent="0.3">
      <c r="A294" s="3" t="s">
        <v>1136</v>
      </c>
      <c r="B294" s="3" t="s">
        <v>1154</v>
      </c>
      <c r="C294" s="3" t="s">
        <v>1138</v>
      </c>
      <c r="D294" s="3" t="s">
        <v>1155</v>
      </c>
      <c r="E294" s="3" t="s">
        <v>1140</v>
      </c>
      <c r="F294" s="3" t="s">
        <v>41</v>
      </c>
      <c r="G294" s="5" t="s">
        <v>42</v>
      </c>
      <c r="H294" s="5" t="s">
        <v>43</v>
      </c>
      <c r="I294" s="5" t="s">
        <v>44</v>
      </c>
      <c r="J294" s="3" t="s">
        <v>45</v>
      </c>
      <c r="K294" s="3" t="s">
        <v>146</v>
      </c>
      <c r="L294" s="3" t="s">
        <v>132</v>
      </c>
      <c r="M294" s="3" t="s">
        <v>48</v>
      </c>
      <c r="N294" s="3" t="s">
        <v>1141</v>
      </c>
      <c r="O294" s="69" t="s">
        <v>586</v>
      </c>
      <c r="P294" s="3" t="s">
        <v>50</v>
      </c>
      <c r="Q294" s="3" t="s">
        <v>68</v>
      </c>
      <c r="R294" s="3">
        <v>2</v>
      </c>
      <c r="S294" s="3" t="s">
        <v>52</v>
      </c>
      <c r="T294" s="3" t="s">
        <v>53</v>
      </c>
      <c r="U294" s="3" t="s">
        <v>1156</v>
      </c>
      <c r="V294" s="7"/>
      <c r="W294" s="7"/>
      <c r="X294" s="7"/>
      <c r="Y294" s="7"/>
      <c r="Z294" s="3" t="s">
        <v>55</v>
      </c>
      <c r="AA294" s="3" t="s">
        <v>88</v>
      </c>
      <c r="AB294" s="3" t="s">
        <v>57</v>
      </c>
      <c r="AD294" s="3">
        <v>30.78</v>
      </c>
      <c r="AE294" s="3">
        <v>30.78</v>
      </c>
      <c r="AG294" s="3">
        <v>2.88</v>
      </c>
      <c r="AH294" s="3">
        <v>57.6</v>
      </c>
      <c r="AI294" s="3">
        <v>31.5</v>
      </c>
      <c r="AJ294" s="88">
        <v>70.75</v>
      </c>
      <c r="AK294" s="3" t="s">
        <v>58</v>
      </c>
      <c r="AL294" s="9">
        <f t="shared" si="7"/>
        <v>84.899999999999991</v>
      </c>
      <c r="AN294" t="s">
        <v>5519</v>
      </c>
      <c r="AO294" s="74" t="s">
        <v>5634</v>
      </c>
    </row>
    <row r="295" spans="1:41" ht="14.25" customHeight="1" x14ac:dyDescent="0.3">
      <c r="A295" s="3" t="s">
        <v>1136</v>
      </c>
      <c r="B295" s="3" t="s">
        <v>1157</v>
      </c>
      <c r="C295" s="3" t="s">
        <v>1138</v>
      </c>
      <c r="D295" s="3" t="s">
        <v>1158</v>
      </c>
      <c r="E295" s="3" t="s">
        <v>1140</v>
      </c>
      <c r="F295" s="3" t="s">
        <v>41</v>
      </c>
      <c r="G295" s="5" t="s">
        <v>42</v>
      </c>
      <c r="H295" s="5" t="s">
        <v>43</v>
      </c>
      <c r="I295" s="5" t="s">
        <v>44</v>
      </c>
      <c r="J295" s="3" t="s">
        <v>45</v>
      </c>
      <c r="K295" s="3" t="s">
        <v>146</v>
      </c>
      <c r="L295" s="3" t="s">
        <v>132</v>
      </c>
      <c r="M295" s="3" t="s">
        <v>48</v>
      </c>
      <c r="N295" s="3" t="s">
        <v>1144</v>
      </c>
      <c r="O295" s="70" t="s">
        <v>586</v>
      </c>
      <c r="P295" s="3" t="s">
        <v>50</v>
      </c>
      <c r="Q295" s="3" t="s">
        <v>68</v>
      </c>
      <c r="R295" s="3">
        <v>2</v>
      </c>
      <c r="S295" s="3" t="s">
        <v>52</v>
      </c>
      <c r="T295" s="3" t="s">
        <v>53</v>
      </c>
      <c r="U295" s="3" t="s">
        <v>1156</v>
      </c>
      <c r="V295" s="7"/>
      <c r="W295" s="7"/>
      <c r="X295" s="7"/>
      <c r="Y295" s="7"/>
      <c r="Z295" s="3" t="s">
        <v>55</v>
      </c>
      <c r="AA295" s="3" t="s">
        <v>88</v>
      </c>
      <c r="AB295" s="3" t="s">
        <v>57</v>
      </c>
      <c r="AD295" s="3">
        <v>30.78</v>
      </c>
      <c r="AE295" s="3">
        <v>30.78</v>
      </c>
      <c r="AG295" s="3">
        <v>2.88</v>
      </c>
      <c r="AH295" s="3">
        <v>57.6</v>
      </c>
      <c r="AI295" s="3">
        <v>31.5</v>
      </c>
      <c r="AJ295" s="88">
        <v>70.75</v>
      </c>
      <c r="AK295" s="3" t="s">
        <v>58</v>
      </c>
      <c r="AL295" s="9">
        <f t="shared" si="7"/>
        <v>84.899999999999991</v>
      </c>
      <c r="AN295" t="s">
        <v>5519</v>
      </c>
      <c r="AO295" s="74" t="s">
        <v>5634</v>
      </c>
    </row>
    <row r="296" spans="1:41" ht="14.25" customHeight="1" x14ac:dyDescent="0.3">
      <c r="A296" s="3" t="s">
        <v>1136</v>
      </c>
      <c r="B296" s="3" t="s">
        <v>1159</v>
      </c>
      <c r="C296" s="3" t="s">
        <v>1138</v>
      </c>
      <c r="D296" s="3" t="s">
        <v>1160</v>
      </c>
      <c r="E296" s="3" t="s">
        <v>1140</v>
      </c>
      <c r="F296" s="3" t="s">
        <v>41</v>
      </c>
      <c r="G296" s="5" t="s">
        <v>42</v>
      </c>
      <c r="H296" s="5" t="s">
        <v>43</v>
      </c>
      <c r="I296" s="5" t="s">
        <v>44</v>
      </c>
      <c r="J296" s="3" t="s">
        <v>45</v>
      </c>
      <c r="K296" s="3" t="s">
        <v>146</v>
      </c>
      <c r="L296" s="3" t="s">
        <v>132</v>
      </c>
      <c r="M296" s="3" t="s">
        <v>48</v>
      </c>
      <c r="N296" s="3" t="s">
        <v>1147</v>
      </c>
      <c r="O296" s="70" t="s">
        <v>586</v>
      </c>
      <c r="P296" s="3" t="s">
        <v>50</v>
      </c>
      <c r="Q296" s="3" t="s">
        <v>68</v>
      </c>
      <c r="R296" s="3">
        <v>2</v>
      </c>
      <c r="S296" s="3" t="s">
        <v>52</v>
      </c>
      <c r="T296" s="3" t="s">
        <v>53</v>
      </c>
      <c r="U296" s="3" t="s">
        <v>1156</v>
      </c>
      <c r="V296" s="7"/>
      <c r="W296" s="7"/>
      <c r="X296" s="7"/>
      <c r="Y296" s="7"/>
      <c r="Z296" s="3" t="s">
        <v>55</v>
      </c>
      <c r="AA296" s="3" t="s">
        <v>88</v>
      </c>
      <c r="AB296" s="3" t="s">
        <v>57</v>
      </c>
      <c r="AD296" s="3">
        <v>30.78</v>
      </c>
      <c r="AE296" s="3">
        <v>30.78</v>
      </c>
      <c r="AG296" s="3">
        <v>2.88</v>
      </c>
      <c r="AH296" s="3">
        <v>57.6</v>
      </c>
      <c r="AI296" s="3">
        <v>31.5</v>
      </c>
      <c r="AJ296" s="88">
        <v>70.75</v>
      </c>
      <c r="AK296" s="3" t="s">
        <v>58</v>
      </c>
      <c r="AL296" s="9">
        <f t="shared" si="7"/>
        <v>84.899999999999991</v>
      </c>
      <c r="AN296" t="s">
        <v>5519</v>
      </c>
      <c r="AO296" s="74" t="s">
        <v>5634</v>
      </c>
    </row>
    <row r="297" spans="1:41" ht="14.25" customHeight="1" x14ac:dyDescent="0.3">
      <c r="A297" s="3" t="s">
        <v>1136</v>
      </c>
      <c r="B297" s="3" t="s">
        <v>1161</v>
      </c>
      <c r="C297" s="3" t="s">
        <v>1138</v>
      </c>
      <c r="D297" s="3" t="s">
        <v>1162</v>
      </c>
      <c r="E297" s="3" t="s">
        <v>1140</v>
      </c>
      <c r="F297" s="3" t="s">
        <v>41</v>
      </c>
      <c r="G297" s="5" t="s">
        <v>42</v>
      </c>
      <c r="H297" s="5" t="s">
        <v>43</v>
      </c>
      <c r="I297" s="5" t="s">
        <v>44</v>
      </c>
      <c r="J297" s="3" t="s">
        <v>45</v>
      </c>
      <c r="K297" s="3" t="s">
        <v>146</v>
      </c>
      <c r="L297" s="3" t="s">
        <v>132</v>
      </c>
      <c r="M297" s="3" t="s">
        <v>48</v>
      </c>
      <c r="N297" s="3" t="s">
        <v>1150</v>
      </c>
      <c r="O297" s="70" t="s">
        <v>1150</v>
      </c>
      <c r="P297" s="3" t="s">
        <v>50</v>
      </c>
      <c r="Q297" s="3" t="s">
        <v>68</v>
      </c>
      <c r="R297" s="3">
        <v>2</v>
      </c>
      <c r="S297" s="3" t="s">
        <v>52</v>
      </c>
      <c r="T297" s="3" t="s">
        <v>53</v>
      </c>
      <c r="U297" s="3" t="s">
        <v>1156</v>
      </c>
      <c r="V297" s="7"/>
      <c r="W297" s="7"/>
      <c r="X297" s="7"/>
      <c r="Y297" s="7"/>
      <c r="Z297" s="3" t="s">
        <v>55</v>
      </c>
      <c r="AA297" s="3" t="s">
        <v>88</v>
      </c>
      <c r="AB297" s="3" t="s">
        <v>57</v>
      </c>
      <c r="AD297" s="3">
        <v>30.78</v>
      </c>
      <c r="AE297" s="3">
        <v>30.78</v>
      </c>
      <c r="AG297" s="3">
        <v>2.88</v>
      </c>
      <c r="AH297" s="3">
        <v>57.6</v>
      </c>
      <c r="AI297" s="3">
        <v>31.5</v>
      </c>
      <c r="AJ297" s="88">
        <v>70.75</v>
      </c>
      <c r="AK297" s="3" t="s">
        <v>58</v>
      </c>
      <c r="AL297" s="9">
        <f t="shared" si="7"/>
        <v>84.899999999999991</v>
      </c>
      <c r="AN297" t="s">
        <v>5519</v>
      </c>
      <c r="AO297" s="74" t="s">
        <v>5634</v>
      </c>
    </row>
    <row r="298" spans="1:41" ht="14.25" customHeight="1" x14ac:dyDescent="0.3">
      <c r="A298" s="3" t="s">
        <v>1136</v>
      </c>
      <c r="B298" s="3" t="s">
        <v>1163</v>
      </c>
      <c r="C298" s="3" t="s">
        <v>1138</v>
      </c>
      <c r="D298" s="3" t="s">
        <v>1164</v>
      </c>
      <c r="E298" s="3" t="s">
        <v>1140</v>
      </c>
      <c r="F298" s="3" t="s">
        <v>41</v>
      </c>
      <c r="G298" s="5" t="s">
        <v>42</v>
      </c>
      <c r="H298" s="5" t="s">
        <v>43</v>
      </c>
      <c r="I298" s="5" t="s">
        <v>44</v>
      </c>
      <c r="J298" s="3" t="s">
        <v>45</v>
      </c>
      <c r="K298" s="3" t="s">
        <v>146</v>
      </c>
      <c r="L298" s="3" t="s">
        <v>132</v>
      </c>
      <c r="M298" s="3" t="s">
        <v>48</v>
      </c>
      <c r="N298" s="3" t="s">
        <v>1175</v>
      </c>
      <c r="O298" s="70" t="s">
        <v>3268</v>
      </c>
      <c r="P298" s="3" t="s">
        <v>50</v>
      </c>
      <c r="Q298" s="3" t="s">
        <v>68</v>
      </c>
      <c r="R298" s="3">
        <v>2</v>
      </c>
      <c r="S298" s="3" t="s">
        <v>52</v>
      </c>
      <c r="T298" s="3" t="s">
        <v>53</v>
      </c>
      <c r="U298" s="3" t="s">
        <v>1156</v>
      </c>
      <c r="V298" s="7"/>
      <c r="W298" s="7"/>
      <c r="X298" s="7"/>
      <c r="Y298" s="7"/>
      <c r="Z298" s="3" t="s">
        <v>55</v>
      </c>
      <c r="AA298" s="3" t="s">
        <v>88</v>
      </c>
      <c r="AB298" s="3" t="s">
        <v>57</v>
      </c>
      <c r="AD298" s="3">
        <v>30.78</v>
      </c>
      <c r="AE298" s="3">
        <v>30.78</v>
      </c>
      <c r="AG298" s="3">
        <v>2.88</v>
      </c>
      <c r="AH298" s="3">
        <v>57.6</v>
      </c>
      <c r="AI298" s="3">
        <v>31.5</v>
      </c>
      <c r="AJ298" s="88">
        <v>70.75</v>
      </c>
      <c r="AK298" s="3" t="s">
        <v>58</v>
      </c>
      <c r="AL298" s="9">
        <f t="shared" si="7"/>
        <v>84.899999999999991</v>
      </c>
      <c r="AN298" t="s">
        <v>5519</v>
      </c>
      <c r="AO298" s="74" t="s">
        <v>5634</v>
      </c>
    </row>
    <row r="299" spans="1:41" ht="14.25" customHeight="1" x14ac:dyDescent="0.3">
      <c r="A299" s="3" t="s">
        <v>807</v>
      </c>
      <c r="B299" s="3" t="s">
        <v>835</v>
      </c>
      <c r="C299" s="3" t="s">
        <v>795</v>
      </c>
      <c r="D299" s="3" t="s">
        <v>836</v>
      </c>
      <c r="E299" s="3" t="s">
        <v>810</v>
      </c>
      <c r="F299" s="3" t="s">
        <v>41</v>
      </c>
      <c r="G299" s="5" t="s">
        <v>42</v>
      </c>
      <c r="H299" s="5" t="s">
        <v>43</v>
      </c>
      <c r="I299" s="5" t="s">
        <v>44</v>
      </c>
      <c r="J299" s="3" t="s">
        <v>45</v>
      </c>
      <c r="K299" s="3" t="s">
        <v>146</v>
      </c>
      <c r="L299" s="3" t="s">
        <v>47</v>
      </c>
      <c r="M299" s="3" t="s">
        <v>48</v>
      </c>
      <c r="N299" s="3" t="s">
        <v>61</v>
      </c>
      <c r="O299" s="83" t="s">
        <v>61</v>
      </c>
      <c r="P299" s="3" t="s">
        <v>50</v>
      </c>
      <c r="Q299" s="3" t="s">
        <v>51</v>
      </c>
      <c r="R299" s="3">
        <v>2</v>
      </c>
      <c r="S299" s="3" t="s">
        <v>52</v>
      </c>
      <c r="T299" s="3" t="s">
        <v>53</v>
      </c>
      <c r="U299" s="3" t="s">
        <v>54</v>
      </c>
      <c r="V299" s="7"/>
      <c r="W299" s="7"/>
      <c r="X299" s="7"/>
      <c r="Y299" s="7"/>
      <c r="Z299" s="3" t="s">
        <v>55</v>
      </c>
      <c r="AA299" s="3" t="s">
        <v>88</v>
      </c>
      <c r="AB299" s="3" t="s">
        <v>57</v>
      </c>
      <c r="AD299" s="3">
        <v>29.58</v>
      </c>
      <c r="AE299" s="3">
        <v>29.58</v>
      </c>
      <c r="AG299" s="3">
        <v>1.44</v>
      </c>
      <c r="AH299" s="12">
        <v>50.4</v>
      </c>
      <c r="AI299" s="3">
        <v>21.1</v>
      </c>
      <c r="AJ299" s="88">
        <v>49.915999999999997</v>
      </c>
      <c r="AK299" s="3" t="s">
        <v>58</v>
      </c>
      <c r="AL299" s="9">
        <f t="shared" si="7"/>
        <v>59.899199999999993</v>
      </c>
      <c r="AN299" t="s">
        <v>5519</v>
      </c>
      <c r="AO299" s="74" t="s">
        <v>5629</v>
      </c>
    </row>
    <row r="300" spans="1:41" ht="14.25" customHeight="1" x14ac:dyDescent="0.3">
      <c r="A300" s="3" t="s">
        <v>807</v>
      </c>
      <c r="B300" s="3" t="s">
        <v>845</v>
      </c>
      <c r="C300" s="3" t="s">
        <v>795</v>
      </c>
      <c r="D300" s="3" t="s">
        <v>846</v>
      </c>
      <c r="E300" s="3" t="s">
        <v>810</v>
      </c>
      <c r="F300" s="3" t="s">
        <v>41</v>
      </c>
      <c r="G300" s="5" t="s">
        <v>42</v>
      </c>
      <c r="H300" s="5" t="s">
        <v>43</v>
      </c>
      <c r="I300" s="5" t="s">
        <v>44</v>
      </c>
      <c r="J300" s="3" t="s">
        <v>45</v>
      </c>
      <c r="K300" s="3" t="s">
        <v>146</v>
      </c>
      <c r="L300" s="3" t="s">
        <v>47</v>
      </c>
      <c r="M300" s="3" t="s">
        <v>48</v>
      </c>
      <c r="N300" s="3" t="s">
        <v>61</v>
      </c>
      <c r="O300" s="71" t="s">
        <v>61</v>
      </c>
      <c r="P300" s="3" t="s">
        <v>50</v>
      </c>
      <c r="Q300" s="3" t="s">
        <v>51</v>
      </c>
      <c r="R300" s="3">
        <v>2</v>
      </c>
      <c r="S300" s="3" t="s">
        <v>52</v>
      </c>
      <c r="T300" s="3" t="s">
        <v>53</v>
      </c>
      <c r="U300" s="3" t="s">
        <v>148</v>
      </c>
      <c r="V300" s="7"/>
      <c r="W300" s="7"/>
      <c r="X300" s="7"/>
      <c r="Y300" s="7"/>
      <c r="Z300" s="3" t="s">
        <v>55</v>
      </c>
      <c r="AA300" s="3" t="s">
        <v>88</v>
      </c>
      <c r="AB300" s="3" t="s">
        <v>57</v>
      </c>
      <c r="AD300" s="3">
        <v>30.3</v>
      </c>
      <c r="AE300" s="3">
        <v>30.3</v>
      </c>
      <c r="AG300" s="3">
        <v>1.44</v>
      </c>
      <c r="AH300" s="12">
        <v>50.4</v>
      </c>
      <c r="AI300" s="3">
        <v>27.5</v>
      </c>
      <c r="AJ300" s="88">
        <v>58.25</v>
      </c>
      <c r="AK300" s="3" t="s">
        <v>58</v>
      </c>
      <c r="AL300" s="9">
        <f t="shared" si="7"/>
        <v>69.899999999999991</v>
      </c>
      <c r="AN300" t="s">
        <v>5519</v>
      </c>
      <c r="AO300" s="74" t="s">
        <v>5629</v>
      </c>
    </row>
    <row r="301" spans="1:41" ht="14.25" customHeight="1" x14ac:dyDescent="0.3">
      <c r="A301" s="3" t="s">
        <v>807</v>
      </c>
      <c r="B301" s="3" t="s">
        <v>808</v>
      </c>
      <c r="C301" s="3" t="s">
        <v>795</v>
      </c>
      <c r="D301" s="3" t="s">
        <v>809</v>
      </c>
      <c r="E301" s="3" t="s">
        <v>810</v>
      </c>
      <c r="F301" s="3" t="s">
        <v>41</v>
      </c>
      <c r="G301" s="5" t="s">
        <v>42</v>
      </c>
      <c r="H301" s="5" t="s">
        <v>43</v>
      </c>
      <c r="I301" s="5" t="s">
        <v>44</v>
      </c>
      <c r="J301" s="3" t="s">
        <v>45</v>
      </c>
      <c r="K301" s="3" t="s">
        <v>146</v>
      </c>
      <c r="L301" s="3" t="s">
        <v>132</v>
      </c>
      <c r="M301" s="3" t="s">
        <v>48</v>
      </c>
      <c r="N301" s="3" t="s">
        <v>61</v>
      </c>
      <c r="O301" s="83" t="s">
        <v>61</v>
      </c>
      <c r="P301" s="3" t="s">
        <v>50</v>
      </c>
      <c r="Q301" s="3" t="s">
        <v>68</v>
      </c>
      <c r="R301" s="3">
        <v>2</v>
      </c>
      <c r="S301" s="3" t="s">
        <v>52</v>
      </c>
      <c r="T301" s="3" t="s">
        <v>53</v>
      </c>
      <c r="U301" s="3" t="s">
        <v>54</v>
      </c>
      <c r="V301" s="7"/>
      <c r="W301" s="7"/>
      <c r="X301" s="7"/>
      <c r="Y301" s="7"/>
      <c r="Z301" s="3" t="s">
        <v>55</v>
      </c>
      <c r="AA301" s="3" t="s">
        <v>88</v>
      </c>
      <c r="AB301" s="3" t="s">
        <v>57</v>
      </c>
      <c r="AD301" s="3">
        <v>62.64</v>
      </c>
      <c r="AE301" s="3">
        <v>62.64</v>
      </c>
      <c r="AG301" s="3">
        <v>2.88</v>
      </c>
      <c r="AH301" s="12">
        <v>57.6</v>
      </c>
      <c r="AI301" s="3">
        <v>28.6</v>
      </c>
      <c r="AJ301" s="88">
        <v>66.582999999999998</v>
      </c>
      <c r="AK301" s="3" t="s">
        <v>58</v>
      </c>
      <c r="AL301" s="9">
        <f t="shared" si="7"/>
        <v>79.899599999999992</v>
      </c>
      <c r="AN301" t="s">
        <v>5519</v>
      </c>
      <c r="AO301" s="74" t="s">
        <v>5629</v>
      </c>
    </row>
    <row r="302" spans="1:41" ht="14.25" customHeight="1" x14ac:dyDescent="0.3">
      <c r="A302" s="3" t="s">
        <v>807</v>
      </c>
      <c r="B302" s="3" t="s">
        <v>821</v>
      </c>
      <c r="C302" s="3" t="s">
        <v>795</v>
      </c>
      <c r="D302" s="3" t="s">
        <v>822</v>
      </c>
      <c r="E302" s="3" t="s">
        <v>810</v>
      </c>
      <c r="F302" s="3" t="s">
        <v>41</v>
      </c>
      <c r="G302" s="5" t="s">
        <v>42</v>
      </c>
      <c r="H302" s="5" t="s">
        <v>43</v>
      </c>
      <c r="I302" s="5" t="s">
        <v>44</v>
      </c>
      <c r="J302" s="3" t="s">
        <v>45</v>
      </c>
      <c r="K302" s="3" t="s">
        <v>146</v>
      </c>
      <c r="L302" s="3" t="s">
        <v>132</v>
      </c>
      <c r="M302" s="3" t="s">
        <v>48</v>
      </c>
      <c r="N302" s="3" t="s">
        <v>61</v>
      </c>
      <c r="O302" s="83" t="s">
        <v>61</v>
      </c>
      <c r="P302" s="3" t="s">
        <v>50</v>
      </c>
      <c r="Q302" s="3" t="s">
        <v>68</v>
      </c>
      <c r="R302" s="3">
        <v>2</v>
      </c>
      <c r="S302" s="3" t="s">
        <v>52</v>
      </c>
      <c r="T302" s="3" t="s">
        <v>53</v>
      </c>
      <c r="U302" s="3" t="s">
        <v>148</v>
      </c>
      <c r="V302" s="7"/>
      <c r="W302" s="7"/>
      <c r="X302" s="7"/>
      <c r="Y302" s="7"/>
      <c r="Z302" s="3" t="s">
        <v>55</v>
      </c>
      <c r="AA302" s="3" t="s">
        <v>88</v>
      </c>
      <c r="AB302" s="3" t="s">
        <v>57</v>
      </c>
      <c r="AD302" s="3">
        <v>61.56</v>
      </c>
      <c r="AE302" s="3">
        <v>61.56</v>
      </c>
      <c r="AG302" s="3">
        <v>2.88</v>
      </c>
      <c r="AH302" s="12">
        <v>57.6</v>
      </c>
      <c r="AI302" s="3">
        <v>31.5</v>
      </c>
      <c r="AJ302" s="88">
        <v>70.75</v>
      </c>
      <c r="AK302" s="3" t="s">
        <v>58</v>
      </c>
      <c r="AL302" s="9">
        <f t="shared" si="7"/>
        <v>84.899999999999991</v>
      </c>
      <c r="AN302" t="s">
        <v>5519</v>
      </c>
      <c r="AO302" s="74" t="s">
        <v>5629</v>
      </c>
    </row>
    <row r="303" spans="1:41" ht="14.25" customHeight="1" x14ac:dyDescent="0.3">
      <c r="A303" s="3" t="s">
        <v>1254</v>
      </c>
      <c r="B303" s="3" t="s">
        <v>1263</v>
      </c>
      <c r="C303" s="3" t="s">
        <v>1256</v>
      </c>
      <c r="D303" s="4" t="s">
        <v>1264</v>
      </c>
      <c r="E303" s="3" t="s">
        <v>1258</v>
      </c>
      <c r="F303" s="3" t="s">
        <v>41</v>
      </c>
      <c r="G303" s="5" t="s">
        <v>42</v>
      </c>
      <c r="H303" s="5" t="s">
        <v>43</v>
      </c>
      <c r="I303" s="5" t="s">
        <v>44</v>
      </c>
      <c r="J303" s="3" t="s">
        <v>45</v>
      </c>
      <c r="K303" s="3" t="s">
        <v>146</v>
      </c>
      <c r="L303" s="3" t="s">
        <v>47</v>
      </c>
      <c r="M303" s="3" t="s">
        <v>48</v>
      </c>
      <c r="N303" s="4" t="s">
        <v>49</v>
      </c>
      <c r="O303" s="68" t="s">
        <v>49</v>
      </c>
      <c r="P303" s="3" t="s">
        <v>50</v>
      </c>
      <c r="Q303" s="3" t="s">
        <v>51</v>
      </c>
      <c r="R303" s="6">
        <v>2</v>
      </c>
      <c r="S303" s="3" t="s">
        <v>52</v>
      </c>
      <c r="T303" s="3" t="s">
        <v>53</v>
      </c>
      <c r="U303" s="3" t="s">
        <v>54</v>
      </c>
      <c r="V303" s="7"/>
      <c r="W303" s="7"/>
      <c r="X303" s="7"/>
      <c r="Y303" s="7"/>
      <c r="Z303" s="3" t="s">
        <v>55</v>
      </c>
      <c r="AA303" s="3" t="s">
        <v>56</v>
      </c>
      <c r="AB303" s="3" t="s">
        <v>57</v>
      </c>
      <c r="AD303" s="8">
        <v>20.100000000000001</v>
      </c>
      <c r="AE303" s="8">
        <v>20.486000000000001</v>
      </c>
      <c r="AG303" s="3">
        <v>1.44</v>
      </c>
      <c r="AH303" s="11">
        <v>51.84</v>
      </c>
      <c r="AI303" s="3">
        <v>12.96</v>
      </c>
      <c r="AJ303" s="88">
        <v>35.75</v>
      </c>
      <c r="AK303" s="3" t="s">
        <v>58</v>
      </c>
      <c r="AL303" s="9">
        <f t="shared" si="7"/>
        <v>42.9</v>
      </c>
      <c r="AN303" t="s">
        <v>5519</v>
      </c>
      <c r="AO303" s="74" t="s">
        <v>5641</v>
      </c>
    </row>
    <row r="304" spans="1:41" ht="14.25" customHeight="1" x14ac:dyDescent="0.3">
      <c r="A304" s="3" t="s">
        <v>1254</v>
      </c>
      <c r="B304" s="3" t="s">
        <v>1265</v>
      </c>
      <c r="C304" s="3" t="s">
        <v>1256</v>
      </c>
      <c r="D304" s="4" t="s">
        <v>1266</v>
      </c>
      <c r="E304" s="3" t="s">
        <v>1258</v>
      </c>
      <c r="F304" s="3" t="s">
        <v>41</v>
      </c>
      <c r="G304" s="5" t="s">
        <v>42</v>
      </c>
      <c r="H304" s="5" t="s">
        <v>43</v>
      </c>
      <c r="I304" s="5" t="s">
        <v>44</v>
      </c>
      <c r="J304" s="3" t="s">
        <v>45</v>
      </c>
      <c r="K304" s="3" t="s">
        <v>146</v>
      </c>
      <c r="L304" s="3" t="s">
        <v>47</v>
      </c>
      <c r="M304" s="3" t="s">
        <v>48</v>
      </c>
      <c r="N304" s="4" t="s">
        <v>279</v>
      </c>
      <c r="O304" s="68" t="s">
        <v>279</v>
      </c>
      <c r="P304" s="3" t="s">
        <v>50</v>
      </c>
      <c r="Q304" s="3" t="s">
        <v>51</v>
      </c>
      <c r="R304" s="6">
        <v>2</v>
      </c>
      <c r="S304" s="3" t="s">
        <v>52</v>
      </c>
      <c r="T304" s="3" t="s">
        <v>53</v>
      </c>
      <c r="U304" s="3" t="s">
        <v>54</v>
      </c>
      <c r="V304" s="7"/>
      <c r="W304" s="7"/>
      <c r="X304" s="7"/>
      <c r="Y304" s="7"/>
      <c r="Z304" s="3" t="s">
        <v>55</v>
      </c>
      <c r="AA304" s="3" t="s">
        <v>56</v>
      </c>
      <c r="AB304" s="3" t="s">
        <v>57</v>
      </c>
      <c r="AD304" s="8">
        <v>20.100000000000001</v>
      </c>
      <c r="AE304" s="8">
        <v>20.486000000000001</v>
      </c>
      <c r="AG304" s="3">
        <v>1.44</v>
      </c>
      <c r="AH304" s="11">
        <v>51.84</v>
      </c>
      <c r="AI304" s="3">
        <v>12.96</v>
      </c>
      <c r="AJ304" s="88">
        <v>35.75</v>
      </c>
      <c r="AK304" s="3" t="s">
        <v>58</v>
      </c>
      <c r="AL304" s="9">
        <f t="shared" ref="AL304:AL335" si="8">AJ304*1.2</f>
        <v>42.9</v>
      </c>
      <c r="AN304" t="s">
        <v>5519</v>
      </c>
      <c r="AO304" s="74" t="s">
        <v>5641</v>
      </c>
    </row>
    <row r="305" spans="1:41" ht="14.25" customHeight="1" x14ac:dyDescent="0.3">
      <c r="A305" s="3" t="s">
        <v>1254</v>
      </c>
      <c r="B305" s="3" t="s">
        <v>1255</v>
      </c>
      <c r="C305" s="3" t="s">
        <v>1256</v>
      </c>
      <c r="D305" s="4" t="s">
        <v>1257</v>
      </c>
      <c r="E305" s="3" t="s">
        <v>1258</v>
      </c>
      <c r="F305" s="3" t="s">
        <v>41</v>
      </c>
      <c r="G305" s="5" t="s">
        <v>42</v>
      </c>
      <c r="H305" s="5" t="s">
        <v>43</v>
      </c>
      <c r="I305" s="5" t="s">
        <v>44</v>
      </c>
      <c r="J305" s="3" t="s">
        <v>45</v>
      </c>
      <c r="K305" s="3" t="s">
        <v>146</v>
      </c>
      <c r="L305" s="3" t="s">
        <v>132</v>
      </c>
      <c r="M305" s="3" t="s">
        <v>48</v>
      </c>
      <c r="N305" s="4" t="s">
        <v>279</v>
      </c>
      <c r="O305" s="67" t="s">
        <v>279</v>
      </c>
      <c r="P305" s="3" t="s">
        <v>50</v>
      </c>
      <c r="Q305" s="3" t="s">
        <v>68</v>
      </c>
      <c r="R305" s="6">
        <v>1</v>
      </c>
      <c r="S305" s="3" t="s">
        <v>52</v>
      </c>
      <c r="T305" s="3" t="s">
        <v>53</v>
      </c>
      <c r="U305" s="3" t="s">
        <v>54</v>
      </c>
      <c r="V305" s="7"/>
      <c r="W305" s="7"/>
      <c r="X305" s="7"/>
      <c r="Y305" s="7"/>
      <c r="Z305" s="3" t="s">
        <v>55</v>
      </c>
      <c r="AA305" s="3" t="s">
        <v>56</v>
      </c>
      <c r="AB305" s="3" t="s">
        <v>57</v>
      </c>
      <c r="AD305" s="8">
        <v>21.762</v>
      </c>
      <c r="AE305" s="8">
        <v>21.962</v>
      </c>
      <c r="AG305" s="3">
        <v>1.44</v>
      </c>
      <c r="AH305" s="11">
        <v>57.6</v>
      </c>
      <c r="AI305" s="3">
        <v>20.32</v>
      </c>
      <c r="AJ305" s="88">
        <v>58.25</v>
      </c>
      <c r="AK305" s="3" t="s">
        <v>58</v>
      </c>
      <c r="AL305" s="9">
        <f t="shared" si="8"/>
        <v>69.899999999999991</v>
      </c>
      <c r="AN305" t="s">
        <v>5519</v>
      </c>
      <c r="AO305" s="74" t="s">
        <v>5641</v>
      </c>
    </row>
    <row r="306" spans="1:41" ht="14.25" customHeight="1" x14ac:dyDescent="0.3">
      <c r="A306" s="3" t="s">
        <v>1254</v>
      </c>
      <c r="B306" s="3" t="s">
        <v>1267</v>
      </c>
      <c r="C306" s="3" t="s">
        <v>1256</v>
      </c>
      <c r="D306" s="4" t="s">
        <v>1268</v>
      </c>
      <c r="E306" s="3" t="s">
        <v>1258</v>
      </c>
      <c r="F306" s="3" t="s">
        <v>41</v>
      </c>
      <c r="G306" s="5" t="s">
        <v>42</v>
      </c>
      <c r="H306" s="5" t="s">
        <v>43</v>
      </c>
      <c r="I306" s="5" t="s">
        <v>44</v>
      </c>
      <c r="J306" s="3" t="s">
        <v>45</v>
      </c>
      <c r="K306" s="3" t="s">
        <v>146</v>
      </c>
      <c r="L306" s="3" t="s">
        <v>47</v>
      </c>
      <c r="M306" s="3" t="s">
        <v>48</v>
      </c>
      <c r="N306" s="4" t="s">
        <v>279</v>
      </c>
      <c r="O306" s="67" t="s">
        <v>279</v>
      </c>
      <c r="P306" s="3" t="s">
        <v>410</v>
      </c>
      <c r="Q306" s="3" t="s">
        <v>51</v>
      </c>
      <c r="R306" s="6">
        <v>2</v>
      </c>
      <c r="S306" s="3" t="s">
        <v>52</v>
      </c>
      <c r="T306" s="3" t="s">
        <v>53</v>
      </c>
      <c r="U306" s="3" t="s">
        <v>148</v>
      </c>
      <c r="V306" s="7"/>
      <c r="W306" s="7"/>
      <c r="X306" s="7"/>
      <c r="Y306" s="7"/>
      <c r="Z306" s="3" t="s">
        <v>55</v>
      </c>
      <c r="AA306" s="3" t="s">
        <v>56</v>
      </c>
      <c r="AB306" s="3" t="s">
        <v>57</v>
      </c>
      <c r="AD306" s="8">
        <v>24.306000000000001</v>
      </c>
      <c r="AE306" s="8">
        <v>24.74</v>
      </c>
      <c r="AG306" s="3">
        <v>1.44</v>
      </c>
      <c r="AH306" s="11">
        <v>46.08</v>
      </c>
      <c r="AI306" s="3">
        <v>20.43</v>
      </c>
      <c r="AJ306" s="88">
        <v>41.582999999999998</v>
      </c>
      <c r="AK306" s="3" t="s">
        <v>58</v>
      </c>
      <c r="AL306" s="9">
        <f t="shared" si="8"/>
        <v>49.8996</v>
      </c>
      <c r="AN306" t="s">
        <v>5519</v>
      </c>
      <c r="AO306" s="74" t="s">
        <v>5641</v>
      </c>
    </row>
    <row r="307" spans="1:41" ht="14.25" customHeight="1" x14ac:dyDescent="0.3">
      <c r="A307" s="3" t="s">
        <v>1254</v>
      </c>
      <c r="B307" s="3" t="s">
        <v>1269</v>
      </c>
      <c r="C307" s="3" t="s">
        <v>1256</v>
      </c>
      <c r="D307" s="4" t="s">
        <v>1270</v>
      </c>
      <c r="E307" s="3" t="s">
        <v>1258</v>
      </c>
      <c r="F307" s="3" t="s">
        <v>41</v>
      </c>
      <c r="G307" s="5" t="s">
        <v>42</v>
      </c>
      <c r="H307" s="5" t="s">
        <v>43</v>
      </c>
      <c r="I307" s="5" t="s">
        <v>44</v>
      </c>
      <c r="J307" s="3" t="s">
        <v>45</v>
      </c>
      <c r="K307" s="3" t="s">
        <v>146</v>
      </c>
      <c r="L307" s="3" t="s">
        <v>47</v>
      </c>
      <c r="M307" s="3" t="s">
        <v>48</v>
      </c>
      <c r="N307" s="4" t="s">
        <v>49</v>
      </c>
      <c r="O307" s="67" t="s">
        <v>49</v>
      </c>
      <c r="P307" s="3" t="s">
        <v>410</v>
      </c>
      <c r="Q307" s="3" t="s">
        <v>51</v>
      </c>
      <c r="R307" s="6">
        <v>2</v>
      </c>
      <c r="S307" s="3" t="s">
        <v>52</v>
      </c>
      <c r="T307" s="3" t="s">
        <v>53</v>
      </c>
      <c r="U307" s="3" t="s">
        <v>148</v>
      </c>
      <c r="V307" s="7"/>
      <c r="W307" s="7"/>
      <c r="X307" s="7"/>
      <c r="Y307" s="7"/>
      <c r="Z307" s="3" t="s">
        <v>55</v>
      </c>
      <c r="AA307" s="3" t="s">
        <v>56</v>
      </c>
      <c r="AB307" s="3" t="s">
        <v>57</v>
      </c>
      <c r="AD307" s="8">
        <v>24.306000000000001</v>
      </c>
      <c r="AE307" s="8">
        <v>24.74</v>
      </c>
      <c r="AG307" s="3">
        <v>1.44</v>
      </c>
      <c r="AH307" s="11">
        <v>46.08</v>
      </c>
      <c r="AI307" s="3">
        <v>20.43</v>
      </c>
      <c r="AJ307" s="88">
        <v>41.582999999999998</v>
      </c>
      <c r="AK307" s="3" t="s">
        <v>58</v>
      </c>
      <c r="AL307" s="9">
        <f t="shared" si="8"/>
        <v>49.8996</v>
      </c>
      <c r="AN307" t="s">
        <v>5519</v>
      </c>
      <c r="AO307" s="74" t="s">
        <v>5641</v>
      </c>
    </row>
    <row r="308" spans="1:41" ht="14.25" customHeight="1" x14ac:dyDescent="0.3">
      <c r="A308" s="3" t="s">
        <v>1254</v>
      </c>
      <c r="B308" s="3" t="s">
        <v>1259</v>
      </c>
      <c r="C308" s="3" t="s">
        <v>1256</v>
      </c>
      <c r="D308" s="4" t="s">
        <v>1260</v>
      </c>
      <c r="E308" s="3" t="s">
        <v>1258</v>
      </c>
      <c r="F308" s="3" t="s">
        <v>41</v>
      </c>
      <c r="G308" s="5" t="s">
        <v>42</v>
      </c>
      <c r="H308" s="5" t="s">
        <v>43</v>
      </c>
      <c r="I308" s="5" t="s">
        <v>44</v>
      </c>
      <c r="J308" s="3" t="s">
        <v>45</v>
      </c>
      <c r="K308" s="3" t="s">
        <v>146</v>
      </c>
      <c r="L308" s="3" t="s">
        <v>132</v>
      </c>
      <c r="M308" s="3" t="s">
        <v>48</v>
      </c>
      <c r="N308" s="4" t="s">
        <v>279</v>
      </c>
      <c r="O308" s="68" t="s">
        <v>279</v>
      </c>
      <c r="P308" s="3" t="s">
        <v>388</v>
      </c>
      <c r="Q308" s="3" t="s">
        <v>68</v>
      </c>
      <c r="R308" s="6">
        <v>1</v>
      </c>
      <c r="S308" s="3" t="s">
        <v>52</v>
      </c>
      <c r="T308" s="3" t="s">
        <v>53</v>
      </c>
      <c r="U308" s="3" t="s">
        <v>148</v>
      </c>
      <c r="V308" s="7"/>
      <c r="W308" s="7"/>
      <c r="X308" s="7"/>
      <c r="Y308" s="7"/>
      <c r="Z308" s="3" t="s">
        <v>55</v>
      </c>
      <c r="AA308" s="3" t="s">
        <v>56</v>
      </c>
      <c r="AB308" s="3" t="s">
        <v>57</v>
      </c>
      <c r="AD308" s="8">
        <v>25.759</v>
      </c>
      <c r="AE308" s="8">
        <v>25.959</v>
      </c>
      <c r="AG308" s="3">
        <v>1.44</v>
      </c>
      <c r="AH308" s="11">
        <v>51.84</v>
      </c>
      <c r="AI308" s="3">
        <v>25.33</v>
      </c>
      <c r="AJ308" s="88">
        <v>62.415999999999997</v>
      </c>
      <c r="AK308" s="3" t="s">
        <v>58</v>
      </c>
      <c r="AL308" s="9">
        <f t="shared" si="8"/>
        <v>74.899199999999993</v>
      </c>
      <c r="AN308" t="s">
        <v>5519</v>
      </c>
      <c r="AO308" s="74" t="s">
        <v>5641</v>
      </c>
    </row>
    <row r="309" spans="1:41" ht="14.25" customHeight="1" x14ac:dyDescent="0.3">
      <c r="A309" s="3" t="s">
        <v>1254</v>
      </c>
      <c r="B309" s="3" t="s">
        <v>1261</v>
      </c>
      <c r="C309" s="3" t="s">
        <v>1256</v>
      </c>
      <c r="D309" s="4" t="s">
        <v>1262</v>
      </c>
      <c r="E309" s="3" t="s">
        <v>1258</v>
      </c>
      <c r="F309" s="3" t="s">
        <v>41</v>
      </c>
      <c r="G309" s="5" t="s">
        <v>42</v>
      </c>
      <c r="H309" s="5" t="s">
        <v>43</v>
      </c>
      <c r="I309" s="5" t="s">
        <v>44</v>
      </c>
      <c r="J309" s="3" t="s">
        <v>45</v>
      </c>
      <c r="K309" s="3" t="s">
        <v>146</v>
      </c>
      <c r="L309" s="3" t="s">
        <v>132</v>
      </c>
      <c r="M309" s="3" t="s">
        <v>48</v>
      </c>
      <c r="N309" s="4" t="s">
        <v>49</v>
      </c>
      <c r="O309" s="68" t="s">
        <v>49</v>
      </c>
      <c r="P309" s="3" t="s">
        <v>388</v>
      </c>
      <c r="Q309" s="3" t="s">
        <v>68</v>
      </c>
      <c r="R309" s="6">
        <v>1</v>
      </c>
      <c r="S309" s="3" t="s">
        <v>52</v>
      </c>
      <c r="T309" s="3" t="s">
        <v>53</v>
      </c>
      <c r="U309" s="3" t="s">
        <v>148</v>
      </c>
      <c r="V309" s="7"/>
      <c r="W309" s="7"/>
      <c r="X309" s="7"/>
      <c r="Y309" s="7"/>
      <c r="Z309" s="3" t="s">
        <v>55</v>
      </c>
      <c r="AA309" s="3" t="s">
        <v>56</v>
      </c>
      <c r="AB309" s="3" t="s">
        <v>57</v>
      </c>
      <c r="AD309" s="8">
        <v>25.759</v>
      </c>
      <c r="AE309" s="8">
        <v>25.959</v>
      </c>
      <c r="AG309" s="3">
        <v>1.44</v>
      </c>
      <c r="AH309" s="11">
        <v>51.84</v>
      </c>
      <c r="AI309" s="3">
        <v>25.33</v>
      </c>
      <c r="AJ309" s="88">
        <v>62.415999999999997</v>
      </c>
      <c r="AK309" s="3" t="s">
        <v>58</v>
      </c>
      <c r="AL309" s="9">
        <f t="shared" si="8"/>
        <v>74.899199999999993</v>
      </c>
      <c r="AN309" t="s">
        <v>5519</v>
      </c>
      <c r="AO309" s="74" t="s">
        <v>5641</v>
      </c>
    </row>
    <row r="310" spans="1:41" ht="14.25" customHeight="1" x14ac:dyDescent="0.3">
      <c r="A310" s="3" t="s">
        <v>1363</v>
      </c>
      <c r="B310" s="3" t="s">
        <v>1375</v>
      </c>
      <c r="C310" s="3" t="s">
        <v>1365</v>
      </c>
      <c r="D310" s="3" t="s">
        <v>1376</v>
      </c>
      <c r="E310" s="3" t="s">
        <v>1367</v>
      </c>
      <c r="F310" s="3" t="s">
        <v>41</v>
      </c>
      <c r="G310" s="5" t="s">
        <v>42</v>
      </c>
      <c r="H310" s="5" t="s">
        <v>43</v>
      </c>
      <c r="I310" s="5" t="s">
        <v>44</v>
      </c>
      <c r="J310" s="3" t="s">
        <v>45</v>
      </c>
      <c r="K310" s="3" t="s">
        <v>146</v>
      </c>
      <c r="L310" s="3" t="s">
        <v>67</v>
      </c>
      <c r="M310" s="3" t="s">
        <v>48</v>
      </c>
      <c r="N310" s="4" t="s">
        <v>1368</v>
      </c>
      <c r="O310" s="68" t="s">
        <v>49</v>
      </c>
      <c r="P310" s="3" t="s">
        <v>50</v>
      </c>
      <c r="Q310" s="3" t="s">
        <v>68</v>
      </c>
      <c r="R310" s="3">
        <v>4</v>
      </c>
      <c r="S310" s="3" t="s">
        <v>52</v>
      </c>
      <c r="T310" s="3" t="s">
        <v>53</v>
      </c>
      <c r="U310" s="3" t="s">
        <v>54</v>
      </c>
      <c r="V310" s="7"/>
      <c r="W310" s="7"/>
      <c r="X310" s="7"/>
      <c r="Y310" s="7"/>
      <c r="Z310" s="3" t="s">
        <v>55</v>
      </c>
      <c r="AA310" s="3" t="s">
        <v>56</v>
      </c>
      <c r="AB310" s="3" t="s">
        <v>57</v>
      </c>
      <c r="AD310" s="3">
        <v>20.181999999999999</v>
      </c>
      <c r="AE310" s="3">
        <v>20.616</v>
      </c>
      <c r="AG310" s="3">
        <v>1.44</v>
      </c>
      <c r="AH310" s="3">
        <v>46.08</v>
      </c>
      <c r="AI310" s="3">
        <v>11.79</v>
      </c>
      <c r="AJ310" s="88">
        <v>30.75</v>
      </c>
      <c r="AK310" s="3" t="s">
        <v>58</v>
      </c>
      <c r="AL310" s="9">
        <f t="shared" si="8"/>
        <v>36.9</v>
      </c>
      <c r="AM310" s="35" t="s">
        <v>5480</v>
      </c>
      <c r="AN310" t="s">
        <v>5519</v>
      </c>
      <c r="AO310" s="74" t="s">
        <v>5629</v>
      </c>
    </row>
    <row r="311" spans="1:41" ht="14.25" customHeight="1" x14ac:dyDescent="0.3">
      <c r="A311" s="3" t="s">
        <v>1363</v>
      </c>
      <c r="B311" s="3" t="s">
        <v>1371</v>
      </c>
      <c r="C311" s="3" t="s">
        <v>1365</v>
      </c>
      <c r="D311" s="3" t="s">
        <v>1372</v>
      </c>
      <c r="E311" s="3" t="s">
        <v>1367</v>
      </c>
      <c r="F311" s="3" t="s">
        <v>41</v>
      </c>
      <c r="G311" s="5" t="s">
        <v>42</v>
      </c>
      <c r="H311" s="5" t="s">
        <v>43</v>
      </c>
      <c r="I311" s="5" t="s">
        <v>44</v>
      </c>
      <c r="J311" s="3" t="s">
        <v>45</v>
      </c>
      <c r="K311" s="3" t="s">
        <v>146</v>
      </c>
      <c r="L311" s="3" t="s">
        <v>47</v>
      </c>
      <c r="M311" s="3" t="s">
        <v>48</v>
      </c>
      <c r="N311" s="4" t="s">
        <v>1368</v>
      </c>
      <c r="O311" s="68" t="s">
        <v>49</v>
      </c>
      <c r="P311" s="3" t="s">
        <v>50</v>
      </c>
      <c r="Q311" s="3" t="s">
        <v>51</v>
      </c>
      <c r="R311" s="3">
        <v>2</v>
      </c>
      <c r="S311" s="3" t="s">
        <v>52</v>
      </c>
      <c r="T311" s="3" t="s">
        <v>53</v>
      </c>
      <c r="U311" s="3" t="s">
        <v>54</v>
      </c>
      <c r="V311" s="7"/>
      <c r="W311" s="7"/>
      <c r="X311" s="7"/>
      <c r="Y311" s="7"/>
      <c r="Z311" s="3" t="s">
        <v>55</v>
      </c>
      <c r="AA311" s="3" t="s">
        <v>56</v>
      </c>
      <c r="AB311" s="3" t="s">
        <v>57</v>
      </c>
      <c r="AD311" s="3">
        <v>20.100000000000001</v>
      </c>
      <c r="AE311" s="3">
        <v>20.486000000000001</v>
      </c>
      <c r="AG311" s="3">
        <v>1.44</v>
      </c>
      <c r="AH311" s="3">
        <v>51.84</v>
      </c>
      <c r="AI311" s="3">
        <v>12.96</v>
      </c>
      <c r="AJ311" s="88">
        <v>35.75</v>
      </c>
      <c r="AK311" s="3" t="s">
        <v>58</v>
      </c>
      <c r="AL311" s="9">
        <f t="shared" si="8"/>
        <v>42.9</v>
      </c>
      <c r="AM311" s="35" t="s">
        <v>5480</v>
      </c>
      <c r="AN311" t="s">
        <v>5519</v>
      </c>
      <c r="AO311" s="74" t="s">
        <v>5629</v>
      </c>
    </row>
    <row r="312" spans="1:41" ht="14.25" customHeight="1" x14ac:dyDescent="0.3">
      <c r="A312" s="3" t="s">
        <v>1363</v>
      </c>
      <c r="B312" s="3" t="s">
        <v>1379</v>
      </c>
      <c r="C312" s="3" t="s">
        <v>1365</v>
      </c>
      <c r="D312" s="3" t="s">
        <v>1380</v>
      </c>
      <c r="E312" s="3" t="s">
        <v>1367</v>
      </c>
      <c r="F312" s="3" t="s">
        <v>41</v>
      </c>
      <c r="G312" s="5" t="s">
        <v>42</v>
      </c>
      <c r="H312" s="5" t="s">
        <v>43</v>
      </c>
      <c r="I312" s="5" t="s">
        <v>44</v>
      </c>
      <c r="J312" s="3" t="s">
        <v>45</v>
      </c>
      <c r="K312" s="3" t="s">
        <v>146</v>
      </c>
      <c r="L312" s="3" t="s">
        <v>417</v>
      </c>
      <c r="M312" s="3" t="s">
        <v>48</v>
      </c>
      <c r="N312" s="4" t="s">
        <v>1368</v>
      </c>
      <c r="O312" s="68" t="s">
        <v>49</v>
      </c>
      <c r="P312" s="3" t="s">
        <v>50</v>
      </c>
      <c r="Q312" s="3" t="s">
        <v>68</v>
      </c>
      <c r="R312" s="3">
        <v>2</v>
      </c>
      <c r="S312" s="3" t="s">
        <v>52</v>
      </c>
      <c r="T312" s="3" t="s">
        <v>53</v>
      </c>
      <c r="U312" s="3" t="s">
        <v>54</v>
      </c>
      <c r="V312" s="7"/>
      <c r="W312" s="7"/>
      <c r="X312" s="7"/>
      <c r="Y312" s="7"/>
      <c r="Z312" s="3" t="s">
        <v>55</v>
      </c>
      <c r="AA312" s="3" t="s">
        <v>56</v>
      </c>
      <c r="AB312" s="3" t="s">
        <v>57</v>
      </c>
      <c r="AD312" s="3">
        <v>21.280999999999999</v>
      </c>
      <c r="AE312" s="3">
        <v>21.481000000000002</v>
      </c>
      <c r="AG312" s="3">
        <v>1.125</v>
      </c>
      <c r="AH312" s="3">
        <v>54</v>
      </c>
      <c r="AI312" s="8">
        <v>13.27</v>
      </c>
      <c r="AJ312" s="88">
        <v>37.415999999999997</v>
      </c>
      <c r="AK312" s="3" t="s">
        <v>58</v>
      </c>
      <c r="AL312" s="9">
        <f t="shared" si="8"/>
        <v>44.899199999999993</v>
      </c>
      <c r="AM312" s="35" t="s">
        <v>5480</v>
      </c>
      <c r="AN312" t="s">
        <v>5519</v>
      </c>
      <c r="AO312" s="74" t="s">
        <v>5629</v>
      </c>
    </row>
    <row r="313" spans="1:41" ht="14.25" customHeight="1" x14ac:dyDescent="0.3">
      <c r="A313" s="3" t="s">
        <v>1363</v>
      </c>
      <c r="B313" s="3" t="s">
        <v>1377</v>
      </c>
      <c r="C313" s="3" t="s">
        <v>1365</v>
      </c>
      <c r="D313" s="3" t="s">
        <v>1378</v>
      </c>
      <c r="E313" s="3" t="s">
        <v>1367</v>
      </c>
      <c r="F313" s="3" t="s">
        <v>41</v>
      </c>
      <c r="G313" s="5" t="s">
        <v>42</v>
      </c>
      <c r="H313" s="5" t="s">
        <v>43</v>
      </c>
      <c r="I313" s="5" t="s">
        <v>44</v>
      </c>
      <c r="J313" s="3" t="s">
        <v>45</v>
      </c>
      <c r="K313" s="3" t="s">
        <v>146</v>
      </c>
      <c r="L313" s="3" t="s">
        <v>67</v>
      </c>
      <c r="M313" s="3" t="s">
        <v>48</v>
      </c>
      <c r="N313" s="4" t="s">
        <v>1368</v>
      </c>
      <c r="O313" s="68" t="s">
        <v>49</v>
      </c>
      <c r="P313" s="3" t="s">
        <v>50</v>
      </c>
      <c r="Q313" s="3" t="s">
        <v>68</v>
      </c>
      <c r="R313" s="3">
        <v>4</v>
      </c>
      <c r="S313" s="3" t="s">
        <v>52</v>
      </c>
      <c r="T313" s="3" t="s">
        <v>53</v>
      </c>
      <c r="U313" s="3" t="s">
        <v>148</v>
      </c>
      <c r="V313" s="7"/>
      <c r="W313" s="7"/>
      <c r="X313" s="7"/>
      <c r="Y313" s="7"/>
      <c r="Z313" s="3" t="s">
        <v>55</v>
      </c>
      <c r="AA313" s="3" t="s">
        <v>56</v>
      </c>
      <c r="AB313" s="3" t="s">
        <v>57</v>
      </c>
      <c r="AD313" s="3">
        <v>21.363</v>
      </c>
      <c r="AE313" s="3">
        <v>21.826000000000001</v>
      </c>
      <c r="AG313" s="3">
        <v>1.44</v>
      </c>
      <c r="AH313" s="3">
        <v>43.2</v>
      </c>
      <c r="AI313" s="3">
        <v>15.08</v>
      </c>
      <c r="AJ313" s="88">
        <v>35.75</v>
      </c>
      <c r="AK313" s="3" t="s">
        <v>58</v>
      </c>
      <c r="AL313" s="9">
        <f t="shared" si="8"/>
        <v>42.9</v>
      </c>
      <c r="AM313" s="35" t="s">
        <v>5480</v>
      </c>
      <c r="AN313" t="s">
        <v>5519</v>
      </c>
      <c r="AO313" s="74" t="s">
        <v>5629</v>
      </c>
    </row>
    <row r="314" spans="1:41" ht="14.25" customHeight="1" x14ac:dyDescent="0.3">
      <c r="A314" s="3" t="s">
        <v>1363</v>
      </c>
      <c r="B314" s="3" t="s">
        <v>1373</v>
      </c>
      <c r="C314" s="3" t="s">
        <v>1365</v>
      </c>
      <c r="D314" s="3" t="s">
        <v>1374</v>
      </c>
      <c r="E314" s="3" t="s">
        <v>1367</v>
      </c>
      <c r="F314" s="3" t="s">
        <v>41</v>
      </c>
      <c r="G314" s="5" t="s">
        <v>42</v>
      </c>
      <c r="H314" s="5" t="s">
        <v>43</v>
      </c>
      <c r="I314" s="5" t="s">
        <v>44</v>
      </c>
      <c r="J314" s="3" t="s">
        <v>45</v>
      </c>
      <c r="K314" s="3" t="s">
        <v>146</v>
      </c>
      <c r="L314" s="3" t="s">
        <v>47</v>
      </c>
      <c r="M314" s="3" t="s">
        <v>48</v>
      </c>
      <c r="N314" s="4" t="s">
        <v>1368</v>
      </c>
      <c r="O314" s="67" t="s">
        <v>49</v>
      </c>
      <c r="P314" s="3" t="s">
        <v>50</v>
      </c>
      <c r="Q314" s="3" t="s">
        <v>51</v>
      </c>
      <c r="R314" s="3">
        <v>2</v>
      </c>
      <c r="S314" s="3" t="s">
        <v>52</v>
      </c>
      <c r="T314" s="3" t="s">
        <v>53</v>
      </c>
      <c r="U314" s="3" t="s">
        <v>148</v>
      </c>
      <c r="V314" s="7"/>
      <c r="W314" s="7"/>
      <c r="X314" s="7"/>
      <c r="Y314" s="7"/>
      <c r="Z314" s="3" t="s">
        <v>55</v>
      </c>
      <c r="AA314" s="3" t="s">
        <v>56</v>
      </c>
      <c r="AB314" s="3" t="s">
        <v>57</v>
      </c>
      <c r="AD314" s="3">
        <v>24.306000000000001</v>
      </c>
      <c r="AE314" s="3">
        <v>24.74</v>
      </c>
      <c r="AG314" s="3">
        <v>1.44</v>
      </c>
      <c r="AH314" s="3">
        <v>46.08</v>
      </c>
      <c r="AI314" s="3">
        <v>16.29</v>
      </c>
      <c r="AJ314" s="88">
        <v>39.082999999999998</v>
      </c>
      <c r="AK314" s="3" t="s">
        <v>58</v>
      </c>
      <c r="AL314" s="9">
        <f t="shared" si="8"/>
        <v>46.8996</v>
      </c>
      <c r="AM314" s="35" t="s">
        <v>5480</v>
      </c>
      <c r="AN314" t="s">
        <v>5519</v>
      </c>
      <c r="AO314" s="74" t="s">
        <v>5629</v>
      </c>
    </row>
    <row r="315" spans="1:41" ht="14.25" customHeight="1" x14ac:dyDescent="0.3">
      <c r="A315" s="3" t="s">
        <v>1363</v>
      </c>
      <c r="B315" s="3" t="s">
        <v>1364</v>
      </c>
      <c r="C315" s="3" t="s">
        <v>1365</v>
      </c>
      <c r="D315" s="3" t="s">
        <v>1366</v>
      </c>
      <c r="E315" s="3" t="s">
        <v>1367</v>
      </c>
      <c r="F315" s="3" t="s">
        <v>41</v>
      </c>
      <c r="G315" s="5" t="s">
        <v>42</v>
      </c>
      <c r="H315" s="5" t="s">
        <v>43</v>
      </c>
      <c r="I315" s="5" t="s">
        <v>44</v>
      </c>
      <c r="J315" s="3" t="s">
        <v>45</v>
      </c>
      <c r="K315" s="3" t="s">
        <v>146</v>
      </c>
      <c r="L315" s="3" t="s">
        <v>132</v>
      </c>
      <c r="M315" s="3" t="s">
        <v>48</v>
      </c>
      <c r="N315" s="4" t="s">
        <v>1368</v>
      </c>
      <c r="O315" s="67" t="s">
        <v>49</v>
      </c>
      <c r="P315" s="3" t="s">
        <v>50</v>
      </c>
      <c r="Q315" s="3" t="s">
        <v>68</v>
      </c>
      <c r="R315" s="3">
        <v>1</v>
      </c>
      <c r="S315" s="3" t="s">
        <v>52</v>
      </c>
      <c r="T315" s="3" t="s">
        <v>53</v>
      </c>
      <c r="U315" s="3" t="s">
        <v>54</v>
      </c>
      <c r="V315" s="7"/>
      <c r="W315" s="7"/>
      <c r="X315" s="7"/>
      <c r="Y315" s="7"/>
      <c r="Z315" s="3" t="s">
        <v>55</v>
      </c>
      <c r="AA315" s="3" t="s">
        <v>56</v>
      </c>
      <c r="AB315" s="3" t="s">
        <v>57</v>
      </c>
      <c r="AD315" s="3">
        <v>21.762</v>
      </c>
      <c r="AE315" s="3">
        <v>21.962</v>
      </c>
      <c r="AG315" s="3">
        <v>1.44</v>
      </c>
      <c r="AH315" s="3">
        <v>57.6</v>
      </c>
      <c r="AI315" s="3">
        <v>20.32</v>
      </c>
      <c r="AJ315" s="88">
        <v>58.25</v>
      </c>
      <c r="AK315" s="3" t="s">
        <v>58</v>
      </c>
      <c r="AL315" s="9">
        <f t="shared" si="8"/>
        <v>69.899999999999991</v>
      </c>
      <c r="AM315" s="35" t="s">
        <v>5480</v>
      </c>
      <c r="AN315" t="s">
        <v>5519</v>
      </c>
      <c r="AO315" s="74" t="s">
        <v>5629</v>
      </c>
    </row>
    <row r="316" spans="1:41" ht="14.25" customHeight="1" x14ac:dyDescent="0.3">
      <c r="A316" s="3" t="s">
        <v>1363</v>
      </c>
      <c r="B316" s="3" t="s">
        <v>1369</v>
      </c>
      <c r="C316" s="3" t="s">
        <v>1365</v>
      </c>
      <c r="D316" s="3" t="s">
        <v>1370</v>
      </c>
      <c r="E316" s="3" t="s">
        <v>1367</v>
      </c>
      <c r="F316" s="3" t="s">
        <v>41</v>
      </c>
      <c r="G316" s="5" t="s">
        <v>42</v>
      </c>
      <c r="H316" s="5" t="s">
        <v>43</v>
      </c>
      <c r="I316" s="5" t="s">
        <v>44</v>
      </c>
      <c r="J316" s="3" t="s">
        <v>45</v>
      </c>
      <c r="K316" s="3" t="s">
        <v>146</v>
      </c>
      <c r="L316" s="3" t="s">
        <v>132</v>
      </c>
      <c r="M316" s="3" t="s">
        <v>48</v>
      </c>
      <c r="N316" s="4" t="s">
        <v>1368</v>
      </c>
      <c r="O316" s="67" t="s">
        <v>49</v>
      </c>
      <c r="P316" s="3" t="s">
        <v>50</v>
      </c>
      <c r="Q316" s="3" t="s">
        <v>68</v>
      </c>
      <c r="R316" s="3">
        <v>1</v>
      </c>
      <c r="S316" s="3" t="s">
        <v>52</v>
      </c>
      <c r="T316" s="3" t="s">
        <v>53</v>
      </c>
      <c r="U316" s="3" t="s">
        <v>148</v>
      </c>
      <c r="V316" s="7"/>
      <c r="W316" s="7"/>
      <c r="X316" s="7"/>
      <c r="Y316" s="7"/>
      <c r="Z316" s="3" t="s">
        <v>55</v>
      </c>
      <c r="AA316" s="3" t="s">
        <v>56</v>
      </c>
      <c r="AB316" s="3" t="s">
        <v>57</v>
      </c>
      <c r="AD316" s="3">
        <v>25.759</v>
      </c>
      <c r="AE316" s="3">
        <v>25.959</v>
      </c>
      <c r="AG316" s="3">
        <v>1.44</v>
      </c>
      <c r="AH316" s="3">
        <v>51.84</v>
      </c>
      <c r="AI316" s="3">
        <v>25.33</v>
      </c>
      <c r="AJ316" s="88">
        <v>62.415999999999997</v>
      </c>
      <c r="AK316" s="3" t="s">
        <v>58</v>
      </c>
      <c r="AL316" s="9">
        <f t="shared" si="8"/>
        <v>74.899199999999993</v>
      </c>
      <c r="AM316" s="35" t="s">
        <v>5480</v>
      </c>
      <c r="AN316" t="s">
        <v>5519</v>
      </c>
      <c r="AO316" s="74" t="s">
        <v>5629</v>
      </c>
    </row>
    <row r="317" spans="1:41" ht="14.25" customHeight="1" x14ac:dyDescent="0.3">
      <c r="A317" s="3" t="s">
        <v>803</v>
      </c>
      <c r="B317" s="3" t="s">
        <v>833</v>
      </c>
      <c r="C317" s="3" t="s">
        <v>795</v>
      </c>
      <c r="D317" s="3" t="s">
        <v>834</v>
      </c>
      <c r="E317" s="3" t="s">
        <v>806</v>
      </c>
      <c r="F317" s="3" t="s">
        <v>41</v>
      </c>
      <c r="G317" s="5" t="s">
        <v>42</v>
      </c>
      <c r="H317" s="5" t="s">
        <v>43</v>
      </c>
      <c r="I317" s="5" t="s">
        <v>44</v>
      </c>
      <c r="J317" s="3" t="s">
        <v>45</v>
      </c>
      <c r="K317" s="3" t="s">
        <v>146</v>
      </c>
      <c r="L317" s="3" t="s">
        <v>47</v>
      </c>
      <c r="M317" s="3" t="s">
        <v>48</v>
      </c>
      <c r="N317" s="3" t="s">
        <v>61</v>
      </c>
      <c r="O317" s="71" t="s">
        <v>61</v>
      </c>
      <c r="P317" s="3" t="s">
        <v>50</v>
      </c>
      <c r="Q317" s="3" t="s">
        <v>51</v>
      </c>
      <c r="R317" s="3">
        <v>2</v>
      </c>
      <c r="S317" s="3" t="s">
        <v>52</v>
      </c>
      <c r="T317" s="3" t="s">
        <v>53</v>
      </c>
      <c r="U317" s="3" t="s">
        <v>54</v>
      </c>
      <c r="V317" s="7"/>
      <c r="W317" s="7"/>
      <c r="X317" s="7"/>
      <c r="Y317" s="7"/>
      <c r="Z317" s="3" t="s">
        <v>55</v>
      </c>
      <c r="AA317" s="3" t="s">
        <v>88</v>
      </c>
      <c r="AB317" s="3" t="s">
        <v>57</v>
      </c>
      <c r="AD317" s="3">
        <v>29.85</v>
      </c>
      <c r="AE317" s="3">
        <v>29.85</v>
      </c>
      <c r="AG317" s="3">
        <v>1.44</v>
      </c>
      <c r="AH317" s="12">
        <v>50.4</v>
      </c>
      <c r="AI317" s="3">
        <v>21.1</v>
      </c>
      <c r="AJ317" s="88">
        <v>49.915999999999997</v>
      </c>
      <c r="AK317" s="3" t="s">
        <v>58</v>
      </c>
      <c r="AL317" s="9">
        <f t="shared" si="8"/>
        <v>59.899199999999993</v>
      </c>
      <c r="AN317" t="s">
        <v>5519</v>
      </c>
      <c r="AO317" s="74" t="s">
        <v>5629</v>
      </c>
    </row>
    <row r="318" spans="1:41" ht="14.25" customHeight="1" x14ac:dyDescent="0.3">
      <c r="A318" s="3" t="s">
        <v>803</v>
      </c>
      <c r="B318" s="3" t="s">
        <v>843</v>
      </c>
      <c r="C318" s="3" t="s">
        <v>795</v>
      </c>
      <c r="D318" s="3" t="s">
        <v>844</v>
      </c>
      <c r="E318" s="3" t="s">
        <v>806</v>
      </c>
      <c r="F318" s="3" t="s">
        <v>41</v>
      </c>
      <c r="G318" s="5" t="s">
        <v>42</v>
      </c>
      <c r="H318" s="5" t="s">
        <v>43</v>
      </c>
      <c r="I318" s="5" t="s">
        <v>44</v>
      </c>
      <c r="J318" s="3" t="s">
        <v>45</v>
      </c>
      <c r="K318" s="3" t="s">
        <v>146</v>
      </c>
      <c r="L318" s="3" t="s">
        <v>47</v>
      </c>
      <c r="M318" s="3" t="s">
        <v>48</v>
      </c>
      <c r="N318" s="3" t="s">
        <v>61</v>
      </c>
      <c r="O318" s="83" t="s">
        <v>61</v>
      </c>
      <c r="P318" s="3" t="s">
        <v>50</v>
      </c>
      <c r="Q318" s="3" t="s">
        <v>51</v>
      </c>
      <c r="R318" s="3">
        <v>2</v>
      </c>
      <c r="S318" s="3" t="s">
        <v>52</v>
      </c>
      <c r="T318" s="3" t="s">
        <v>53</v>
      </c>
      <c r="U318" s="3" t="s">
        <v>148</v>
      </c>
      <c r="V318" s="7"/>
      <c r="W318" s="7"/>
      <c r="X318" s="7"/>
      <c r="Y318" s="7"/>
      <c r="Z318" s="3" t="s">
        <v>55</v>
      </c>
      <c r="AA318" s="3" t="s">
        <v>88</v>
      </c>
      <c r="AB318" s="3" t="s">
        <v>57</v>
      </c>
      <c r="AD318" s="3">
        <v>30.3</v>
      </c>
      <c r="AE318" s="3">
        <v>30.3</v>
      </c>
      <c r="AG318" s="3">
        <v>1.44</v>
      </c>
      <c r="AH318" s="12">
        <v>50.4</v>
      </c>
      <c r="AI318" s="3">
        <v>27.5</v>
      </c>
      <c r="AJ318" s="88">
        <v>58.25</v>
      </c>
      <c r="AK318" s="3" t="s">
        <v>58</v>
      </c>
      <c r="AL318" s="9">
        <f t="shared" si="8"/>
        <v>69.899999999999991</v>
      </c>
      <c r="AN318" t="s">
        <v>5519</v>
      </c>
      <c r="AO318" s="74" t="s">
        <v>5629</v>
      </c>
    </row>
    <row r="319" spans="1:41" ht="14.25" customHeight="1" x14ac:dyDescent="0.3">
      <c r="A319" s="3" t="s">
        <v>803</v>
      </c>
      <c r="B319" s="3" t="s">
        <v>804</v>
      </c>
      <c r="C319" s="3" t="s">
        <v>795</v>
      </c>
      <c r="D319" s="3" t="s">
        <v>805</v>
      </c>
      <c r="E319" s="3" t="s">
        <v>806</v>
      </c>
      <c r="F319" s="3" t="s">
        <v>41</v>
      </c>
      <c r="G319" s="5" t="s">
        <v>42</v>
      </c>
      <c r="H319" s="5" t="s">
        <v>43</v>
      </c>
      <c r="I319" s="5" t="s">
        <v>44</v>
      </c>
      <c r="J319" s="3" t="s">
        <v>45</v>
      </c>
      <c r="K319" s="3" t="s">
        <v>146</v>
      </c>
      <c r="L319" s="3" t="s">
        <v>132</v>
      </c>
      <c r="M319" s="3" t="s">
        <v>48</v>
      </c>
      <c r="N319" s="3" t="s">
        <v>61</v>
      </c>
      <c r="O319" s="83" t="s">
        <v>61</v>
      </c>
      <c r="P319" s="3" t="s">
        <v>50</v>
      </c>
      <c r="Q319" s="3" t="s">
        <v>68</v>
      </c>
      <c r="R319" s="30">
        <v>2</v>
      </c>
      <c r="S319" s="3" t="s">
        <v>52</v>
      </c>
      <c r="T319" s="3" t="s">
        <v>53</v>
      </c>
      <c r="U319" s="3" t="s">
        <v>54</v>
      </c>
      <c r="V319" s="7"/>
      <c r="W319" s="7"/>
      <c r="X319" s="7"/>
      <c r="Y319" s="7"/>
      <c r="Z319" s="3" t="s">
        <v>55</v>
      </c>
      <c r="AA319" s="3" t="s">
        <v>88</v>
      </c>
      <c r="AB319" s="3" t="s">
        <v>57</v>
      </c>
      <c r="AD319" s="3">
        <v>61.56</v>
      </c>
      <c r="AE319" s="3">
        <v>61.56</v>
      </c>
      <c r="AG319" s="3">
        <v>2.88</v>
      </c>
      <c r="AH319" s="12">
        <v>57.6</v>
      </c>
      <c r="AI319" s="3">
        <v>28.6</v>
      </c>
      <c r="AJ319" s="88">
        <v>66.582999999999998</v>
      </c>
      <c r="AK319" s="3" t="s">
        <v>58</v>
      </c>
      <c r="AL319" s="9">
        <f t="shared" si="8"/>
        <v>79.899599999999992</v>
      </c>
      <c r="AN319" t="s">
        <v>5519</v>
      </c>
      <c r="AO319" s="74" t="s">
        <v>5629</v>
      </c>
    </row>
    <row r="320" spans="1:41" ht="14.25" customHeight="1" x14ac:dyDescent="0.3">
      <c r="A320" s="3" t="s">
        <v>803</v>
      </c>
      <c r="B320" s="3" t="s">
        <v>819</v>
      </c>
      <c r="C320" s="3" t="s">
        <v>795</v>
      </c>
      <c r="D320" s="3" t="s">
        <v>820</v>
      </c>
      <c r="E320" s="3" t="s">
        <v>806</v>
      </c>
      <c r="F320" s="3" t="s">
        <v>41</v>
      </c>
      <c r="G320" s="5" t="s">
        <v>42</v>
      </c>
      <c r="H320" s="5" t="s">
        <v>43</v>
      </c>
      <c r="I320" s="5" t="s">
        <v>44</v>
      </c>
      <c r="J320" s="3" t="s">
        <v>45</v>
      </c>
      <c r="K320" s="3" t="s">
        <v>146</v>
      </c>
      <c r="L320" s="3" t="s">
        <v>132</v>
      </c>
      <c r="M320" s="3" t="s">
        <v>48</v>
      </c>
      <c r="N320" s="3" t="s">
        <v>61</v>
      </c>
      <c r="O320" s="83" t="s">
        <v>61</v>
      </c>
      <c r="P320" s="3" t="s">
        <v>50</v>
      </c>
      <c r="Q320" s="3" t="s">
        <v>68</v>
      </c>
      <c r="R320" s="3">
        <v>2</v>
      </c>
      <c r="S320" s="3" t="s">
        <v>52</v>
      </c>
      <c r="T320" s="3" t="s">
        <v>53</v>
      </c>
      <c r="U320" s="3" t="s">
        <v>148</v>
      </c>
      <c r="V320" s="7"/>
      <c r="W320" s="7"/>
      <c r="X320" s="7"/>
      <c r="Y320" s="7"/>
      <c r="Z320" s="3" t="s">
        <v>55</v>
      </c>
      <c r="AA320" s="3" t="s">
        <v>88</v>
      </c>
      <c r="AB320" s="3" t="s">
        <v>57</v>
      </c>
      <c r="AD320" s="3">
        <v>61.56</v>
      </c>
      <c r="AE320" s="3">
        <v>61.56</v>
      </c>
      <c r="AG320" s="3">
        <v>2.88</v>
      </c>
      <c r="AH320" s="12">
        <v>57.6</v>
      </c>
      <c r="AI320" s="3">
        <v>31.5</v>
      </c>
      <c r="AJ320" s="88">
        <v>70.75</v>
      </c>
      <c r="AK320" s="3" t="s">
        <v>58</v>
      </c>
      <c r="AL320" s="9">
        <f t="shared" si="8"/>
        <v>84.899999999999991</v>
      </c>
      <c r="AN320" t="s">
        <v>5519</v>
      </c>
      <c r="AO320" s="74" t="s">
        <v>5629</v>
      </c>
    </row>
    <row r="321" spans="1:41" ht="14.25" customHeight="1" x14ac:dyDescent="0.3">
      <c r="A321" s="3" t="s">
        <v>823</v>
      </c>
      <c r="B321" s="3" t="s">
        <v>847</v>
      </c>
      <c r="C321" s="3" t="s">
        <v>795</v>
      </c>
      <c r="D321" s="3" t="s">
        <v>848</v>
      </c>
      <c r="E321" s="3" t="s">
        <v>826</v>
      </c>
      <c r="F321" s="3" t="s">
        <v>41</v>
      </c>
      <c r="G321" s="5" t="s">
        <v>42</v>
      </c>
      <c r="H321" s="5" t="s">
        <v>43</v>
      </c>
      <c r="I321" s="5" t="s">
        <v>44</v>
      </c>
      <c r="J321" s="3" t="s">
        <v>45</v>
      </c>
      <c r="K321" s="3" t="s">
        <v>146</v>
      </c>
      <c r="L321" s="3" t="s">
        <v>47</v>
      </c>
      <c r="M321" s="3" t="s">
        <v>48</v>
      </c>
      <c r="N321" s="3" t="s">
        <v>454</v>
      </c>
      <c r="O321" s="69" t="s">
        <v>454</v>
      </c>
      <c r="P321" s="3" t="s">
        <v>50</v>
      </c>
      <c r="Q321" s="3" t="s">
        <v>51</v>
      </c>
      <c r="R321" s="3">
        <v>2</v>
      </c>
      <c r="S321" s="3" t="s">
        <v>52</v>
      </c>
      <c r="T321" s="3" t="s">
        <v>53</v>
      </c>
      <c r="U321" s="3" t="s">
        <v>148</v>
      </c>
      <c r="V321" s="7"/>
      <c r="W321" s="7"/>
      <c r="X321" s="7"/>
      <c r="Y321" s="7"/>
      <c r="Z321" s="3" t="s">
        <v>55</v>
      </c>
      <c r="AA321" s="3" t="s">
        <v>88</v>
      </c>
      <c r="AB321" s="3" t="s">
        <v>57</v>
      </c>
      <c r="AD321" s="3">
        <v>29.99</v>
      </c>
      <c r="AE321" s="3">
        <v>29.99</v>
      </c>
      <c r="AG321" s="3">
        <v>1.44</v>
      </c>
      <c r="AH321" s="12">
        <v>50.4</v>
      </c>
      <c r="AI321" s="3">
        <v>27.5</v>
      </c>
      <c r="AJ321" s="88">
        <v>58.25</v>
      </c>
      <c r="AK321" s="3" t="s">
        <v>58</v>
      </c>
      <c r="AL321" s="9">
        <f t="shared" si="8"/>
        <v>69.899999999999991</v>
      </c>
      <c r="AN321" t="s">
        <v>5519</v>
      </c>
      <c r="AO321" s="74" t="s">
        <v>5629</v>
      </c>
    </row>
    <row r="322" spans="1:41" ht="14.25" customHeight="1" x14ac:dyDescent="0.3">
      <c r="A322" s="3" t="s">
        <v>823</v>
      </c>
      <c r="B322" s="3" t="s">
        <v>824</v>
      </c>
      <c r="C322" s="3" t="s">
        <v>795</v>
      </c>
      <c r="D322" s="3" t="s">
        <v>825</v>
      </c>
      <c r="E322" s="3" t="s">
        <v>826</v>
      </c>
      <c r="F322" s="3" t="s">
        <v>41</v>
      </c>
      <c r="G322" s="5" t="s">
        <v>42</v>
      </c>
      <c r="H322" s="5" t="s">
        <v>43</v>
      </c>
      <c r="I322" s="5" t="s">
        <v>44</v>
      </c>
      <c r="J322" s="3" t="s">
        <v>45</v>
      </c>
      <c r="K322" s="3" t="s">
        <v>146</v>
      </c>
      <c r="L322" s="3" t="s">
        <v>132</v>
      </c>
      <c r="M322" s="3" t="s">
        <v>48</v>
      </c>
      <c r="N322" s="3" t="s">
        <v>454</v>
      </c>
      <c r="O322" s="71" t="s">
        <v>454</v>
      </c>
      <c r="P322" s="3" t="s">
        <v>50</v>
      </c>
      <c r="Q322" s="3" t="s">
        <v>68</v>
      </c>
      <c r="R322" s="3">
        <v>2</v>
      </c>
      <c r="S322" s="3" t="s">
        <v>52</v>
      </c>
      <c r="T322" s="3" t="s">
        <v>53</v>
      </c>
      <c r="U322" s="3" t="s">
        <v>148</v>
      </c>
      <c r="V322" s="7"/>
      <c r="W322" s="7"/>
      <c r="X322" s="7"/>
      <c r="Y322" s="7"/>
      <c r="Z322" s="3" t="s">
        <v>55</v>
      </c>
      <c r="AA322" s="3" t="s">
        <v>88</v>
      </c>
      <c r="AB322" s="3" t="s">
        <v>57</v>
      </c>
      <c r="AD322" s="3">
        <v>61.56</v>
      </c>
      <c r="AE322" s="3">
        <v>61.56</v>
      </c>
      <c r="AG322" s="3">
        <v>2.88</v>
      </c>
      <c r="AH322" s="12">
        <v>57.6</v>
      </c>
      <c r="AI322" s="3">
        <v>31.5</v>
      </c>
      <c r="AJ322" s="88">
        <v>70.75</v>
      </c>
      <c r="AK322" s="3" t="s">
        <v>58</v>
      </c>
      <c r="AL322" s="9">
        <f t="shared" si="8"/>
        <v>84.899999999999991</v>
      </c>
      <c r="AN322" t="s">
        <v>5519</v>
      </c>
      <c r="AO322" s="74" t="s">
        <v>5629</v>
      </c>
    </row>
    <row r="323" spans="1:41" ht="14.25" customHeight="1" x14ac:dyDescent="0.3">
      <c r="A323" s="3" t="s">
        <v>101</v>
      </c>
      <c r="B323" s="3" t="s">
        <v>102</v>
      </c>
      <c r="C323" s="3" t="s">
        <v>103</v>
      </c>
      <c r="D323" s="3" t="s">
        <v>104</v>
      </c>
      <c r="E323" s="3" t="s">
        <v>105</v>
      </c>
      <c r="F323" s="3" t="s">
        <v>41</v>
      </c>
      <c r="G323" s="5" t="s">
        <v>42</v>
      </c>
      <c r="H323" s="5" t="s">
        <v>43</v>
      </c>
      <c r="I323" s="5" t="s">
        <v>44</v>
      </c>
      <c r="J323" s="3" t="s">
        <v>45</v>
      </c>
      <c r="K323" s="3" t="s">
        <v>106</v>
      </c>
      <c r="L323" s="3" t="s">
        <v>67</v>
      </c>
      <c r="M323" s="3" t="s">
        <v>48</v>
      </c>
      <c r="N323" s="4" t="s">
        <v>107</v>
      </c>
      <c r="O323" s="67" t="s">
        <v>61</v>
      </c>
      <c r="P323" s="3" t="s">
        <v>50</v>
      </c>
      <c r="Q323" s="3" t="s">
        <v>68</v>
      </c>
      <c r="R323" s="3">
        <v>2</v>
      </c>
      <c r="S323" s="3" t="s">
        <v>52</v>
      </c>
      <c r="T323" s="3" t="s">
        <v>53</v>
      </c>
      <c r="U323" s="3" t="s">
        <v>54</v>
      </c>
      <c r="V323" s="7"/>
      <c r="W323" s="7"/>
      <c r="X323" s="7"/>
      <c r="Y323" s="7"/>
      <c r="Z323" s="3" t="s">
        <v>55</v>
      </c>
      <c r="AA323" s="3" t="s">
        <v>88</v>
      </c>
      <c r="AB323" s="3" t="s">
        <v>57</v>
      </c>
      <c r="AD323" s="3">
        <v>21.5</v>
      </c>
      <c r="AE323" s="3">
        <v>21.5</v>
      </c>
      <c r="AG323" s="3">
        <v>1.08</v>
      </c>
      <c r="AH323" s="3">
        <v>43.2</v>
      </c>
      <c r="AI323" s="3">
        <v>13.99</v>
      </c>
      <c r="AJ323" s="89">
        <v>41.582999999999998</v>
      </c>
      <c r="AK323" s="3" t="s">
        <v>58</v>
      </c>
      <c r="AL323" s="10">
        <f t="shared" si="8"/>
        <v>49.8996</v>
      </c>
      <c r="AM323" s="35" t="s">
        <v>5480</v>
      </c>
      <c r="AN323" t="s">
        <v>5519</v>
      </c>
      <c r="AO323" s="74" t="s">
        <v>5638</v>
      </c>
    </row>
    <row r="324" spans="1:41" ht="14.25" customHeight="1" x14ac:dyDescent="0.3">
      <c r="A324" s="3" t="s">
        <v>101</v>
      </c>
      <c r="B324" s="3" t="s">
        <v>108</v>
      </c>
      <c r="C324" s="3" t="s">
        <v>103</v>
      </c>
      <c r="D324" s="3" t="s">
        <v>109</v>
      </c>
      <c r="E324" s="3" t="s">
        <v>105</v>
      </c>
      <c r="F324" s="3" t="s">
        <v>41</v>
      </c>
      <c r="G324" s="5" t="s">
        <v>42</v>
      </c>
      <c r="H324" s="5" t="s">
        <v>43</v>
      </c>
      <c r="I324" s="5" t="s">
        <v>44</v>
      </c>
      <c r="J324" s="3" t="s">
        <v>45</v>
      </c>
      <c r="K324" s="3" t="s">
        <v>106</v>
      </c>
      <c r="L324" s="3" t="s">
        <v>67</v>
      </c>
      <c r="M324" s="3" t="s">
        <v>48</v>
      </c>
      <c r="N324" s="4" t="s">
        <v>110</v>
      </c>
      <c r="O324" s="67" t="s">
        <v>64</v>
      </c>
      <c r="P324" s="3" t="s">
        <v>50</v>
      </c>
      <c r="Q324" s="3" t="s">
        <v>68</v>
      </c>
      <c r="R324" s="3">
        <v>2</v>
      </c>
      <c r="S324" s="3" t="s">
        <v>52</v>
      </c>
      <c r="T324" s="3" t="s">
        <v>53</v>
      </c>
      <c r="U324" s="3" t="s">
        <v>54</v>
      </c>
      <c r="V324" s="7"/>
      <c r="W324" s="7"/>
      <c r="X324" s="7"/>
      <c r="Y324" s="7"/>
      <c r="Z324" s="3" t="s">
        <v>55</v>
      </c>
      <c r="AA324" s="3" t="s">
        <v>88</v>
      </c>
      <c r="AB324" s="3" t="s">
        <v>57</v>
      </c>
      <c r="AD324" s="3">
        <v>21.5</v>
      </c>
      <c r="AE324" s="3">
        <v>21.5</v>
      </c>
      <c r="AG324" s="3">
        <v>1.08</v>
      </c>
      <c r="AH324" s="3">
        <v>43.2</v>
      </c>
      <c r="AI324" s="3">
        <v>13.99</v>
      </c>
      <c r="AJ324" s="89">
        <v>41.582999999999998</v>
      </c>
      <c r="AK324" s="3" t="s">
        <v>58</v>
      </c>
      <c r="AL324" s="10">
        <f t="shared" si="8"/>
        <v>49.8996</v>
      </c>
      <c r="AM324" s="35" t="s">
        <v>5480</v>
      </c>
      <c r="AN324" t="s">
        <v>5519</v>
      </c>
      <c r="AO324" s="74" t="s">
        <v>5638</v>
      </c>
    </row>
    <row r="325" spans="1:41" ht="14.25" customHeight="1" x14ac:dyDescent="0.3">
      <c r="A325" s="3" t="s">
        <v>101</v>
      </c>
      <c r="B325" s="3" t="s">
        <v>111</v>
      </c>
      <c r="C325" s="3" t="s">
        <v>103</v>
      </c>
      <c r="D325" s="3" t="s">
        <v>112</v>
      </c>
      <c r="E325" s="3" t="s">
        <v>105</v>
      </c>
      <c r="F325" s="3" t="s">
        <v>41</v>
      </c>
      <c r="G325" s="5" t="s">
        <v>42</v>
      </c>
      <c r="H325" s="5" t="s">
        <v>43</v>
      </c>
      <c r="I325" s="5" t="s">
        <v>44</v>
      </c>
      <c r="J325" s="3" t="s">
        <v>45</v>
      </c>
      <c r="K325" s="3" t="s">
        <v>106</v>
      </c>
      <c r="L325" s="3" t="s">
        <v>67</v>
      </c>
      <c r="M325" s="3" t="s">
        <v>48</v>
      </c>
      <c r="N325" s="4" t="s">
        <v>113</v>
      </c>
      <c r="O325" s="67" t="s">
        <v>328</v>
      </c>
      <c r="P325" s="3" t="s">
        <v>50</v>
      </c>
      <c r="Q325" s="3" t="s">
        <v>68</v>
      </c>
      <c r="R325" s="3">
        <v>2</v>
      </c>
      <c r="S325" s="3" t="s">
        <v>52</v>
      </c>
      <c r="T325" s="3" t="s">
        <v>53</v>
      </c>
      <c r="U325" s="3" t="s">
        <v>54</v>
      </c>
      <c r="V325" s="7"/>
      <c r="W325" s="7"/>
      <c r="X325" s="7"/>
      <c r="Y325" s="7"/>
      <c r="Z325" s="3" t="s">
        <v>55</v>
      </c>
      <c r="AA325" s="3" t="s">
        <v>88</v>
      </c>
      <c r="AB325" s="3" t="s">
        <v>57</v>
      </c>
      <c r="AD325" s="3">
        <v>21.5</v>
      </c>
      <c r="AE325" s="3">
        <v>21.5</v>
      </c>
      <c r="AG325" s="3">
        <v>1.08</v>
      </c>
      <c r="AH325" s="3">
        <v>43.2</v>
      </c>
      <c r="AI325" s="3">
        <v>13.99</v>
      </c>
      <c r="AJ325" s="89">
        <v>41.582999999999998</v>
      </c>
      <c r="AK325" s="3" t="s">
        <v>58</v>
      </c>
      <c r="AL325" s="10">
        <f t="shared" si="8"/>
        <v>49.8996</v>
      </c>
      <c r="AM325" s="35" t="s">
        <v>5480</v>
      </c>
      <c r="AN325" t="s">
        <v>5519</v>
      </c>
      <c r="AO325" s="74" t="s">
        <v>5638</v>
      </c>
    </row>
    <row r="326" spans="1:41" ht="14.25" customHeight="1" x14ac:dyDescent="0.3">
      <c r="A326" s="3" t="s">
        <v>101</v>
      </c>
      <c r="B326" s="3" t="s">
        <v>114</v>
      </c>
      <c r="C326" s="3" t="s">
        <v>103</v>
      </c>
      <c r="D326" s="3" t="s">
        <v>115</v>
      </c>
      <c r="E326" s="3" t="s">
        <v>105</v>
      </c>
      <c r="F326" s="3" t="s">
        <v>41</v>
      </c>
      <c r="G326" s="5" t="s">
        <v>42</v>
      </c>
      <c r="H326" s="5" t="s">
        <v>43</v>
      </c>
      <c r="I326" s="5" t="s">
        <v>44</v>
      </c>
      <c r="J326" s="3" t="s">
        <v>45</v>
      </c>
      <c r="K326" s="3" t="s">
        <v>106</v>
      </c>
      <c r="L326" s="3" t="s">
        <v>67</v>
      </c>
      <c r="M326" s="3" t="s">
        <v>48</v>
      </c>
      <c r="N326" s="4" t="s">
        <v>116</v>
      </c>
      <c r="O326" s="67" t="s">
        <v>61</v>
      </c>
      <c r="P326" s="3" t="s">
        <v>50</v>
      </c>
      <c r="Q326" s="3" t="s">
        <v>68</v>
      </c>
      <c r="R326" s="3">
        <v>2</v>
      </c>
      <c r="S326" s="3" t="s">
        <v>52</v>
      </c>
      <c r="T326" s="3" t="s">
        <v>53</v>
      </c>
      <c r="U326" s="3" t="s">
        <v>54</v>
      </c>
      <c r="V326" s="7"/>
      <c r="W326" s="7"/>
      <c r="X326" s="7"/>
      <c r="Y326" s="7"/>
      <c r="Z326" s="3" t="s">
        <v>55</v>
      </c>
      <c r="AA326" s="3" t="s">
        <v>88</v>
      </c>
      <c r="AB326" s="3" t="s">
        <v>57</v>
      </c>
      <c r="AD326" s="3">
        <v>21.5</v>
      </c>
      <c r="AE326" s="3">
        <v>21.5</v>
      </c>
      <c r="AG326" s="3">
        <v>1.08</v>
      </c>
      <c r="AH326" s="3">
        <v>43.2</v>
      </c>
      <c r="AI326" s="3">
        <v>13.99</v>
      </c>
      <c r="AJ326" s="89">
        <v>41.582999999999998</v>
      </c>
      <c r="AK326" s="3" t="s">
        <v>58</v>
      </c>
      <c r="AL326" s="10">
        <f t="shared" si="8"/>
        <v>49.8996</v>
      </c>
      <c r="AM326" s="35" t="s">
        <v>5480</v>
      </c>
      <c r="AN326" t="s">
        <v>5519</v>
      </c>
      <c r="AO326" s="74" t="s">
        <v>5638</v>
      </c>
    </row>
    <row r="327" spans="1:41" ht="14.25" customHeight="1" x14ac:dyDescent="0.3">
      <c r="A327" s="3" t="s">
        <v>101</v>
      </c>
      <c r="B327" s="3" t="s">
        <v>117</v>
      </c>
      <c r="C327" s="3" t="s">
        <v>103</v>
      </c>
      <c r="D327" s="3" t="s">
        <v>118</v>
      </c>
      <c r="E327" s="3" t="s">
        <v>105</v>
      </c>
      <c r="F327" s="3" t="s">
        <v>41</v>
      </c>
      <c r="G327" s="5" t="s">
        <v>42</v>
      </c>
      <c r="H327" s="5" t="s">
        <v>43</v>
      </c>
      <c r="I327" s="5" t="s">
        <v>44</v>
      </c>
      <c r="J327" s="3" t="s">
        <v>45</v>
      </c>
      <c r="K327" s="3" t="s">
        <v>106</v>
      </c>
      <c r="L327" s="3" t="s">
        <v>67</v>
      </c>
      <c r="M327" s="3" t="s">
        <v>48</v>
      </c>
      <c r="N327" s="4" t="s">
        <v>119</v>
      </c>
      <c r="O327" s="67" t="s">
        <v>586</v>
      </c>
      <c r="P327" s="3" t="s">
        <v>50</v>
      </c>
      <c r="Q327" s="3" t="s">
        <v>68</v>
      </c>
      <c r="R327" s="3">
        <v>2</v>
      </c>
      <c r="S327" s="3" t="s">
        <v>52</v>
      </c>
      <c r="T327" s="3" t="s">
        <v>53</v>
      </c>
      <c r="U327" s="3" t="s">
        <v>54</v>
      </c>
      <c r="V327" s="7"/>
      <c r="W327" s="7"/>
      <c r="X327" s="7"/>
      <c r="Y327" s="7"/>
      <c r="Z327" s="3" t="s">
        <v>55</v>
      </c>
      <c r="AA327" s="3" t="s">
        <v>88</v>
      </c>
      <c r="AB327" s="3" t="s">
        <v>57</v>
      </c>
      <c r="AD327" s="3">
        <v>21.5</v>
      </c>
      <c r="AE327" s="3">
        <v>21.5</v>
      </c>
      <c r="AG327" s="3">
        <v>1.08</v>
      </c>
      <c r="AH327" s="3">
        <v>43.2</v>
      </c>
      <c r="AI327" s="3">
        <v>13.99</v>
      </c>
      <c r="AJ327" s="89">
        <v>41.582999999999998</v>
      </c>
      <c r="AK327" s="3" t="s">
        <v>58</v>
      </c>
      <c r="AL327" s="10">
        <f t="shared" si="8"/>
        <v>49.8996</v>
      </c>
      <c r="AM327" s="35" t="s">
        <v>5480</v>
      </c>
      <c r="AN327" t="s">
        <v>5519</v>
      </c>
      <c r="AO327" s="74" t="s">
        <v>5638</v>
      </c>
    </row>
    <row r="328" spans="1:41" ht="14.25" customHeight="1" x14ac:dyDescent="0.3">
      <c r="A328" s="3" t="s">
        <v>101</v>
      </c>
      <c r="B328" s="3" t="s">
        <v>120</v>
      </c>
      <c r="C328" s="3" t="s">
        <v>103</v>
      </c>
      <c r="D328" s="3" t="s">
        <v>121</v>
      </c>
      <c r="E328" s="3" t="s">
        <v>105</v>
      </c>
      <c r="F328" s="3" t="s">
        <v>41</v>
      </c>
      <c r="G328" s="5" t="s">
        <v>42</v>
      </c>
      <c r="H328" s="5" t="s">
        <v>43</v>
      </c>
      <c r="I328" s="5" t="s">
        <v>44</v>
      </c>
      <c r="J328" s="3" t="s">
        <v>45</v>
      </c>
      <c r="K328" s="3" t="s">
        <v>106</v>
      </c>
      <c r="L328" s="3" t="s">
        <v>47</v>
      </c>
      <c r="M328" s="3" t="s">
        <v>48</v>
      </c>
      <c r="N328" s="4" t="s">
        <v>107</v>
      </c>
      <c r="O328" s="67" t="s">
        <v>61</v>
      </c>
      <c r="P328" s="3" t="s">
        <v>50</v>
      </c>
      <c r="Q328" s="3" t="s">
        <v>51</v>
      </c>
      <c r="R328" s="3">
        <v>2</v>
      </c>
      <c r="S328" s="3" t="s">
        <v>52</v>
      </c>
      <c r="T328" s="3" t="s">
        <v>53</v>
      </c>
      <c r="U328" s="3" t="s">
        <v>54</v>
      </c>
      <c r="V328" s="7"/>
      <c r="W328" s="7"/>
      <c r="X328" s="7"/>
      <c r="Y328" s="7"/>
      <c r="Z328" s="3" t="s">
        <v>55</v>
      </c>
      <c r="AA328" s="3" t="s">
        <v>88</v>
      </c>
      <c r="AB328" s="3" t="s">
        <v>57</v>
      </c>
      <c r="AD328" s="3">
        <v>28.5</v>
      </c>
      <c r="AE328" s="3">
        <v>28.5</v>
      </c>
      <c r="AG328" s="3">
        <v>1.44</v>
      </c>
      <c r="AH328" s="3">
        <v>51.84</v>
      </c>
      <c r="AI328" s="3">
        <v>16.829999999999998</v>
      </c>
      <c r="AJ328" s="89">
        <v>49.915999999999997</v>
      </c>
      <c r="AK328" s="3" t="s">
        <v>58</v>
      </c>
      <c r="AL328" s="10">
        <f t="shared" si="8"/>
        <v>59.899199999999993</v>
      </c>
      <c r="AM328" s="35" t="s">
        <v>5480</v>
      </c>
      <c r="AN328" t="s">
        <v>5519</v>
      </c>
      <c r="AO328" s="74" t="s">
        <v>5638</v>
      </c>
    </row>
    <row r="329" spans="1:41" ht="14.25" customHeight="1" x14ac:dyDescent="0.3">
      <c r="A329" s="3" t="s">
        <v>101</v>
      </c>
      <c r="B329" s="3" t="s">
        <v>122</v>
      </c>
      <c r="C329" s="3" t="s">
        <v>103</v>
      </c>
      <c r="D329" s="3" t="s">
        <v>123</v>
      </c>
      <c r="E329" s="3" t="s">
        <v>105</v>
      </c>
      <c r="F329" s="3" t="s">
        <v>41</v>
      </c>
      <c r="G329" s="5" t="s">
        <v>42</v>
      </c>
      <c r="H329" s="5" t="s">
        <v>43</v>
      </c>
      <c r="I329" s="5" t="s">
        <v>44</v>
      </c>
      <c r="J329" s="3" t="s">
        <v>45</v>
      </c>
      <c r="K329" s="3" t="s">
        <v>106</v>
      </c>
      <c r="L329" s="3" t="s">
        <v>47</v>
      </c>
      <c r="M329" s="3" t="s">
        <v>48</v>
      </c>
      <c r="N329" s="4" t="s">
        <v>110</v>
      </c>
      <c r="O329" s="67" t="s">
        <v>64</v>
      </c>
      <c r="P329" s="3" t="s">
        <v>50</v>
      </c>
      <c r="Q329" s="3" t="s">
        <v>51</v>
      </c>
      <c r="R329" s="3">
        <v>2</v>
      </c>
      <c r="S329" s="3" t="s">
        <v>52</v>
      </c>
      <c r="T329" s="3" t="s">
        <v>53</v>
      </c>
      <c r="U329" s="3" t="s">
        <v>54</v>
      </c>
      <c r="V329" s="7"/>
      <c r="W329" s="7"/>
      <c r="X329" s="7"/>
      <c r="Y329" s="7"/>
      <c r="Z329" s="3" t="s">
        <v>55</v>
      </c>
      <c r="AA329" s="3" t="s">
        <v>88</v>
      </c>
      <c r="AB329" s="3" t="s">
        <v>57</v>
      </c>
      <c r="AD329" s="3">
        <v>28.5</v>
      </c>
      <c r="AE329" s="3">
        <v>28.5</v>
      </c>
      <c r="AG329" s="3">
        <v>1.44</v>
      </c>
      <c r="AH329" s="3">
        <v>51.84</v>
      </c>
      <c r="AI329" s="3">
        <v>16.829999999999998</v>
      </c>
      <c r="AJ329" s="89">
        <v>49.915999999999997</v>
      </c>
      <c r="AK329" s="3" t="s">
        <v>58</v>
      </c>
      <c r="AL329" s="10">
        <f t="shared" si="8"/>
        <v>59.899199999999993</v>
      </c>
      <c r="AM329" s="35" t="s">
        <v>5480</v>
      </c>
      <c r="AN329" t="s">
        <v>5519</v>
      </c>
      <c r="AO329" s="74" t="s">
        <v>5638</v>
      </c>
    </row>
    <row r="330" spans="1:41" ht="14.25" customHeight="1" x14ac:dyDescent="0.3">
      <c r="A330" s="3" t="s">
        <v>101</v>
      </c>
      <c r="B330" s="3" t="s">
        <v>124</v>
      </c>
      <c r="C330" s="3" t="s">
        <v>103</v>
      </c>
      <c r="D330" s="3" t="s">
        <v>125</v>
      </c>
      <c r="E330" s="3" t="s">
        <v>105</v>
      </c>
      <c r="F330" s="3" t="s">
        <v>41</v>
      </c>
      <c r="G330" s="5" t="s">
        <v>42</v>
      </c>
      <c r="H330" s="5" t="s">
        <v>43</v>
      </c>
      <c r="I330" s="5" t="s">
        <v>44</v>
      </c>
      <c r="J330" s="3" t="s">
        <v>45</v>
      </c>
      <c r="K330" s="3" t="s">
        <v>106</v>
      </c>
      <c r="L330" s="3" t="s">
        <v>47</v>
      </c>
      <c r="M330" s="3" t="s">
        <v>48</v>
      </c>
      <c r="N330" s="4" t="s">
        <v>113</v>
      </c>
      <c r="O330" s="67" t="s">
        <v>328</v>
      </c>
      <c r="P330" s="3" t="s">
        <v>50</v>
      </c>
      <c r="Q330" s="3" t="s">
        <v>51</v>
      </c>
      <c r="R330" s="3">
        <v>2</v>
      </c>
      <c r="S330" s="3" t="s">
        <v>52</v>
      </c>
      <c r="T330" s="3" t="s">
        <v>53</v>
      </c>
      <c r="U330" s="3" t="s">
        <v>54</v>
      </c>
      <c r="V330" s="7"/>
      <c r="W330" s="7"/>
      <c r="X330" s="7"/>
      <c r="Y330" s="7"/>
      <c r="Z330" s="3" t="s">
        <v>55</v>
      </c>
      <c r="AA330" s="3" t="s">
        <v>88</v>
      </c>
      <c r="AB330" s="3" t="s">
        <v>57</v>
      </c>
      <c r="AD330" s="3">
        <v>28.5</v>
      </c>
      <c r="AE330" s="3">
        <v>28.5</v>
      </c>
      <c r="AG330" s="3">
        <v>1.44</v>
      </c>
      <c r="AH330" s="3">
        <v>51.84</v>
      </c>
      <c r="AI330" s="3">
        <v>16.829999999999998</v>
      </c>
      <c r="AJ330" s="89">
        <v>49.915999999999997</v>
      </c>
      <c r="AK330" s="3" t="s">
        <v>58</v>
      </c>
      <c r="AL330" s="10">
        <f t="shared" si="8"/>
        <v>59.899199999999993</v>
      </c>
      <c r="AM330" s="35" t="s">
        <v>5480</v>
      </c>
      <c r="AN330" t="s">
        <v>5519</v>
      </c>
      <c r="AO330" s="74" t="s">
        <v>5638</v>
      </c>
    </row>
    <row r="331" spans="1:41" ht="14.25" customHeight="1" x14ac:dyDescent="0.3">
      <c r="A331" s="3" t="s">
        <v>101</v>
      </c>
      <c r="B331" s="3" t="s">
        <v>126</v>
      </c>
      <c r="C331" s="3" t="s">
        <v>103</v>
      </c>
      <c r="D331" s="3" t="s">
        <v>127</v>
      </c>
      <c r="E331" s="3" t="s">
        <v>105</v>
      </c>
      <c r="F331" s="3" t="s">
        <v>41</v>
      </c>
      <c r="G331" s="5" t="s">
        <v>42</v>
      </c>
      <c r="H331" s="5" t="s">
        <v>43</v>
      </c>
      <c r="I331" s="5" t="s">
        <v>44</v>
      </c>
      <c r="J331" s="3" t="s">
        <v>45</v>
      </c>
      <c r="K331" s="3" t="s">
        <v>106</v>
      </c>
      <c r="L331" s="3" t="s">
        <v>47</v>
      </c>
      <c r="M331" s="3" t="s">
        <v>48</v>
      </c>
      <c r="N331" s="4" t="s">
        <v>116</v>
      </c>
      <c r="O331" s="67" t="s">
        <v>61</v>
      </c>
      <c r="P331" s="3" t="s">
        <v>50</v>
      </c>
      <c r="Q331" s="3" t="s">
        <v>51</v>
      </c>
      <c r="R331" s="3">
        <v>2</v>
      </c>
      <c r="S331" s="3" t="s">
        <v>52</v>
      </c>
      <c r="T331" s="3" t="s">
        <v>53</v>
      </c>
      <c r="U331" s="3" t="s">
        <v>54</v>
      </c>
      <c r="V331" s="7"/>
      <c r="W331" s="7"/>
      <c r="X331" s="7"/>
      <c r="Y331" s="7"/>
      <c r="Z331" s="3" t="s">
        <v>55</v>
      </c>
      <c r="AA331" s="3" t="s">
        <v>88</v>
      </c>
      <c r="AB331" s="3" t="s">
        <v>57</v>
      </c>
      <c r="AD331" s="3">
        <v>28.5</v>
      </c>
      <c r="AE331" s="3">
        <v>28.5</v>
      </c>
      <c r="AG331" s="3">
        <v>1.44</v>
      </c>
      <c r="AH331" s="3">
        <v>51.84</v>
      </c>
      <c r="AI331" s="3">
        <v>16.829999999999998</v>
      </c>
      <c r="AJ331" s="89">
        <v>49.915999999999997</v>
      </c>
      <c r="AK331" s="3" t="s">
        <v>58</v>
      </c>
      <c r="AL331" s="10">
        <f t="shared" si="8"/>
        <v>59.899199999999993</v>
      </c>
      <c r="AM331" s="35" t="s">
        <v>5480</v>
      </c>
      <c r="AN331" t="s">
        <v>5519</v>
      </c>
      <c r="AO331" s="74" t="s">
        <v>5638</v>
      </c>
    </row>
    <row r="332" spans="1:41" ht="14.25" customHeight="1" x14ac:dyDescent="0.3">
      <c r="A332" s="3" t="s">
        <v>101</v>
      </c>
      <c r="B332" s="3" t="s">
        <v>128</v>
      </c>
      <c r="C332" s="3" t="s">
        <v>103</v>
      </c>
      <c r="D332" s="3" t="s">
        <v>129</v>
      </c>
      <c r="E332" s="3" t="s">
        <v>105</v>
      </c>
      <c r="F332" s="3" t="s">
        <v>41</v>
      </c>
      <c r="G332" s="5" t="s">
        <v>42</v>
      </c>
      <c r="H332" s="5" t="s">
        <v>43</v>
      </c>
      <c r="I332" s="5" t="s">
        <v>44</v>
      </c>
      <c r="J332" s="3" t="s">
        <v>45</v>
      </c>
      <c r="K332" s="3" t="s">
        <v>106</v>
      </c>
      <c r="L332" s="3" t="s">
        <v>47</v>
      </c>
      <c r="M332" s="3" t="s">
        <v>48</v>
      </c>
      <c r="N332" s="4" t="s">
        <v>119</v>
      </c>
      <c r="O332" s="67" t="s">
        <v>586</v>
      </c>
      <c r="P332" s="3" t="s">
        <v>50</v>
      </c>
      <c r="Q332" s="3" t="s">
        <v>51</v>
      </c>
      <c r="R332" s="3">
        <v>2</v>
      </c>
      <c r="S332" s="3" t="s">
        <v>52</v>
      </c>
      <c r="T332" s="3" t="s">
        <v>53</v>
      </c>
      <c r="U332" s="3" t="s">
        <v>54</v>
      </c>
      <c r="V332" s="7"/>
      <c r="W332" s="7"/>
      <c r="X332" s="7"/>
      <c r="Y332" s="7"/>
      <c r="Z332" s="3" t="s">
        <v>55</v>
      </c>
      <c r="AA332" s="3" t="s">
        <v>88</v>
      </c>
      <c r="AB332" s="3" t="s">
        <v>57</v>
      </c>
      <c r="AD332" s="3">
        <v>28.5</v>
      </c>
      <c r="AE332" s="3">
        <v>28.5</v>
      </c>
      <c r="AG332" s="3">
        <v>1.44</v>
      </c>
      <c r="AH332" s="3">
        <v>51.84</v>
      </c>
      <c r="AI332" s="3">
        <v>16.829999999999998</v>
      </c>
      <c r="AJ332" s="89">
        <v>49.915999999999997</v>
      </c>
      <c r="AK332" s="3" t="s">
        <v>58</v>
      </c>
      <c r="AL332" s="10">
        <f t="shared" si="8"/>
        <v>59.899199999999993</v>
      </c>
      <c r="AM332" s="35" t="s">
        <v>5480</v>
      </c>
      <c r="AN332" t="s">
        <v>5519</v>
      </c>
      <c r="AO332" s="74" t="s">
        <v>5638</v>
      </c>
    </row>
    <row r="333" spans="1:41" ht="14.25" customHeight="1" x14ac:dyDescent="0.3">
      <c r="A333" s="3" t="s">
        <v>101</v>
      </c>
      <c r="B333" s="3" t="s">
        <v>130</v>
      </c>
      <c r="C333" s="3" t="s">
        <v>103</v>
      </c>
      <c r="D333" s="3" t="s">
        <v>131</v>
      </c>
      <c r="E333" s="3" t="s">
        <v>105</v>
      </c>
      <c r="F333" s="3" t="s">
        <v>41</v>
      </c>
      <c r="G333" s="5" t="s">
        <v>42</v>
      </c>
      <c r="H333" s="5" t="s">
        <v>43</v>
      </c>
      <c r="I333" s="5" t="s">
        <v>44</v>
      </c>
      <c r="J333" s="3" t="s">
        <v>45</v>
      </c>
      <c r="K333" s="3" t="s">
        <v>106</v>
      </c>
      <c r="L333" s="3" t="s">
        <v>132</v>
      </c>
      <c r="M333" s="3" t="s">
        <v>48</v>
      </c>
      <c r="N333" s="4" t="s">
        <v>107</v>
      </c>
      <c r="O333" s="67" t="s">
        <v>61</v>
      </c>
      <c r="P333" s="3" t="s">
        <v>50</v>
      </c>
      <c r="Q333" s="3" t="s">
        <v>68</v>
      </c>
      <c r="R333" s="3">
        <v>2</v>
      </c>
      <c r="S333" s="3" t="s">
        <v>52</v>
      </c>
      <c r="T333" s="3" t="s">
        <v>53</v>
      </c>
      <c r="U333" s="3" t="s">
        <v>54</v>
      </c>
      <c r="V333" s="7"/>
      <c r="W333" s="7"/>
      <c r="X333" s="7"/>
      <c r="Y333" s="7"/>
      <c r="Z333" s="3" t="s">
        <v>55</v>
      </c>
      <c r="AA333" s="3" t="s">
        <v>88</v>
      </c>
      <c r="AB333" s="3" t="s">
        <v>57</v>
      </c>
      <c r="AD333" s="3">
        <v>60</v>
      </c>
      <c r="AE333" s="3">
        <v>60</v>
      </c>
      <c r="AG333" s="3">
        <v>2.88</v>
      </c>
      <c r="AH333" s="3">
        <v>51.84</v>
      </c>
      <c r="AI333" s="3">
        <v>24.25</v>
      </c>
      <c r="AJ333" s="89">
        <f>79.9/1.2</f>
        <v>66.583333333333343</v>
      </c>
      <c r="AK333" s="3" t="s">
        <v>58</v>
      </c>
      <c r="AL333" s="10">
        <f t="shared" si="8"/>
        <v>79.900000000000006</v>
      </c>
      <c r="AM333" s="35" t="s">
        <v>5480</v>
      </c>
      <c r="AN333" t="s">
        <v>5519</v>
      </c>
      <c r="AO333" s="74" t="s">
        <v>5638</v>
      </c>
    </row>
    <row r="334" spans="1:41" ht="14.25" customHeight="1" x14ac:dyDescent="0.3">
      <c r="A334" s="3" t="s">
        <v>101</v>
      </c>
      <c r="B334" s="3" t="s">
        <v>133</v>
      </c>
      <c r="C334" s="3" t="s">
        <v>103</v>
      </c>
      <c r="D334" s="3" t="s">
        <v>134</v>
      </c>
      <c r="E334" s="3" t="s">
        <v>105</v>
      </c>
      <c r="F334" s="3" t="s">
        <v>41</v>
      </c>
      <c r="G334" s="5" t="s">
        <v>42</v>
      </c>
      <c r="H334" s="5" t="s">
        <v>43</v>
      </c>
      <c r="I334" s="5" t="s">
        <v>44</v>
      </c>
      <c r="J334" s="3" t="s">
        <v>45</v>
      </c>
      <c r="K334" s="3" t="s">
        <v>106</v>
      </c>
      <c r="L334" s="3" t="s">
        <v>132</v>
      </c>
      <c r="M334" s="3" t="s">
        <v>48</v>
      </c>
      <c r="N334" s="4" t="s">
        <v>110</v>
      </c>
      <c r="O334" s="67" t="s">
        <v>64</v>
      </c>
      <c r="P334" s="3" t="s">
        <v>50</v>
      </c>
      <c r="Q334" s="3" t="s">
        <v>68</v>
      </c>
      <c r="R334" s="3">
        <v>2</v>
      </c>
      <c r="S334" s="3" t="s">
        <v>52</v>
      </c>
      <c r="T334" s="3" t="s">
        <v>53</v>
      </c>
      <c r="U334" s="3" t="s">
        <v>54</v>
      </c>
      <c r="V334" s="7"/>
      <c r="W334" s="7"/>
      <c r="X334" s="7"/>
      <c r="Y334" s="7"/>
      <c r="Z334" s="3" t="s">
        <v>55</v>
      </c>
      <c r="AA334" s="3" t="s">
        <v>88</v>
      </c>
      <c r="AB334" s="3" t="s">
        <v>57</v>
      </c>
      <c r="AD334" s="3">
        <v>60</v>
      </c>
      <c r="AE334" s="3">
        <v>60</v>
      </c>
      <c r="AG334" s="3">
        <v>2.88</v>
      </c>
      <c r="AH334" s="3">
        <v>51.84</v>
      </c>
      <c r="AI334" s="3">
        <v>24.25</v>
      </c>
      <c r="AJ334" s="89">
        <f>79.9/1.2</f>
        <v>66.583333333333343</v>
      </c>
      <c r="AK334" s="3" t="s">
        <v>58</v>
      </c>
      <c r="AL334" s="10">
        <f t="shared" si="8"/>
        <v>79.900000000000006</v>
      </c>
      <c r="AM334" s="35" t="s">
        <v>5480</v>
      </c>
      <c r="AN334" t="s">
        <v>5519</v>
      </c>
      <c r="AO334" s="74" t="s">
        <v>5638</v>
      </c>
    </row>
    <row r="335" spans="1:41" ht="14.25" customHeight="1" x14ac:dyDescent="0.3">
      <c r="A335" s="3" t="s">
        <v>101</v>
      </c>
      <c r="B335" s="3" t="s">
        <v>135</v>
      </c>
      <c r="C335" s="3" t="s">
        <v>103</v>
      </c>
      <c r="D335" s="3" t="s">
        <v>136</v>
      </c>
      <c r="E335" s="3" t="s">
        <v>105</v>
      </c>
      <c r="F335" s="3" t="s">
        <v>41</v>
      </c>
      <c r="G335" s="5" t="s">
        <v>42</v>
      </c>
      <c r="H335" s="5" t="s">
        <v>43</v>
      </c>
      <c r="I335" s="5" t="s">
        <v>44</v>
      </c>
      <c r="J335" s="3" t="s">
        <v>45</v>
      </c>
      <c r="K335" s="3" t="s">
        <v>106</v>
      </c>
      <c r="L335" s="3" t="s">
        <v>132</v>
      </c>
      <c r="M335" s="3" t="s">
        <v>48</v>
      </c>
      <c r="N335" s="4" t="s">
        <v>113</v>
      </c>
      <c r="O335" s="67" t="s">
        <v>328</v>
      </c>
      <c r="P335" s="3" t="s">
        <v>50</v>
      </c>
      <c r="Q335" s="3" t="s">
        <v>68</v>
      </c>
      <c r="R335" s="3">
        <v>2</v>
      </c>
      <c r="S335" s="3" t="s">
        <v>52</v>
      </c>
      <c r="T335" s="3" t="s">
        <v>53</v>
      </c>
      <c r="U335" s="3" t="s">
        <v>54</v>
      </c>
      <c r="V335" s="7"/>
      <c r="W335" s="7"/>
      <c r="X335" s="7"/>
      <c r="Y335" s="7"/>
      <c r="Z335" s="3" t="s">
        <v>55</v>
      </c>
      <c r="AA335" s="3" t="s">
        <v>88</v>
      </c>
      <c r="AB335" s="3" t="s">
        <v>57</v>
      </c>
      <c r="AD335" s="3">
        <v>60</v>
      </c>
      <c r="AE335" s="3">
        <v>60</v>
      </c>
      <c r="AG335" s="3">
        <v>2.88</v>
      </c>
      <c r="AH335" s="3">
        <v>51.84</v>
      </c>
      <c r="AI335" s="3">
        <v>24.25</v>
      </c>
      <c r="AJ335" s="89">
        <f>79.9/1.2</f>
        <v>66.583333333333343</v>
      </c>
      <c r="AK335" s="3" t="s">
        <v>58</v>
      </c>
      <c r="AL335" s="10">
        <f t="shared" si="8"/>
        <v>79.900000000000006</v>
      </c>
      <c r="AM335" s="35" t="s">
        <v>5480</v>
      </c>
      <c r="AN335" t="s">
        <v>5519</v>
      </c>
      <c r="AO335" s="74" t="s">
        <v>5638</v>
      </c>
    </row>
    <row r="336" spans="1:41" ht="14.25" customHeight="1" x14ac:dyDescent="0.3">
      <c r="A336" s="3" t="s">
        <v>101</v>
      </c>
      <c r="B336" s="3" t="s">
        <v>137</v>
      </c>
      <c r="C336" s="3" t="s">
        <v>103</v>
      </c>
      <c r="D336" s="3" t="s">
        <v>138</v>
      </c>
      <c r="E336" s="3" t="s">
        <v>105</v>
      </c>
      <c r="F336" s="3" t="s">
        <v>41</v>
      </c>
      <c r="G336" s="5" t="s">
        <v>42</v>
      </c>
      <c r="H336" s="5" t="s">
        <v>43</v>
      </c>
      <c r="I336" s="5" t="s">
        <v>44</v>
      </c>
      <c r="J336" s="3" t="s">
        <v>45</v>
      </c>
      <c r="K336" s="3" t="s">
        <v>106</v>
      </c>
      <c r="L336" s="3" t="s">
        <v>132</v>
      </c>
      <c r="M336" s="3" t="s">
        <v>48</v>
      </c>
      <c r="N336" s="4" t="s">
        <v>116</v>
      </c>
      <c r="O336" s="67" t="s">
        <v>61</v>
      </c>
      <c r="P336" s="3" t="s">
        <v>50</v>
      </c>
      <c r="Q336" s="3" t="s">
        <v>68</v>
      </c>
      <c r="R336" s="3">
        <v>2</v>
      </c>
      <c r="S336" s="3" t="s">
        <v>52</v>
      </c>
      <c r="T336" s="3" t="s">
        <v>53</v>
      </c>
      <c r="U336" s="3" t="s">
        <v>54</v>
      </c>
      <c r="V336" s="7"/>
      <c r="W336" s="7"/>
      <c r="X336" s="7"/>
      <c r="Y336" s="7"/>
      <c r="Z336" s="3" t="s">
        <v>55</v>
      </c>
      <c r="AA336" s="3" t="s">
        <v>88</v>
      </c>
      <c r="AB336" s="3" t="s">
        <v>57</v>
      </c>
      <c r="AD336" s="3">
        <v>60</v>
      </c>
      <c r="AE336" s="3">
        <v>60</v>
      </c>
      <c r="AG336" s="3">
        <v>2.88</v>
      </c>
      <c r="AH336" s="3">
        <v>51.84</v>
      </c>
      <c r="AI336" s="3">
        <v>24.25</v>
      </c>
      <c r="AJ336" s="89">
        <f>79.9/1.2</f>
        <v>66.583333333333343</v>
      </c>
      <c r="AK336" s="3" t="s">
        <v>58</v>
      </c>
      <c r="AL336" s="10">
        <f t="shared" ref="AL336:AL367" si="9">AJ336*1.2</f>
        <v>79.900000000000006</v>
      </c>
      <c r="AM336" s="35" t="s">
        <v>5480</v>
      </c>
      <c r="AN336" t="s">
        <v>5519</v>
      </c>
      <c r="AO336" s="74" t="s">
        <v>5638</v>
      </c>
    </row>
    <row r="337" spans="1:41" ht="14.25" customHeight="1" x14ac:dyDescent="0.3">
      <c r="A337" s="3" t="s">
        <v>101</v>
      </c>
      <c r="B337" s="3" t="s">
        <v>139</v>
      </c>
      <c r="C337" s="3" t="s">
        <v>103</v>
      </c>
      <c r="D337" s="3" t="s">
        <v>140</v>
      </c>
      <c r="E337" s="3" t="s">
        <v>105</v>
      </c>
      <c r="F337" s="3" t="s">
        <v>41</v>
      </c>
      <c r="G337" s="5" t="s">
        <v>42</v>
      </c>
      <c r="H337" s="5" t="s">
        <v>43</v>
      </c>
      <c r="I337" s="5" t="s">
        <v>44</v>
      </c>
      <c r="J337" s="3" t="s">
        <v>45</v>
      </c>
      <c r="K337" s="3" t="s">
        <v>106</v>
      </c>
      <c r="L337" s="3" t="s">
        <v>132</v>
      </c>
      <c r="M337" s="3" t="s">
        <v>48</v>
      </c>
      <c r="N337" s="4" t="s">
        <v>119</v>
      </c>
      <c r="O337" s="67" t="s">
        <v>586</v>
      </c>
      <c r="P337" s="3" t="s">
        <v>50</v>
      </c>
      <c r="Q337" s="3" t="s">
        <v>68</v>
      </c>
      <c r="R337" s="3">
        <v>2</v>
      </c>
      <c r="S337" s="3" t="s">
        <v>52</v>
      </c>
      <c r="T337" s="3" t="s">
        <v>53</v>
      </c>
      <c r="U337" s="3" t="s">
        <v>54</v>
      </c>
      <c r="V337" s="7"/>
      <c r="W337" s="7"/>
      <c r="X337" s="7"/>
      <c r="Y337" s="7"/>
      <c r="Z337" s="3" t="s">
        <v>55</v>
      </c>
      <c r="AA337" s="3" t="s">
        <v>88</v>
      </c>
      <c r="AB337" s="3" t="s">
        <v>57</v>
      </c>
      <c r="AD337" s="3">
        <v>60</v>
      </c>
      <c r="AE337" s="3">
        <v>60</v>
      </c>
      <c r="AG337" s="3">
        <v>2.88</v>
      </c>
      <c r="AH337" s="3">
        <v>51.84</v>
      </c>
      <c r="AI337" s="3">
        <v>24.25</v>
      </c>
      <c r="AJ337" s="89">
        <f>79.9/1.2</f>
        <v>66.583333333333343</v>
      </c>
      <c r="AK337" s="3" t="s">
        <v>58</v>
      </c>
      <c r="AL337" s="10">
        <f t="shared" si="9"/>
        <v>79.900000000000006</v>
      </c>
      <c r="AM337" s="35" t="s">
        <v>5480</v>
      </c>
      <c r="AN337" t="s">
        <v>5519</v>
      </c>
      <c r="AO337" s="74" t="s">
        <v>5638</v>
      </c>
    </row>
    <row r="338" spans="1:41" ht="14.25" customHeight="1" x14ac:dyDescent="0.3">
      <c r="A338" s="3" t="s">
        <v>1103</v>
      </c>
      <c r="B338" s="3" t="s">
        <v>1116</v>
      </c>
      <c r="C338" s="3" t="s">
        <v>1105</v>
      </c>
      <c r="D338" s="3" t="s">
        <v>1117</v>
      </c>
      <c r="E338" s="3" t="s">
        <v>1107</v>
      </c>
      <c r="F338" s="3" t="s">
        <v>41</v>
      </c>
      <c r="G338" s="5" t="s">
        <v>42</v>
      </c>
      <c r="H338" s="5" t="s">
        <v>43</v>
      </c>
      <c r="I338" s="5" t="s">
        <v>44</v>
      </c>
      <c r="J338" s="3" t="s">
        <v>45</v>
      </c>
      <c r="K338" s="3" t="s">
        <v>106</v>
      </c>
      <c r="L338" s="3" t="s">
        <v>67</v>
      </c>
      <c r="M338" s="3" t="s">
        <v>48</v>
      </c>
      <c r="N338" s="4" t="s">
        <v>61</v>
      </c>
      <c r="O338" s="67" t="s">
        <v>61</v>
      </c>
      <c r="P338" s="3" t="s">
        <v>50</v>
      </c>
      <c r="Q338" s="3" t="s">
        <v>68</v>
      </c>
      <c r="R338" s="3">
        <v>4</v>
      </c>
      <c r="S338" s="3" t="s">
        <v>52</v>
      </c>
      <c r="T338" s="3" t="s">
        <v>53</v>
      </c>
      <c r="U338" s="3" t="s">
        <v>54</v>
      </c>
      <c r="V338" s="7"/>
      <c r="W338" s="7"/>
      <c r="X338" s="7"/>
      <c r="Y338" s="7"/>
      <c r="Z338" s="3" t="s">
        <v>55</v>
      </c>
      <c r="AA338" s="3" t="s">
        <v>56</v>
      </c>
      <c r="AB338" s="3" t="s">
        <v>57</v>
      </c>
      <c r="AD338" s="3">
        <v>20.181999999999999</v>
      </c>
      <c r="AE338" s="3">
        <v>20.616</v>
      </c>
      <c r="AG338" s="3">
        <v>1.44</v>
      </c>
      <c r="AH338" s="3">
        <v>46.08</v>
      </c>
      <c r="AI338" s="3">
        <v>11.79</v>
      </c>
      <c r="AJ338" s="88">
        <v>30.75</v>
      </c>
      <c r="AK338" s="3" t="s">
        <v>58</v>
      </c>
      <c r="AL338" s="9">
        <f t="shared" si="9"/>
        <v>36.9</v>
      </c>
      <c r="AN338" t="s">
        <v>5519</v>
      </c>
      <c r="AO338" s="74" t="s">
        <v>5636</v>
      </c>
    </row>
    <row r="339" spans="1:41" ht="14.25" customHeight="1" x14ac:dyDescent="0.3">
      <c r="A339" s="3" t="s">
        <v>1103</v>
      </c>
      <c r="B339" s="3" t="s">
        <v>1118</v>
      </c>
      <c r="C339" s="3" t="s">
        <v>1105</v>
      </c>
      <c r="D339" s="3" t="s">
        <v>1119</v>
      </c>
      <c r="E339" s="3" t="s">
        <v>1107</v>
      </c>
      <c r="F339" s="3" t="s">
        <v>41</v>
      </c>
      <c r="G339" s="5" t="s">
        <v>42</v>
      </c>
      <c r="H339" s="5" t="s">
        <v>43</v>
      </c>
      <c r="I339" s="5" t="s">
        <v>44</v>
      </c>
      <c r="J339" s="3" t="s">
        <v>45</v>
      </c>
      <c r="K339" s="3" t="s">
        <v>106</v>
      </c>
      <c r="L339" s="3" t="s">
        <v>67</v>
      </c>
      <c r="M339" s="3" t="s">
        <v>48</v>
      </c>
      <c r="N339" s="4" t="s">
        <v>599</v>
      </c>
      <c r="O339" s="68" t="s">
        <v>599</v>
      </c>
      <c r="P339" s="3" t="s">
        <v>50</v>
      </c>
      <c r="Q339" s="3" t="s">
        <v>68</v>
      </c>
      <c r="R339" s="3">
        <v>4</v>
      </c>
      <c r="S339" s="3" t="s">
        <v>52</v>
      </c>
      <c r="T339" s="3" t="s">
        <v>53</v>
      </c>
      <c r="U339" s="3" t="s">
        <v>54</v>
      </c>
      <c r="V339" s="7"/>
      <c r="W339" s="7"/>
      <c r="X339" s="7"/>
      <c r="Y339" s="7"/>
      <c r="Z339" s="3" t="s">
        <v>55</v>
      </c>
      <c r="AA339" s="3" t="s">
        <v>56</v>
      </c>
      <c r="AB339" s="3" t="s">
        <v>57</v>
      </c>
      <c r="AD339" s="3">
        <v>20.181999999999999</v>
      </c>
      <c r="AE339" s="3">
        <v>20.616</v>
      </c>
      <c r="AG339" s="3">
        <v>1.44</v>
      </c>
      <c r="AH339" s="3">
        <v>46.08</v>
      </c>
      <c r="AI339" s="3">
        <v>11.79</v>
      </c>
      <c r="AJ339" s="88">
        <v>30.75</v>
      </c>
      <c r="AK339" s="3" t="s">
        <v>58</v>
      </c>
      <c r="AL339" s="9">
        <f t="shared" si="9"/>
        <v>36.9</v>
      </c>
      <c r="AN339" t="s">
        <v>5519</v>
      </c>
      <c r="AO339" s="74" t="s">
        <v>5636</v>
      </c>
    </row>
    <row r="340" spans="1:41" ht="14.25" customHeight="1" x14ac:dyDescent="0.3">
      <c r="A340" s="3" t="s">
        <v>1103</v>
      </c>
      <c r="B340" s="3" t="s">
        <v>1120</v>
      </c>
      <c r="C340" s="3" t="s">
        <v>1105</v>
      </c>
      <c r="D340" s="3" t="s">
        <v>1121</v>
      </c>
      <c r="E340" s="3" t="s">
        <v>1107</v>
      </c>
      <c r="F340" s="3" t="s">
        <v>41</v>
      </c>
      <c r="G340" s="5" t="s">
        <v>42</v>
      </c>
      <c r="H340" s="5" t="s">
        <v>43</v>
      </c>
      <c r="I340" s="5" t="s">
        <v>44</v>
      </c>
      <c r="J340" s="3" t="s">
        <v>45</v>
      </c>
      <c r="K340" s="3" t="s">
        <v>106</v>
      </c>
      <c r="L340" s="3" t="s">
        <v>67</v>
      </c>
      <c r="M340" s="3" t="s">
        <v>48</v>
      </c>
      <c r="N340" s="4" t="s">
        <v>328</v>
      </c>
      <c r="O340" s="68" t="s">
        <v>328</v>
      </c>
      <c r="P340" s="3" t="s">
        <v>50</v>
      </c>
      <c r="Q340" s="3" t="s">
        <v>68</v>
      </c>
      <c r="R340" s="3">
        <v>4</v>
      </c>
      <c r="S340" s="3" t="s">
        <v>52</v>
      </c>
      <c r="T340" s="3" t="s">
        <v>53</v>
      </c>
      <c r="U340" s="3" t="s">
        <v>54</v>
      </c>
      <c r="V340" s="7"/>
      <c r="W340" s="7"/>
      <c r="X340" s="7"/>
      <c r="Y340" s="7"/>
      <c r="Z340" s="3" t="s">
        <v>55</v>
      </c>
      <c r="AA340" s="3" t="s">
        <v>56</v>
      </c>
      <c r="AB340" s="3" t="s">
        <v>57</v>
      </c>
      <c r="AD340" s="3">
        <v>20.181999999999999</v>
      </c>
      <c r="AE340" s="3">
        <v>20.616</v>
      </c>
      <c r="AG340" s="3">
        <v>1.44</v>
      </c>
      <c r="AH340" s="3">
        <v>46.08</v>
      </c>
      <c r="AI340" s="3">
        <v>11.79</v>
      </c>
      <c r="AJ340" s="88">
        <v>30.75</v>
      </c>
      <c r="AK340" s="3" t="s">
        <v>58</v>
      </c>
      <c r="AL340" s="9">
        <f t="shared" si="9"/>
        <v>36.9</v>
      </c>
      <c r="AN340" t="s">
        <v>5519</v>
      </c>
      <c r="AO340" s="74" t="s">
        <v>5636</v>
      </c>
    </row>
    <row r="341" spans="1:41" ht="14.25" customHeight="1" x14ac:dyDescent="0.3">
      <c r="A341" s="3" t="s">
        <v>1103</v>
      </c>
      <c r="B341" s="3" t="s">
        <v>1122</v>
      </c>
      <c r="C341" s="3" t="s">
        <v>1105</v>
      </c>
      <c r="D341" s="3" t="s">
        <v>1123</v>
      </c>
      <c r="E341" s="3" t="s">
        <v>1107</v>
      </c>
      <c r="F341" s="3" t="s">
        <v>41</v>
      </c>
      <c r="G341" s="5" t="s">
        <v>42</v>
      </c>
      <c r="H341" s="5" t="s">
        <v>43</v>
      </c>
      <c r="I341" s="5" t="s">
        <v>44</v>
      </c>
      <c r="J341" s="3" t="s">
        <v>45</v>
      </c>
      <c r="K341" s="3" t="s">
        <v>106</v>
      </c>
      <c r="L341" s="3" t="s">
        <v>67</v>
      </c>
      <c r="M341" s="3" t="s">
        <v>48</v>
      </c>
      <c r="N341" s="4" t="s">
        <v>49</v>
      </c>
      <c r="O341" s="67" t="s">
        <v>49</v>
      </c>
      <c r="P341" s="3" t="s">
        <v>50</v>
      </c>
      <c r="Q341" s="3" t="s">
        <v>68</v>
      </c>
      <c r="R341" s="3">
        <v>4</v>
      </c>
      <c r="S341" s="3" t="s">
        <v>52</v>
      </c>
      <c r="T341" s="3" t="s">
        <v>53</v>
      </c>
      <c r="U341" s="3" t="s">
        <v>54</v>
      </c>
      <c r="V341" s="7"/>
      <c r="W341" s="7"/>
      <c r="X341" s="7"/>
      <c r="Y341" s="7"/>
      <c r="Z341" s="3" t="s">
        <v>55</v>
      </c>
      <c r="AA341" s="3" t="s">
        <v>56</v>
      </c>
      <c r="AB341" s="3" t="s">
        <v>57</v>
      </c>
      <c r="AD341" s="3">
        <v>20.181999999999999</v>
      </c>
      <c r="AE341" s="3">
        <v>20.616</v>
      </c>
      <c r="AG341" s="3">
        <v>1.44</v>
      </c>
      <c r="AH341" s="3">
        <v>46.08</v>
      </c>
      <c r="AI341" s="3">
        <v>11.79</v>
      </c>
      <c r="AJ341" s="88">
        <v>30.75</v>
      </c>
      <c r="AK341" s="3" t="s">
        <v>58</v>
      </c>
      <c r="AL341" s="9">
        <f t="shared" si="9"/>
        <v>36.9</v>
      </c>
      <c r="AN341" t="s">
        <v>5519</v>
      </c>
      <c r="AO341" s="74" t="s">
        <v>5636</v>
      </c>
    </row>
    <row r="342" spans="1:41" ht="14.25" customHeight="1" x14ac:dyDescent="0.3">
      <c r="A342" s="3" t="s">
        <v>1103</v>
      </c>
      <c r="B342" s="3" t="s">
        <v>1124</v>
      </c>
      <c r="C342" s="3" t="s">
        <v>1105</v>
      </c>
      <c r="D342" s="3" t="s">
        <v>1125</v>
      </c>
      <c r="E342" s="3" t="s">
        <v>1107</v>
      </c>
      <c r="F342" s="3" t="s">
        <v>41</v>
      </c>
      <c r="G342" s="5" t="s">
        <v>42</v>
      </c>
      <c r="H342" s="5" t="s">
        <v>43</v>
      </c>
      <c r="I342" s="5" t="s">
        <v>44</v>
      </c>
      <c r="J342" s="3" t="s">
        <v>45</v>
      </c>
      <c r="K342" s="3" t="s">
        <v>106</v>
      </c>
      <c r="L342" s="3" t="s">
        <v>67</v>
      </c>
      <c r="M342" s="3" t="s">
        <v>48</v>
      </c>
      <c r="N342" s="4" t="s">
        <v>372</v>
      </c>
      <c r="O342" s="68" t="s">
        <v>586</v>
      </c>
      <c r="P342" s="3" t="s">
        <v>50</v>
      </c>
      <c r="Q342" s="3" t="s">
        <v>68</v>
      </c>
      <c r="R342" s="3">
        <v>4</v>
      </c>
      <c r="S342" s="3" t="s">
        <v>52</v>
      </c>
      <c r="T342" s="3" t="s">
        <v>53</v>
      </c>
      <c r="U342" s="3" t="s">
        <v>54</v>
      </c>
      <c r="V342" s="7"/>
      <c r="W342" s="7"/>
      <c r="X342" s="7"/>
      <c r="Y342" s="7"/>
      <c r="Z342" s="3" t="s">
        <v>55</v>
      </c>
      <c r="AA342" s="3" t="s">
        <v>56</v>
      </c>
      <c r="AB342" s="3" t="s">
        <v>57</v>
      </c>
      <c r="AD342" s="3">
        <v>20.181999999999999</v>
      </c>
      <c r="AE342" s="3">
        <v>20.616</v>
      </c>
      <c r="AG342" s="3">
        <v>1.44</v>
      </c>
      <c r="AH342" s="3">
        <v>46.08</v>
      </c>
      <c r="AI342" s="3">
        <v>11.79</v>
      </c>
      <c r="AJ342" s="88">
        <v>30.75</v>
      </c>
      <c r="AK342" s="3" t="s">
        <v>58</v>
      </c>
      <c r="AL342" s="9">
        <f t="shared" si="9"/>
        <v>36.9</v>
      </c>
      <c r="AN342" t="s">
        <v>5519</v>
      </c>
      <c r="AO342" s="74" t="s">
        <v>5636</v>
      </c>
    </row>
    <row r="343" spans="1:41" ht="14.25" customHeight="1" x14ac:dyDescent="0.3">
      <c r="A343" s="3" t="s">
        <v>1103</v>
      </c>
      <c r="B343" s="3" t="s">
        <v>1104</v>
      </c>
      <c r="C343" s="3" t="s">
        <v>1105</v>
      </c>
      <c r="D343" s="3" t="s">
        <v>1106</v>
      </c>
      <c r="E343" s="3" t="s">
        <v>1107</v>
      </c>
      <c r="F343" s="3" t="s">
        <v>41</v>
      </c>
      <c r="G343" s="5" t="s">
        <v>42</v>
      </c>
      <c r="H343" s="5" t="s">
        <v>43</v>
      </c>
      <c r="I343" s="5" t="s">
        <v>44</v>
      </c>
      <c r="J343" s="3" t="s">
        <v>45</v>
      </c>
      <c r="K343" s="3" t="s">
        <v>106</v>
      </c>
      <c r="L343" s="3" t="s">
        <v>47</v>
      </c>
      <c r="M343" s="3" t="s">
        <v>48</v>
      </c>
      <c r="N343" s="4" t="s">
        <v>61</v>
      </c>
      <c r="O343" s="68" t="s">
        <v>61</v>
      </c>
      <c r="P343" s="3" t="s">
        <v>50</v>
      </c>
      <c r="Q343" s="3" t="s">
        <v>51</v>
      </c>
      <c r="R343" s="3">
        <v>2</v>
      </c>
      <c r="S343" s="3" t="s">
        <v>52</v>
      </c>
      <c r="T343" s="3" t="s">
        <v>53</v>
      </c>
      <c r="U343" s="3" t="s">
        <v>54</v>
      </c>
      <c r="V343" s="7"/>
      <c r="W343" s="7"/>
      <c r="X343" s="7"/>
      <c r="Y343" s="7"/>
      <c r="Z343" s="3" t="s">
        <v>55</v>
      </c>
      <c r="AA343" s="3" t="s">
        <v>56</v>
      </c>
      <c r="AB343" s="3" t="s">
        <v>57</v>
      </c>
      <c r="AD343" s="3">
        <v>20.100000000000001</v>
      </c>
      <c r="AE343" s="3">
        <v>20.486000000000001</v>
      </c>
      <c r="AG343" s="3">
        <v>1.44</v>
      </c>
      <c r="AH343" s="3">
        <v>51.84</v>
      </c>
      <c r="AI343" s="3">
        <v>12.96</v>
      </c>
      <c r="AJ343" s="88">
        <v>35.75</v>
      </c>
      <c r="AK343" s="3" t="s">
        <v>58</v>
      </c>
      <c r="AL343" s="9">
        <f t="shared" si="9"/>
        <v>42.9</v>
      </c>
      <c r="AN343" t="s">
        <v>5519</v>
      </c>
      <c r="AO343" s="74" t="s">
        <v>5636</v>
      </c>
    </row>
    <row r="344" spans="1:41" ht="14.25" customHeight="1" x14ac:dyDescent="0.3">
      <c r="A344" s="3" t="s">
        <v>1103</v>
      </c>
      <c r="B344" s="3" t="s">
        <v>1108</v>
      </c>
      <c r="C344" s="3" t="s">
        <v>1105</v>
      </c>
      <c r="D344" s="3" t="s">
        <v>1109</v>
      </c>
      <c r="E344" s="3" t="s">
        <v>1107</v>
      </c>
      <c r="F344" s="3" t="s">
        <v>41</v>
      </c>
      <c r="G344" s="5" t="s">
        <v>42</v>
      </c>
      <c r="H344" s="5" t="s">
        <v>43</v>
      </c>
      <c r="I344" s="5" t="s">
        <v>44</v>
      </c>
      <c r="J344" s="3" t="s">
        <v>45</v>
      </c>
      <c r="K344" s="3" t="s">
        <v>106</v>
      </c>
      <c r="L344" s="3" t="s">
        <v>47</v>
      </c>
      <c r="M344" s="3" t="s">
        <v>48</v>
      </c>
      <c r="N344" s="4" t="s">
        <v>372</v>
      </c>
      <c r="O344" s="68" t="s">
        <v>586</v>
      </c>
      <c r="P344" s="3" t="s">
        <v>50</v>
      </c>
      <c r="Q344" s="3" t="s">
        <v>51</v>
      </c>
      <c r="R344" s="3">
        <v>2</v>
      </c>
      <c r="S344" s="3" t="s">
        <v>52</v>
      </c>
      <c r="T344" s="3" t="s">
        <v>53</v>
      </c>
      <c r="U344" s="3" t="s">
        <v>54</v>
      </c>
      <c r="V344" s="7"/>
      <c r="W344" s="7"/>
      <c r="X344" s="7"/>
      <c r="Y344" s="7"/>
      <c r="Z344" s="3" t="s">
        <v>55</v>
      </c>
      <c r="AA344" s="3" t="s">
        <v>56</v>
      </c>
      <c r="AB344" s="3" t="s">
        <v>57</v>
      </c>
      <c r="AD344" s="3">
        <v>20.100000000000001</v>
      </c>
      <c r="AE344" s="3">
        <v>20.486000000000001</v>
      </c>
      <c r="AG344" s="3">
        <v>1.44</v>
      </c>
      <c r="AH344" s="3">
        <v>51.84</v>
      </c>
      <c r="AI344" s="3">
        <v>12.96</v>
      </c>
      <c r="AJ344" s="88">
        <v>35.75</v>
      </c>
      <c r="AK344" s="3" t="s">
        <v>58</v>
      </c>
      <c r="AL344" s="9">
        <f t="shared" si="9"/>
        <v>42.9</v>
      </c>
      <c r="AN344" t="s">
        <v>5519</v>
      </c>
      <c r="AO344" s="74" t="s">
        <v>5636</v>
      </c>
    </row>
    <row r="345" spans="1:41" ht="14.25" customHeight="1" x14ac:dyDescent="0.3">
      <c r="A345" s="3" t="s">
        <v>1103</v>
      </c>
      <c r="B345" s="3" t="s">
        <v>1110</v>
      </c>
      <c r="C345" s="3" t="s">
        <v>1105</v>
      </c>
      <c r="D345" s="3" t="s">
        <v>1111</v>
      </c>
      <c r="E345" s="3" t="s">
        <v>1107</v>
      </c>
      <c r="F345" s="3" t="s">
        <v>41</v>
      </c>
      <c r="G345" s="5" t="s">
        <v>42</v>
      </c>
      <c r="H345" s="5" t="s">
        <v>43</v>
      </c>
      <c r="I345" s="5" t="s">
        <v>44</v>
      </c>
      <c r="J345" s="3" t="s">
        <v>45</v>
      </c>
      <c r="K345" s="3" t="s">
        <v>106</v>
      </c>
      <c r="L345" s="3" t="s">
        <v>47</v>
      </c>
      <c r="M345" s="3" t="s">
        <v>48</v>
      </c>
      <c r="N345" s="4" t="s">
        <v>328</v>
      </c>
      <c r="O345" s="68" t="s">
        <v>328</v>
      </c>
      <c r="P345" s="3" t="s">
        <v>50</v>
      </c>
      <c r="Q345" s="3" t="s">
        <v>51</v>
      </c>
      <c r="R345" s="3">
        <v>2</v>
      </c>
      <c r="S345" s="3" t="s">
        <v>52</v>
      </c>
      <c r="T345" s="3" t="s">
        <v>53</v>
      </c>
      <c r="U345" s="3" t="s">
        <v>54</v>
      </c>
      <c r="V345" s="7"/>
      <c r="W345" s="7"/>
      <c r="X345" s="7"/>
      <c r="Y345" s="7"/>
      <c r="Z345" s="3" t="s">
        <v>55</v>
      </c>
      <c r="AA345" s="3" t="s">
        <v>56</v>
      </c>
      <c r="AB345" s="3" t="s">
        <v>57</v>
      </c>
      <c r="AD345" s="3">
        <v>20.100000000000001</v>
      </c>
      <c r="AE345" s="3">
        <v>20.486000000000001</v>
      </c>
      <c r="AG345" s="3">
        <v>1.44</v>
      </c>
      <c r="AH345" s="3">
        <v>51.84</v>
      </c>
      <c r="AI345" s="3">
        <v>12.96</v>
      </c>
      <c r="AJ345" s="88">
        <v>35.75</v>
      </c>
      <c r="AK345" s="3" t="s">
        <v>58</v>
      </c>
      <c r="AL345" s="9">
        <f t="shared" si="9"/>
        <v>42.9</v>
      </c>
      <c r="AN345" t="s">
        <v>5519</v>
      </c>
      <c r="AO345" s="74" t="s">
        <v>5636</v>
      </c>
    </row>
    <row r="346" spans="1:41" ht="14.25" customHeight="1" x14ac:dyDescent="0.3">
      <c r="A346" s="3" t="s">
        <v>1103</v>
      </c>
      <c r="B346" s="3" t="s">
        <v>1112</v>
      </c>
      <c r="C346" s="3" t="s">
        <v>1105</v>
      </c>
      <c r="D346" s="3" t="s">
        <v>1113</v>
      </c>
      <c r="E346" s="3" t="s">
        <v>1107</v>
      </c>
      <c r="F346" s="3" t="s">
        <v>41</v>
      </c>
      <c r="G346" s="5" t="s">
        <v>42</v>
      </c>
      <c r="H346" s="5" t="s">
        <v>43</v>
      </c>
      <c r="I346" s="5" t="s">
        <v>44</v>
      </c>
      <c r="J346" s="3" t="s">
        <v>45</v>
      </c>
      <c r="K346" s="3" t="s">
        <v>106</v>
      </c>
      <c r="L346" s="3" t="s">
        <v>47</v>
      </c>
      <c r="M346" s="3" t="s">
        <v>48</v>
      </c>
      <c r="N346" s="4" t="s">
        <v>599</v>
      </c>
      <c r="O346" s="68" t="s">
        <v>599</v>
      </c>
      <c r="P346" s="3" t="s">
        <v>50</v>
      </c>
      <c r="Q346" s="3" t="s">
        <v>51</v>
      </c>
      <c r="R346" s="3">
        <v>2</v>
      </c>
      <c r="S346" s="3" t="s">
        <v>52</v>
      </c>
      <c r="T346" s="3" t="s">
        <v>53</v>
      </c>
      <c r="U346" s="3" t="s">
        <v>54</v>
      </c>
      <c r="V346" s="7"/>
      <c r="W346" s="7"/>
      <c r="X346" s="7"/>
      <c r="Y346" s="7"/>
      <c r="Z346" s="3" t="s">
        <v>55</v>
      </c>
      <c r="AA346" s="3" t="s">
        <v>56</v>
      </c>
      <c r="AB346" s="3" t="s">
        <v>57</v>
      </c>
      <c r="AD346" s="3">
        <v>20.100000000000001</v>
      </c>
      <c r="AE346" s="3">
        <v>20.486000000000001</v>
      </c>
      <c r="AG346" s="3">
        <v>1.44</v>
      </c>
      <c r="AH346" s="3">
        <v>51.84</v>
      </c>
      <c r="AI346" s="3">
        <v>12.96</v>
      </c>
      <c r="AJ346" s="88">
        <v>35.75</v>
      </c>
      <c r="AK346" s="3" t="s">
        <v>58</v>
      </c>
      <c r="AL346" s="9">
        <f t="shared" si="9"/>
        <v>42.9</v>
      </c>
      <c r="AN346" t="s">
        <v>5519</v>
      </c>
      <c r="AO346" s="74" t="s">
        <v>5636</v>
      </c>
    </row>
    <row r="347" spans="1:41" ht="14.25" customHeight="1" x14ac:dyDescent="0.3">
      <c r="A347" s="3" t="s">
        <v>1103</v>
      </c>
      <c r="B347" s="3" t="s">
        <v>1114</v>
      </c>
      <c r="C347" s="3" t="s">
        <v>1105</v>
      </c>
      <c r="D347" s="3" t="s">
        <v>1115</v>
      </c>
      <c r="E347" s="3" t="s">
        <v>1107</v>
      </c>
      <c r="F347" s="3" t="s">
        <v>41</v>
      </c>
      <c r="G347" s="5" t="s">
        <v>42</v>
      </c>
      <c r="H347" s="5" t="s">
        <v>43</v>
      </c>
      <c r="I347" s="5" t="s">
        <v>44</v>
      </c>
      <c r="J347" s="3" t="s">
        <v>45</v>
      </c>
      <c r="K347" s="3" t="s">
        <v>106</v>
      </c>
      <c r="L347" s="3" t="s">
        <v>47</v>
      </c>
      <c r="M347" s="3" t="s">
        <v>48</v>
      </c>
      <c r="N347" s="4" t="s">
        <v>49</v>
      </c>
      <c r="O347" s="68" t="s">
        <v>49</v>
      </c>
      <c r="P347" s="3" t="s">
        <v>50</v>
      </c>
      <c r="Q347" s="3" t="s">
        <v>51</v>
      </c>
      <c r="R347" s="3">
        <v>2</v>
      </c>
      <c r="S347" s="3" t="s">
        <v>52</v>
      </c>
      <c r="T347" s="3" t="s">
        <v>53</v>
      </c>
      <c r="U347" s="3" t="s">
        <v>54</v>
      </c>
      <c r="V347" s="7"/>
      <c r="W347" s="7"/>
      <c r="X347" s="7"/>
      <c r="Y347" s="7"/>
      <c r="Z347" s="3" t="s">
        <v>55</v>
      </c>
      <c r="AA347" s="3" t="s">
        <v>56</v>
      </c>
      <c r="AB347" s="3" t="s">
        <v>57</v>
      </c>
      <c r="AD347" s="3">
        <v>20.100000000000001</v>
      </c>
      <c r="AE347" s="3">
        <v>20.486000000000001</v>
      </c>
      <c r="AG347" s="3">
        <v>1.44</v>
      </c>
      <c r="AH347" s="3">
        <v>51.84</v>
      </c>
      <c r="AI347" s="3">
        <v>12.96</v>
      </c>
      <c r="AJ347" s="88">
        <v>35.75</v>
      </c>
      <c r="AK347" s="3" t="s">
        <v>58</v>
      </c>
      <c r="AL347" s="9">
        <f t="shared" si="9"/>
        <v>42.9</v>
      </c>
      <c r="AN347" t="s">
        <v>5519</v>
      </c>
      <c r="AO347" s="74" t="s">
        <v>5636</v>
      </c>
    </row>
    <row r="348" spans="1:41" ht="14.25" customHeight="1" x14ac:dyDescent="0.3">
      <c r="A348" s="3" t="s">
        <v>1103</v>
      </c>
      <c r="B348" s="3" t="s">
        <v>1126</v>
      </c>
      <c r="C348" s="3" t="s">
        <v>1105</v>
      </c>
      <c r="D348" s="3" t="s">
        <v>1127</v>
      </c>
      <c r="E348" s="3" t="s">
        <v>1107</v>
      </c>
      <c r="F348" s="3" t="s">
        <v>41</v>
      </c>
      <c r="G348" s="5" t="s">
        <v>42</v>
      </c>
      <c r="H348" s="5" t="s">
        <v>43</v>
      </c>
      <c r="I348" s="5" t="s">
        <v>44</v>
      </c>
      <c r="J348" s="3" t="s">
        <v>45</v>
      </c>
      <c r="K348" s="3" t="s">
        <v>106</v>
      </c>
      <c r="L348" s="3" t="s">
        <v>75</v>
      </c>
      <c r="M348" s="3" t="s">
        <v>48</v>
      </c>
      <c r="N348" s="4" t="s">
        <v>328</v>
      </c>
      <c r="O348" s="68" t="s">
        <v>328</v>
      </c>
      <c r="P348" s="3" t="s">
        <v>50</v>
      </c>
      <c r="Q348" s="3" t="s">
        <v>68</v>
      </c>
      <c r="R348" s="3">
        <v>2</v>
      </c>
      <c r="S348" s="3" t="s">
        <v>52</v>
      </c>
      <c r="T348" s="3" t="s">
        <v>53</v>
      </c>
      <c r="U348" s="3" t="s">
        <v>54</v>
      </c>
      <c r="V348" s="7"/>
      <c r="W348" s="7"/>
      <c r="X348" s="7"/>
      <c r="Y348" s="7"/>
      <c r="Z348" s="3" t="s">
        <v>55</v>
      </c>
      <c r="AA348" s="3" t="s">
        <v>56</v>
      </c>
      <c r="AB348" s="3" t="s">
        <v>57</v>
      </c>
      <c r="AD348" s="3">
        <v>20.885000000000002</v>
      </c>
      <c r="AE348" s="3">
        <v>21.295999999999999</v>
      </c>
      <c r="AG348" s="3">
        <v>1.62</v>
      </c>
      <c r="AH348" s="3">
        <v>48.6</v>
      </c>
      <c r="AI348" s="8">
        <v>14.17</v>
      </c>
      <c r="AJ348" s="88">
        <v>39.082999999999998</v>
      </c>
      <c r="AK348" s="3" t="s">
        <v>58</v>
      </c>
      <c r="AL348" s="9">
        <f t="shared" si="9"/>
        <v>46.8996</v>
      </c>
      <c r="AN348" t="s">
        <v>5519</v>
      </c>
      <c r="AO348" s="74" t="s">
        <v>5636</v>
      </c>
    </row>
    <row r="349" spans="1:41" ht="14.25" customHeight="1" x14ac:dyDescent="0.3">
      <c r="A349" s="3" t="s">
        <v>1103</v>
      </c>
      <c r="B349" s="3" t="s">
        <v>1128</v>
      </c>
      <c r="C349" s="3" t="s">
        <v>1105</v>
      </c>
      <c r="D349" s="3" t="s">
        <v>1129</v>
      </c>
      <c r="E349" s="3" t="s">
        <v>1107</v>
      </c>
      <c r="F349" s="3" t="s">
        <v>41</v>
      </c>
      <c r="G349" s="5" t="s">
        <v>42</v>
      </c>
      <c r="H349" s="5" t="s">
        <v>43</v>
      </c>
      <c r="I349" s="5" t="s">
        <v>44</v>
      </c>
      <c r="J349" s="3" t="s">
        <v>45</v>
      </c>
      <c r="K349" s="3" t="s">
        <v>106</v>
      </c>
      <c r="L349" s="3" t="s">
        <v>75</v>
      </c>
      <c r="M349" s="3" t="s">
        <v>48</v>
      </c>
      <c r="N349" s="4" t="s">
        <v>61</v>
      </c>
      <c r="O349" s="67" t="s">
        <v>61</v>
      </c>
      <c r="P349" s="3" t="s">
        <v>50</v>
      </c>
      <c r="Q349" s="3" t="s">
        <v>68</v>
      </c>
      <c r="R349" s="3">
        <v>2</v>
      </c>
      <c r="S349" s="3" t="s">
        <v>52</v>
      </c>
      <c r="T349" s="3" t="s">
        <v>53</v>
      </c>
      <c r="U349" s="3" t="s">
        <v>54</v>
      </c>
      <c r="V349" s="7"/>
      <c r="W349" s="7"/>
      <c r="X349" s="7"/>
      <c r="Y349" s="7"/>
      <c r="Z349" s="3" t="s">
        <v>55</v>
      </c>
      <c r="AA349" s="3" t="s">
        <v>56</v>
      </c>
      <c r="AB349" s="3" t="s">
        <v>57</v>
      </c>
      <c r="AD349" s="3">
        <v>20.885000000000002</v>
      </c>
      <c r="AE349" s="3">
        <v>21.295999999999999</v>
      </c>
      <c r="AG349" s="3">
        <v>1.62</v>
      </c>
      <c r="AH349" s="3">
        <v>48.6</v>
      </c>
      <c r="AI349" s="8">
        <v>14.17</v>
      </c>
      <c r="AJ349" s="88">
        <v>39.082999999999998</v>
      </c>
      <c r="AK349" s="3" t="s">
        <v>58</v>
      </c>
      <c r="AL349" s="9">
        <f t="shared" si="9"/>
        <v>46.8996</v>
      </c>
      <c r="AN349" t="s">
        <v>5519</v>
      </c>
      <c r="AO349" s="74" t="s">
        <v>5636</v>
      </c>
    </row>
    <row r="350" spans="1:41" ht="14.25" customHeight="1" x14ac:dyDescent="0.3">
      <c r="A350" s="3" t="s">
        <v>1103</v>
      </c>
      <c r="B350" s="3" t="s">
        <v>1130</v>
      </c>
      <c r="C350" s="3" t="s">
        <v>1105</v>
      </c>
      <c r="D350" s="3" t="s">
        <v>1131</v>
      </c>
      <c r="E350" s="3" t="s">
        <v>1107</v>
      </c>
      <c r="F350" s="3" t="s">
        <v>41</v>
      </c>
      <c r="G350" s="5" t="s">
        <v>42</v>
      </c>
      <c r="H350" s="5" t="s">
        <v>43</v>
      </c>
      <c r="I350" s="5" t="s">
        <v>44</v>
      </c>
      <c r="J350" s="3" t="s">
        <v>45</v>
      </c>
      <c r="K350" s="3" t="s">
        <v>106</v>
      </c>
      <c r="L350" s="3" t="s">
        <v>75</v>
      </c>
      <c r="M350" s="3" t="s">
        <v>48</v>
      </c>
      <c r="N350" s="4" t="s">
        <v>372</v>
      </c>
      <c r="O350" s="67" t="s">
        <v>586</v>
      </c>
      <c r="P350" s="3" t="s">
        <v>50</v>
      </c>
      <c r="Q350" s="3" t="s">
        <v>68</v>
      </c>
      <c r="R350" s="3">
        <v>2</v>
      </c>
      <c r="S350" s="3" t="s">
        <v>52</v>
      </c>
      <c r="T350" s="3" t="s">
        <v>53</v>
      </c>
      <c r="U350" s="3" t="s">
        <v>54</v>
      </c>
      <c r="V350" s="7"/>
      <c r="W350" s="7"/>
      <c r="X350" s="7"/>
      <c r="Y350" s="7"/>
      <c r="Z350" s="3" t="s">
        <v>55</v>
      </c>
      <c r="AA350" s="3" t="s">
        <v>56</v>
      </c>
      <c r="AB350" s="3" t="s">
        <v>57</v>
      </c>
      <c r="AD350" s="3">
        <v>20.885000000000002</v>
      </c>
      <c r="AE350" s="3">
        <v>21.295999999999999</v>
      </c>
      <c r="AG350" s="3">
        <v>1.62</v>
      </c>
      <c r="AH350" s="3">
        <v>48.6</v>
      </c>
      <c r="AI350" s="8">
        <v>14.17</v>
      </c>
      <c r="AJ350" s="88">
        <v>39.082999999999998</v>
      </c>
      <c r="AK350" s="3" t="s">
        <v>58</v>
      </c>
      <c r="AL350" s="9">
        <f t="shared" si="9"/>
        <v>46.8996</v>
      </c>
      <c r="AN350" t="s">
        <v>5519</v>
      </c>
      <c r="AO350" s="74" t="s">
        <v>5636</v>
      </c>
    </row>
    <row r="351" spans="1:41" ht="14.25" customHeight="1" x14ac:dyDescent="0.3">
      <c r="A351" s="3" t="s">
        <v>1103</v>
      </c>
      <c r="B351" s="3" t="s">
        <v>1132</v>
      </c>
      <c r="C351" s="3" t="s">
        <v>1105</v>
      </c>
      <c r="D351" s="3" t="s">
        <v>1133</v>
      </c>
      <c r="E351" s="3" t="s">
        <v>1107</v>
      </c>
      <c r="F351" s="3" t="s">
        <v>41</v>
      </c>
      <c r="G351" s="5" t="s">
        <v>42</v>
      </c>
      <c r="H351" s="5" t="s">
        <v>43</v>
      </c>
      <c r="I351" s="5" t="s">
        <v>44</v>
      </c>
      <c r="J351" s="3" t="s">
        <v>45</v>
      </c>
      <c r="K351" s="3" t="s">
        <v>106</v>
      </c>
      <c r="L351" s="3" t="s">
        <v>75</v>
      </c>
      <c r="M351" s="3" t="s">
        <v>48</v>
      </c>
      <c r="N351" s="4" t="s">
        <v>599</v>
      </c>
      <c r="O351" s="67" t="s">
        <v>599</v>
      </c>
      <c r="P351" s="3" t="s">
        <v>50</v>
      </c>
      <c r="Q351" s="3" t="s">
        <v>68</v>
      </c>
      <c r="R351" s="3">
        <v>2</v>
      </c>
      <c r="S351" s="3" t="s">
        <v>52</v>
      </c>
      <c r="T351" s="3" t="s">
        <v>53</v>
      </c>
      <c r="U351" s="3" t="s">
        <v>54</v>
      </c>
      <c r="V351" s="7"/>
      <c r="W351" s="7"/>
      <c r="X351" s="7"/>
      <c r="Y351" s="7"/>
      <c r="Z351" s="3" t="s">
        <v>55</v>
      </c>
      <c r="AA351" s="3" t="s">
        <v>56</v>
      </c>
      <c r="AB351" s="3" t="s">
        <v>57</v>
      </c>
      <c r="AD351" s="3">
        <v>20.885000000000002</v>
      </c>
      <c r="AE351" s="3">
        <v>21.295999999999999</v>
      </c>
      <c r="AG351" s="3">
        <v>1.62</v>
      </c>
      <c r="AH351" s="3">
        <v>48.6</v>
      </c>
      <c r="AI351" s="8">
        <v>14.17</v>
      </c>
      <c r="AJ351" s="88">
        <v>39.082999999999998</v>
      </c>
      <c r="AK351" s="3" t="s">
        <v>58</v>
      </c>
      <c r="AL351" s="9">
        <f t="shared" si="9"/>
        <v>46.8996</v>
      </c>
      <c r="AN351" t="s">
        <v>5519</v>
      </c>
      <c r="AO351" s="74" t="s">
        <v>5636</v>
      </c>
    </row>
    <row r="352" spans="1:41" ht="14.25" customHeight="1" x14ac:dyDescent="0.3">
      <c r="A352" s="3" t="s">
        <v>1103</v>
      </c>
      <c r="B352" s="3" t="s">
        <v>1134</v>
      </c>
      <c r="C352" s="3" t="s">
        <v>1105</v>
      </c>
      <c r="D352" s="3" t="s">
        <v>1135</v>
      </c>
      <c r="E352" s="3" t="s">
        <v>1107</v>
      </c>
      <c r="F352" s="3" t="s">
        <v>41</v>
      </c>
      <c r="G352" s="5" t="s">
        <v>42</v>
      </c>
      <c r="H352" s="5" t="s">
        <v>43</v>
      </c>
      <c r="I352" s="5" t="s">
        <v>44</v>
      </c>
      <c r="J352" s="3" t="s">
        <v>45</v>
      </c>
      <c r="K352" s="3" t="s">
        <v>106</v>
      </c>
      <c r="L352" s="3" t="s">
        <v>75</v>
      </c>
      <c r="M352" s="3" t="s">
        <v>48</v>
      </c>
      <c r="N352" s="4" t="s">
        <v>49</v>
      </c>
      <c r="O352" s="68" t="s">
        <v>49</v>
      </c>
      <c r="P352" s="3" t="s">
        <v>50</v>
      </c>
      <c r="Q352" s="3" t="s">
        <v>68</v>
      </c>
      <c r="R352" s="3">
        <v>2</v>
      </c>
      <c r="S352" s="3" t="s">
        <v>52</v>
      </c>
      <c r="T352" s="3" t="s">
        <v>53</v>
      </c>
      <c r="U352" s="3" t="s">
        <v>54</v>
      </c>
      <c r="V352" s="7"/>
      <c r="W352" s="7"/>
      <c r="X352" s="7"/>
      <c r="Y352" s="7"/>
      <c r="Z352" s="3" t="s">
        <v>55</v>
      </c>
      <c r="AA352" s="3" t="s">
        <v>56</v>
      </c>
      <c r="AB352" s="3" t="s">
        <v>57</v>
      </c>
      <c r="AD352" s="3">
        <v>20.885000000000002</v>
      </c>
      <c r="AE352" s="3">
        <v>21.295999999999999</v>
      </c>
      <c r="AG352" s="3">
        <v>1.62</v>
      </c>
      <c r="AH352" s="3">
        <v>48.6</v>
      </c>
      <c r="AI352" s="8">
        <v>14.17</v>
      </c>
      <c r="AJ352" s="88">
        <v>39.082999999999998</v>
      </c>
      <c r="AK352" s="3" t="s">
        <v>58</v>
      </c>
      <c r="AL352" s="9">
        <f t="shared" si="9"/>
        <v>46.8996</v>
      </c>
      <c r="AN352" t="s">
        <v>5519</v>
      </c>
      <c r="AO352" s="74" t="s">
        <v>5636</v>
      </c>
    </row>
    <row r="353" spans="1:41" ht="14.25" customHeight="1" x14ac:dyDescent="0.3">
      <c r="A353" s="3" t="s">
        <v>958</v>
      </c>
      <c r="B353" s="3" t="s">
        <v>991</v>
      </c>
      <c r="C353" s="3" t="s">
        <v>960</v>
      </c>
      <c r="D353" s="3" t="s">
        <v>992</v>
      </c>
      <c r="E353" s="3" t="s">
        <v>962</v>
      </c>
      <c r="F353" s="3" t="s">
        <v>41</v>
      </c>
      <c r="G353" s="5" t="s">
        <v>42</v>
      </c>
      <c r="H353" s="5" t="s">
        <v>43</v>
      </c>
      <c r="I353" s="5" t="s">
        <v>44</v>
      </c>
      <c r="J353" s="3" t="s">
        <v>45</v>
      </c>
      <c r="K353" s="3" t="s">
        <v>106</v>
      </c>
      <c r="L353" s="3" t="s">
        <v>242</v>
      </c>
      <c r="M353" s="3" t="s">
        <v>48</v>
      </c>
      <c r="N353" s="3" t="s">
        <v>963</v>
      </c>
      <c r="O353" s="69" t="s">
        <v>64</v>
      </c>
      <c r="P353" s="3" t="s">
        <v>50</v>
      </c>
      <c r="Q353" s="3" t="s">
        <v>68</v>
      </c>
      <c r="R353" s="14">
        <v>2</v>
      </c>
      <c r="S353" s="3" t="s">
        <v>52</v>
      </c>
      <c r="T353" s="3" t="s">
        <v>53</v>
      </c>
      <c r="U353" s="3" t="s">
        <v>54</v>
      </c>
      <c r="V353" s="7"/>
      <c r="W353" s="7"/>
      <c r="X353" s="7"/>
      <c r="Y353" s="7"/>
      <c r="Z353" s="3" t="s">
        <v>55</v>
      </c>
      <c r="AA353" s="3" t="s">
        <v>88</v>
      </c>
      <c r="AB353" s="3" t="s">
        <v>57</v>
      </c>
      <c r="AD353" s="3">
        <v>13.34</v>
      </c>
      <c r="AE353" s="3">
        <v>13.34</v>
      </c>
      <c r="AG353" s="3">
        <v>1.28</v>
      </c>
      <c r="AH353" s="3">
        <v>61.44</v>
      </c>
      <c r="AI353" s="8">
        <v>17.600000000000001</v>
      </c>
      <c r="AJ353" s="88">
        <v>49.915999999999997</v>
      </c>
      <c r="AK353" s="3" t="s">
        <v>58</v>
      </c>
      <c r="AL353" s="9">
        <f t="shared" si="9"/>
        <v>59.899199999999993</v>
      </c>
      <c r="AN353" t="s">
        <v>5519</v>
      </c>
      <c r="AO353" s="74" t="s">
        <v>5632</v>
      </c>
    </row>
    <row r="354" spans="1:41" ht="14.25" customHeight="1" x14ac:dyDescent="0.3">
      <c r="A354" s="3" t="s">
        <v>958</v>
      </c>
      <c r="B354" s="3" t="s">
        <v>993</v>
      </c>
      <c r="C354" s="3" t="s">
        <v>960</v>
      </c>
      <c r="D354" s="3" t="s">
        <v>994</v>
      </c>
      <c r="E354" s="3" t="s">
        <v>962</v>
      </c>
      <c r="F354" s="3" t="s">
        <v>41</v>
      </c>
      <c r="G354" s="5" t="s">
        <v>42</v>
      </c>
      <c r="H354" s="5" t="s">
        <v>43</v>
      </c>
      <c r="I354" s="5" t="s">
        <v>44</v>
      </c>
      <c r="J354" s="3" t="s">
        <v>45</v>
      </c>
      <c r="K354" s="3" t="s">
        <v>106</v>
      </c>
      <c r="L354" s="3" t="s">
        <v>242</v>
      </c>
      <c r="M354" s="3" t="s">
        <v>48</v>
      </c>
      <c r="N354" s="3" t="s">
        <v>966</v>
      </c>
      <c r="O354" s="70" t="s">
        <v>586</v>
      </c>
      <c r="P354" s="3" t="s">
        <v>50</v>
      </c>
      <c r="Q354" s="3" t="s">
        <v>68</v>
      </c>
      <c r="R354" s="14">
        <v>2</v>
      </c>
      <c r="S354" s="3" t="s">
        <v>52</v>
      </c>
      <c r="T354" s="3" t="s">
        <v>53</v>
      </c>
      <c r="U354" s="3" t="s">
        <v>54</v>
      </c>
      <c r="V354" s="7"/>
      <c r="W354" s="7"/>
      <c r="X354" s="7"/>
      <c r="Y354" s="7"/>
      <c r="Z354" s="3" t="s">
        <v>55</v>
      </c>
      <c r="AA354" s="3" t="s">
        <v>88</v>
      </c>
      <c r="AB354" s="3" t="s">
        <v>57</v>
      </c>
      <c r="AD354" s="3">
        <v>13.34</v>
      </c>
      <c r="AE354" s="3">
        <v>13.34</v>
      </c>
      <c r="AG354" s="3">
        <v>1.28</v>
      </c>
      <c r="AH354" s="3">
        <v>61.44</v>
      </c>
      <c r="AI354" s="8">
        <v>17.600000000000001</v>
      </c>
      <c r="AJ354" s="88">
        <v>49.915999999999997</v>
      </c>
      <c r="AK354" s="3" t="s">
        <v>58</v>
      </c>
      <c r="AL354" s="9">
        <f t="shared" si="9"/>
        <v>59.899199999999993</v>
      </c>
      <c r="AN354" t="s">
        <v>5519</v>
      </c>
      <c r="AO354" s="74" t="s">
        <v>5632</v>
      </c>
    </row>
    <row r="355" spans="1:41" ht="14.25" customHeight="1" x14ac:dyDescent="0.3">
      <c r="A355" s="3" t="s">
        <v>958</v>
      </c>
      <c r="B355" s="3" t="s">
        <v>995</v>
      </c>
      <c r="C355" s="3" t="s">
        <v>960</v>
      </c>
      <c r="D355" s="3" t="s">
        <v>996</v>
      </c>
      <c r="E355" s="3" t="s">
        <v>962</v>
      </c>
      <c r="F355" s="3" t="s">
        <v>41</v>
      </c>
      <c r="G355" s="5" t="s">
        <v>42</v>
      </c>
      <c r="H355" s="5" t="s">
        <v>43</v>
      </c>
      <c r="I355" s="5" t="s">
        <v>44</v>
      </c>
      <c r="J355" s="3" t="s">
        <v>45</v>
      </c>
      <c r="K355" s="3" t="s">
        <v>106</v>
      </c>
      <c r="L355" s="3" t="s">
        <v>242</v>
      </c>
      <c r="M355" s="3" t="s">
        <v>48</v>
      </c>
      <c r="N355" s="3" t="s">
        <v>969</v>
      </c>
      <c r="O355" s="70" t="s">
        <v>599</v>
      </c>
      <c r="P355" s="3" t="s">
        <v>50</v>
      </c>
      <c r="Q355" s="3" t="s">
        <v>68</v>
      </c>
      <c r="R355" s="14">
        <v>2</v>
      </c>
      <c r="S355" s="3" t="s">
        <v>52</v>
      </c>
      <c r="T355" s="3" t="s">
        <v>53</v>
      </c>
      <c r="U355" s="3" t="s">
        <v>54</v>
      </c>
      <c r="V355" s="7"/>
      <c r="W355" s="7"/>
      <c r="X355" s="7"/>
      <c r="Y355" s="7"/>
      <c r="Z355" s="3" t="s">
        <v>55</v>
      </c>
      <c r="AA355" s="3" t="s">
        <v>88</v>
      </c>
      <c r="AB355" s="3" t="s">
        <v>57</v>
      </c>
      <c r="AD355" s="3">
        <v>13.34</v>
      </c>
      <c r="AE355" s="3">
        <v>13.34</v>
      </c>
      <c r="AG355" s="3">
        <v>1.28</v>
      </c>
      <c r="AH355" s="3">
        <v>61.44</v>
      </c>
      <c r="AI355" s="8">
        <v>17.600000000000001</v>
      </c>
      <c r="AJ355" s="88">
        <v>49.915999999999997</v>
      </c>
      <c r="AK355" s="3" t="s">
        <v>58</v>
      </c>
      <c r="AL355" s="9">
        <f t="shared" si="9"/>
        <v>59.899199999999993</v>
      </c>
      <c r="AN355" t="s">
        <v>5519</v>
      </c>
      <c r="AO355" s="74" t="s">
        <v>5632</v>
      </c>
    </row>
    <row r="356" spans="1:41" ht="14.25" customHeight="1" x14ac:dyDescent="0.3">
      <c r="A356" s="3" t="s">
        <v>958</v>
      </c>
      <c r="B356" s="3" t="s">
        <v>997</v>
      </c>
      <c r="C356" s="3" t="s">
        <v>960</v>
      </c>
      <c r="D356" s="3" t="s">
        <v>998</v>
      </c>
      <c r="E356" s="3" t="s">
        <v>962</v>
      </c>
      <c r="F356" s="3" t="s">
        <v>41</v>
      </c>
      <c r="G356" s="5" t="s">
        <v>42</v>
      </c>
      <c r="H356" s="5" t="s">
        <v>43</v>
      </c>
      <c r="I356" s="5" t="s">
        <v>44</v>
      </c>
      <c r="J356" s="3" t="s">
        <v>45</v>
      </c>
      <c r="K356" s="3" t="s">
        <v>106</v>
      </c>
      <c r="L356" s="3" t="s">
        <v>242</v>
      </c>
      <c r="M356" s="3" t="s">
        <v>48</v>
      </c>
      <c r="N356" s="3" t="s">
        <v>972</v>
      </c>
      <c r="O356" s="70" t="s">
        <v>61</v>
      </c>
      <c r="P356" s="3" t="s">
        <v>50</v>
      </c>
      <c r="Q356" s="3" t="s">
        <v>68</v>
      </c>
      <c r="R356" s="14">
        <v>2</v>
      </c>
      <c r="S356" s="3" t="s">
        <v>52</v>
      </c>
      <c r="T356" s="3" t="s">
        <v>53</v>
      </c>
      <c r="U356" s="3" t="s">
        <v>54</v>
      </c>
      <c r="V356" s="7"/>
      <c r="W356" s="7"/>
      <c r="X356" s="7"/>
      <c r="Y356" s="7"/>
      <c r="Z356" s="3" t="s">
        <v>55</v>
      </c>
      <c r="AA356" s="3" t="s">
        <v>88</v>
      </c>
      <c r="AB356" s="3" t="s">
        <v>57</v>
      </c>
      <c r="AD356" s="3">
        <v>13.34</v>
      </c>
      <c r="AE356" s="3">
        <v>13.34</v>
      </c>
      <c r="AG356" s="3">
        <v>1.28</v>
      </c>
      <c r="AH356" s="3">
        <v>61.44</v>
      </c>
      <c r="AI356" s="8">
        <v>17.600000000000001</v>
      </c>
      <c r="AJ356" s="88">
        <v>49.915999999999997</v>
      </c>
      <c r="AK356" s="3" t="s">
        <v>58</v>
      </c>
      <c r="AL356" s="9">
        <f t="shared" si="9"/>
        <v>59.899199999999993</v>
      </c>
      <c r="AN356" t="s">
        <v>5519</v>
      </c>
      <c r="AO356" s="74" t="s">
        <v>5632</v>
      </c>
    </row>
    <row r="357" spans="1:41" ht="14.25" customHeight="1" x14ac:dyDescent="0.3">
      <c r="A357" s="3" t="s">
        <v>958</v>
      </c>
      <c r="B357" s="3" t="s">
        <v>999</v>
      </c>
      <c r="C357" s="3" t="s">
        <v>960</v>
      </c>
      <c r="D357" s="3" t="s">
        <v>1000</v>
      </c>
      <c r="E357" s="3" t="s">
        <v>962</v>
      </c>
      <c r="F357" s="3" t="s">
        <v>41</v>
      </c>
      <c r="G357" s="5" t="s">
        <v>42</v>
      </c>
      <c r="H357" s="5" t="s">
        <v>43</v>
      </c>
      <c r="I357" s="5" t="s">
        <v>44</v>
      </c>
      <c r="J357" s="3" t="s">
        <v>45</v>
      </c>
      <c r="K357" s="3" t="s">
        <v>106</v>
      </c>
      <c r="L357" s="3" t="s">
        <v>242</v>
      </c>
      <c r="M357" s="3" t="s">
        <v>48</v>
      </c>
      <c r="N357" s="3" t="s">
        <v>975</v>
      </c>
      <c r="O357" s="70" t="s">
        <v>61</v>
      </c>
      <c r="P357" s="3" t="s">
        <v>50</v>
      </c>
      <c r="Q357" s="3" t="s">
        <v>68</v>
      </c>
      <c r="R357" s="14">
        <v>2</v>
      </c>
      <c r="S357" s="3" t="s">
        <v>52</v>
      </c>
      <c r="T357" s="3" t="s">
        <v>53</v>
      </c>
      <c r="U357" s="3" t="s">
        <v>54</v>
      </c>
      <c r="V357" s="7"/>
      <c r="W357" s="7"/>
      <c r="X357" s="7"/>
      <c r="Y357" s="7"/>
      <c r="Z357" s="3" t="s">
        <v>55</v>
      </c>
      <c r="AA357" s="3" t="s">
        <v>88</v>
      </c>
      <c r="AB357" s="3" t="s">
        <v>57</v>
      </c>
      <c r="AD357" s="3">
        <v>13.34</v>
      </c>
      <c r="AE357" s="3">
        <v>13.34</v>
      </c>
      <c r="AG357" s="3">
        <v>1.28</v>
      </c>
      <c r="AH357" s="3">
        <v>61.44</v>
      </c>
      <c r="AI357" s="8">
        <v>17.600000000000001</v>
      </c>
      <c r="AJ357" s="88">
        <v>49.915999999999997</v>
      </c>
      <c r="AK357" s="3" t="s">
        <v>58</v>
      </c>
      <c r="AL357" s="9">
        <f t="shared" si="9"/>
        <v>59.899199999999993</v>
      </c>
      <c r="AN357" t="s">
        <v>5519</v>
      </c>
      <c r="AO357" s="74" t="s">
        <v>5632</v>
      </c>
    </row>
    <row r="358" spans="1:41" ht="14.25" customHeight="1" x14ac:dyDescent="0.3">
      <c r="A358" s="3" t="s">
        <v>958</v>
      </c>
      <c r="B358" s="3" t="s">
        <v>1001</v>
      </c>
      <c r="C358" s="3" t="s">
        <v>960</v>
      </c>
      <c r="D358" s="3" t="s">
        <v>1002</v>
      </c>
      <c r="E358" s="3" t="s">
        <v>962</v>
      </c>
      <c r="F358" s="3" t="s">
        <v>41</v>
      </c>
      <c r="G358" s="5" t="s">
        <v>42</v>
      </c>
      <c r="H358" s="5" t="s">
        <v>43</v>
      </c>
      <c r="I358" s="5" t="s">
        <v>44</v>
      </c>
      <c r="J358" s="3" t="s">
        <v>45</v>
      </c>
      <c r="K358" s="3" t="s">
        <v>106</v>
      </c>
      <c r="L358" s="3" t="s">
        <v>242</v>
      </c>
      <c r="M358" s="3" t="s">
        <v>48</v>
      </c>
      <c r="N358" s="3" t="s">
        <v>978</v>
      </c>
      <c r="O358" s="70" t="s">
        <v>61</v>
      </c>
      <c r="P358" s="3" t="s">
        <v>50</v>
      </c>
      <c r="Q358" s="3" t="s">
        <v>68</v>
      </c>
      <c r="R358" s="14">
        <v>2</v>
      </c>
      <c r="S358" s="3" t="s">
        <v>52</v>
      </c>
      <c r="T358" s="3" t="s">
        <v>53</v>
      </c>
      <c r="U358" s="3" t="s">
        <v>54</v>
      </c>
      <c r="V358" s="7"/>
      <c r="W358" s="7"/>
      <c r="X358" s="7"/>
      <c r="Y358" s="7"/>
      <c r="Z358" s="3" t="s">
        <v>55</v>
      </c>
      <c r="AA358" s="3" t="s">
        <v>88</v>
      </c>
      <c r="AB358" s="3" t="s">
        <v>57</v>
      </c>
      <c r="AD358" s="3">
        <v>13.34</v>
      </c>
      <c r="AE358" s="3">
        <v>13.34</v>
      </c>
      <c r="AG358" s="3">
        <v>1.28</v>
      </c>
      <c r="AH358" s="3">
        <v>61.44</v>
      </c>
      <c r="AI358" s="8">
        <v>17.600000000000001</v>
      </c>
      <c r="AJ358" s="88">
        <v>49.915999999999997</v>
      </c>
      <c r="AK358" s="3" t="s">
        <v>58</v>
      </c>
      <c r="AL358" s="9">
        <f t="shared" si="9"/>
        <v>59.899199999999993</v>
      </c>
      <c r="AN358" t="s">
        <v>5519</v>
      </c>
      <c r="AO358" s="74" t="s">
        <v>5632</v>
      </c>
    </row>
    <row r="359" spans="1:41" ht="14.25" customHeight="1" x14ac:dyDescent="0.3">
      <c r="A359" s="3" t="s">
        <v>958</v>
      </c>
      <c r="B359" s="3" t="s">
        <v>979</v>
      </c>
      <c r="C359" s="3" t="s">
        <v>960</v>
      </c>
      <c r="D359" s="3" t="s">
        <v>980</v>
      </c>
      <c r="E359" s="3" t="s">
        <v>962</v>
      </c>
      <c r="F359" s="3" t="s">
        <v>41</v>
      </c>
      <c r="G359" s="5" t="s">
        <v>42</v>
      </c>
      <c r="H359" s="5" t="s">
        <v>43</v>
      </c>
      <c r="I359" s="5" t="s">
        <v>44</v>
      </c>
      <c r="J359" s="3" t="s">
        <v>45</v>
      </c>
      <c r="K359" s="3" t="s">
        <v>106</v>
      </c>
      <c r="L359" s="3" t="s">
        <v>47</v>
      </c>
      <c r="M359" s="3" t="s">
        <v>48</v>
      </c>
      <c r="N359" s="3" t="s">
        <v>972</v>
      </c>
      <c r="O359" s="70" t="s">
        <v>61</v>
      </c>
      <c r="P359" s="3" t="s">
        <v>50</v>
      </c>
      <c r="Q359" s="3" t="s">
        <v>51</v>
      </c>
      <c r="R359" s="14">
        <v>2</v>
      </c>
      <c r="S359" s="3" t="s">
        <v>52</v>
      </c>
      <c r="T359" s="3" t="s">
        <v>53</v>
      </c>
      <c r="U359" s="3" t="s">
        <v>54</v>
      </c>
      <c r="V359" s="7"/>
      <c r="W359" s="7"/>
      <c r="X359" s="7"/>
      <c r="Y359" s="7"/>
      <c r="Z359" s="3" t="s">
        <v>55</v>
      </c>
      <c r="AA359" s="3" t="s">
        <v>88</v>
      </c>
      <c r="AB359" s="3" t="s">
        <v>57</v>
      </c>
      <c r="AD359" s="3">
        <v>15.02</v>
      </c>
      <c r="AE359" s="3">
        <v>15.02</v>
      </c>
      <c r="AG359" s="3">
        <v>1.44</v>
      </c>
      <c r="AH359" s="3">
        <v>50.4</v>
      </c>
      <c r="AI359" s="3">
        <v>21.1</v>
      </c>
      <c r="AJ359" s="88">
        <v>49.915999999999997</v>
      </c>
      <c r="AK359" s="3" t="s">
        <v>58</v>
      </c>
      <c r="AL359" s="9">
        <f t="shared" si="9"/>
        <v>59.899199999999993</v>
      </c>
      <c r="AN359" t="s">
        <v>5519</v>
      </c>
      <c r="AO359" s="74" t="s">
        <v>5632</v>
      </c>
    </row>
    <row r="360" spans="1:41" ht="14.25" customHeight="1" x14ac:dyDescent="0.3">
      <c r="A360" s="3" t="s">
        <v>958</v>
      </c>
      <c r="B360" s="3" t="s">
        <v>981</v>
      </c>
      <c r="C360" s="3" t="s">
        <v>960</v>
      </c>
      <c r="D360" s="3" t="s">
        <v>982</v>
      </c>
      <c r="E360" s="3" t="s">
        <v>962</v>
      </c>
      <c r="F360" s="3" t="s">
        <v>41</v>
      </c>
      <c r="G360" s="5" t="s">
        <v>42</v>
      </c>
      <c r="H360" s="5" t="s">
        <v>43</v>
      </c>
      <c r="I360" s="5" t="s">
        <v>44</v>
      </c>
      <c r="J360" s="3" t="s">
        <v>45</v>
      </c>
      <c r="K360" s="3" t="s">
        <v>106</v>
      </c>
      <c r="L360" s="3" t="s">
        <v>47</v>
      </c>
      <c r="M360" s="3" t="s">
        <v>48</v>
      </c>
      <c r="N360" s="3" t="s">
        <v>963</v>
      </c>
      <c r="O360" s="70" t="s">
        <v>64</v>
      </c>
      <c r="P360" s="3" t="s">
        <v>50</v>
      </c>
      <c r="Q360" s="3" t="s">
        <v>51</v>
      </c>
      <c r="R360" s="14">
        <v>2</v>
      </c>
      <c r="S360" s="3" t="s">
        <v>52</v>
      </c>
      <c r="T360" s="3" t="s">
        <v>53</v>
      </c>
      <c r="U360" s="3" t="s">
        <v>54</v>
      </c>
      <c r="V360" s="7"/>
      <c r="W360" s="7"/>
      <c r="X360" s="7"/>
      <c r="Y360" s="7"/>
      <c r="Z360" s="3" t="s">
        <v>55</v>
      </c>
      <c r="AA360" s="3" t="s">
        <v>88</v>
      </c>
      <c r="AB360" s="3" t="s">
        <v>57</v>
      </c>
      <c r="AD360" s="3">
        <v>14.48</v>
      </c>
      <c r="AE360" s="3">
        <v>14.48</v>
      </c>
      <c r="AG360" s="3">
        <v>1.44</v>
      </c>
      <c r="AH360" s="3">
        <v>50.4</v>
      </c>
      <c r="AI360" s="3">
        <v>21.1</v>
      </c>
      <c r="AJ360" s="88">
        <v>49.915999999999997</v>
      </c>
      <c r="AK360" s="3" t="s">
        <v>58</v>
      </c>
      <c r="AL360" s="9">
        <f t="shared" si="9"/>
        <v>59.899199999999993</v>
      </c>
      <c r="AN360" t="s">
        <v>5519</v>
      </c>
      <c r="AO360" s="74" t="s">
        <v>5632</v>
      </c>
    </row>
    <row r="361" spans="1:41" ht="14.25" customHeight="1" x14ac:dyDescent="0.3">
      <c r="A361" s="3" t="s">
        <v>958</v>
      </c>
      <c r="B361" s="3" t="s">
        <v>983</v>
      </c>
      <c r="C361" s="3" t="s">
        <v>960</v>
      </c>
      <c r="D361" s="3" t="s">
        <v>984</v>
      </c>
      <c r="E361" s="3" t="s">
        <v>962</v>
      </c>
      <c r="F361" s="3" t="s">
        <v>41</v>
      </c>
      <c r="G361" s="5" t="s">
        <v>42</v>
      </c>
      <c r="H361" s="5" t="s">
        <v>43</v>
      </c>
      <c r="I361" s="5" t="s">
        <v>44</v>
      </c>
      <c r="J361" s="3" t="s">
        <v>45</v>
      </c>
      <c r="K361" s="3" t="s">
        <v>106</v>
      </c>
      <c r="L361" s="3" t="s">
        <v>47</v>
      </c>
      <c r="M361" s="3" t="s">
        <v>48</v>
      </c>
      <c r="N361" s="3" t="s">
        <v>969</v>
      </c>
      <c r="O361" s="69" t="s">
        <v>599</v>
      </c>
      <c r="P361" s="3" t="s">
        <v>50</v>
      </c>
      <c r="Q361" s="3" t="s">
        <v>51</v>
      </c>
      <c r="R361" s="14">
        <v>2</v>
      </c>
      <c r="S361" s="3" t="s">
        <v>52</v>
      </c>
      <c r="T361" s="3" t="s">
        <v>53</v>
      </c>
      <c r="U361" s="3" t="s">
        <v>54</v>
      </c>
      <c r="V361" s="7"/>
      <c r="W361" s="7"/>
      <c r="X361" s="7"/>
      <c r="Y361" s="7"/>
      <c r="Z361" s="3" t="s">
        <v>55</v>
      </c>
      <c r="AA361" s="3" t="s">
        <v>88</v>
      </c>
      <c r="AB361" s="3" t="s">
        <v>57</v>
      </c>
      <c r="AD361" s="3">
        <v>14.96</v>
      </c>
      <c r="AE361" s="3">
        <v>14.96</v>
      </c>
      <c r="AG361" s="3">
        <v>1.44</v>
      </c>
      <c r="AH361" s="3">
        <v>50.4</v>
      </c>
      <c r="AI361" s="3">
        <v>21.1</v>
      </c>
      <c r="AJ361" s="88">
        <v>49.915999999999997</v>
      </c>
      <c r="AK361" s="3" t="s">
        <v>58</v>
      </c>
      <c r="AL361" s="9">
        <f t="shared" si="9"/>
        <v>59.899199999999993</v>
      </c>
      <c r="AN361" t="s">
        <v>5519</v>
      </c>
      <c r="AO361" s="74" t="s">
        <v>5632</v>
      </c>
    </row>
    <row r="362" spans="1:41" ht="14.25" customHeight="1" x14ac:dyDescent="0.3">
      <c r="A362" s="3" t="s">
        <v>958</v>
      </c>
      <c r="B362" s="3" t="s">
        <v>985</v>
      </c>
      <c r="C362" s="3" t="s">
        <v>960</v>
      </c>
      <c r="D362" s="3" t="s">
        <v>986</v>
      </c>
      <c r="E362" s="3" t="s">
        <v>962</v>
      </c>
      <c r="F362" s="3" t="s">
        <v>41</v>
      </c>
      <c r="G362" s="5" t="s">
        <v>42</v>
      </c>
      <c r="H362" s="5" t="s">
        <v>43</v>
      </c>
      <c r="I362" s="5" t="s">
        <v>44</v>
      </c>
      <c r="J362" s="3" t="s">
        <v>45</v>
      </c>
      <c r="K362" s="3" t="s">
        <v>106</v>
      </c>
      <c r="L362" s="3" t="s">
        <v>47</v>
      </c>
      <c r="M362" s="3" t="s">
        <v>48</v>
      </c>
      <c r="N362" s="3" t="s">
        <v>966</v>
      </c>
      <c r="O362" s="69" t="s">
        <v>586</v>
      </c>
      <c r="P362" s="3" t="s">
        <v>50</v>
      </c>
      <c r="Q362" s="3" t="s">
        <v>51</v>
      </c>
      <c r="R362" s="14">
        <v>2</v>
      </c>
      <c r="S362" s="3" t="s">
        <v>52</v>
      </c>
      <c r="T362" s="3" t="s">
        <v>53</v>
      </c>
      <c r="U362" s="3" t="s">
        <v>54</v>
      </c>
      <c r="V362" s="7"/>
      <c r="W362" s="7"/>
      <c r="X362" s="7"/>
      <c r="Y362" s="7"/>
      <c r="Z362" s="3" t="s">
        <v>55</v>
      </c>
      <c r="AA362" s="3" t="s">
        <v>88</v>
      </c>
      <c r="AB362" s="3" t="s">
        <v>57</v>
      </c>
      <c r="AD362" s="3">
        <v>14.78</v>
      </c>
      <c r="AE362" s="3">
        <v>14.78</v>
      </c>
      <c r="AG362" s="3">
        <v>1.44</v>
      </c>
      <c r="AH362" s="3">
        <v>50.4</v>
      </c>
      <c r="AI362" s="3">
        <v>21.1</v>
      </c>
      <c r="AJ362" s="88">
        <v>49.915999999999997</v>
      </c>
      <c r="AK362" s="3" t="s">
        <v>58</v>
      </c>
      <c r="AL362" s="9">
        <f t="shared" si="9"/>
        <v>59.899199999999993</v>
      </c>
      <c r="AN362" t="s">
        <v>5519</v>
      </c>
      <c r="AO362" s="74" t="s">
        <v>5632</v>
      </c>
    </row>
    <row r="363" spans="1:41" ht="14.25" customHeight="1" x14ac:dyDescent="0.3">
      <c r="A363" s="3" t="s">
        <v>958</v>
      </c>
      <c r="B363" s="3" t="s">
        <v>987</v>
      </c>
      <c r="C363" s="3" t="s">
        <v>960</v>
      </c>
      <c r="D363" s="3" t="s">
        <v>988</v>
      </c>
      <c r="E363" s="3" t="s">
        <v>962</v>
      </c>
      <c r="F363" s="3" t="s">
        <v>41</v>
      </c>
      <c r="G363" s="5" t="s">
        <v>42</v>
      </c>
      <c r="H363" s="5" t="s">
        <v>43</v>
      </c>
      <c r="I363" s="5" t="s">
        <v>44</v>
      </c>
      <c r="J363" s="3" t="s">
        <v>45</v>
      </c>
      <c r="K363" s="3" t="s">
        <v>106</v>
      </c>
      <c r="L363" s="3" t="s">
        <v>47</v>
      </c>
      <c r="M363" s="3" t="s">
        <v>48</v>
      </c>
      <c r="N363" s="3" t="s">
        <v>975</v>
      </c>
      <c r="O363" s="69" t="s">
        <v>61</v>
      </c>
      <c r="P363" s="3" t="s">
        <v>50</v>
      </c>
      <c r="Q363" s="3" t="s">
        <v>51</v>
      </c>
      <c r="R363" s="14">
        <v>2</v>
      </c>
      <c r="S363" s="3" t="s">
        <v>52</v>
      </c>
      <c r="T363" s="3" t="s">
        <v>53</v>
      </c>
      <c r="U363" s="3" t="s">
        <v>54</v>
      </c>
      <c r="V363" s="7"/>
      <c r="W363" s="7"/>
      <c r="X363" s="7"/>
      <c r="Y363" s="7"/>
      <c r="Z363" s="3" t="s">
        <v>55</v>
      </c>
      <c r="AA363" s="3" t="s">
        <v>88</v>
      </c>
      <c r="AB363" s="3" t="s">
        <v>57</v>
      </c>
      <c r="AD363" s="3">
        <v>14.78</v>
      </c>
      <c r="AE363" s="3">
        <v>14.78</v>
      </c>
      <c r="AG363" s="3">
        <v>1.44</v>
      </c>
      <c r="AH363" s="3">
        <v>50.4</v>
      </c>
      <c r="AI363" s="3">
        <v>21.1</v>
      </c>
      <c r="AJ363" s="88">
        <v>49.915999999999997</v>
      </c>
      <c r="AK363" s="3" t="s">
        <v>58</v>
      </c>
      <c r="AL363" s="9">
        <f t="shared" si="9"/>
        <v>59.899199999999993</v>
      </c>
      <c r="AN363" t="s">
        <v>5519</v>
      </c>
      <c r="AO363" s="74" t="s">
        <v>5632</v>
      </c>
    </row>
    <row r="364" spans="1:41" ht="14.25" customHeight="1" x14ac:dyDescent="0.3">
      <c r="A364" s="3" t="s">
        <v>958</v>
      </c>
      <c r="B364" s="3" t="s">
        <v>989</v>
      </c>
      <c r="C364" s="3" t="s">
        <v>960</v>
      </c>
      <c r="D364" s="3" t="s">
        <v>990</v>
      </c>
      <c r="E364" s="3" t="s">
        <v>962</v>
      </c>
      <c r="F364" s="3" t="s">
        <v>41</v>
      </c>
      <c r="G364" s="5" t="s">
        <v>42</v>
      </c>
      <c r="H364" s="5" t="s">
        <v>43</v>
      </c>
      <c r="I364" s="5" t="s">
        <v>44</v>
      </c>
      <c r="J364" s="3" t="s">
        <v>45</v>
      </c>
      <c r="K364" s="3" t="s">
        <v>106</v>
      </c>
      <c r="L364" s="3" t="s">
        <v>47</v>
      </c>
      <c r="M364" s="3" t="s">
        <v>48</v>
      </c>
      <c r="N364" s="3" t="s">
        <v>978</v>
      </c>
      <c r="O364" s="70" t="s">
        <v>61</v>
      </c>
      <c r="P364" s="3" t="s">
        <v>50</v>
      </c>
      <c r="Q364" s="3" t="s">
        <v>51</v>
      </c>
      <c r="R364" s="14">
        <v>2</v>
      </c>
      <c r="S364" s="3" t="s">
        <v>52</v>
      </c>
      <c r="T364" s="3" t="s">
        <v>53</v>
      </c>
      <c r="U364" s="3" t="s">
        <v>54</v>
      </c>
      <c r="V364" s="7"/>
      <c r="W364" s="7"/>
      <c r="X364" s="7"/>
      <c r="Y364" s="7"/>
      <c r="Z364" s="3" t="s">
        <v>55</v>
      </c>
      <c r="AA364" s="3" t="s">
        <v>88</v>
      </c>
      <c r="AB364" s="3" t="s">
        <v>57</v>
      </c>
      <c r="AD364" s="3">
        <v>14.78</v>
      </c>
      <c r="AE364" s="3">
        <v>14.78</v>
      </c>
      <c r="AG364" s="3">
        <v>1.44</v>
      </c>
      <c r="AH364" s="3">
        <v>50.4</v>
      </c>
      <c r="AI364" s="3">
        <v>21.1</v>
      </c>
      <c r="AJ364" s="88">
        <v>49.915999999999997</v>
      </c>
      <c r="AK364" s="3" t="s">
        <v>58</v>
      </c>
      <c r="AL364" s="9">
        <f t="shared" si="9"/>
        <v>59.899199999999993</v>
      </c>
      <c r="AN364" t="s">
        <v>5519</v>
      </c>
      <c r="AO364" s="74" t="s">
        <v>5632</v>
      </c>
    </row>
    <row r="365" spans="1:41" ht="14.25" customHeight="1" x14ac:dyDescent="0.3">
      <c r="A365" s="3" t="s">
        <v>958</v>
      </c>
      <c r="B365" s="3" t="s">
        <v>959</v>
      </c>
      <c r="C365" s="3" t="s">
        <v>960</v>
      </c>
      <c r="D365" s="3" t="s">
        <v>961</v>
      </c>
      <c r="E365" s="3" t="s">
        <v>962</v>
      </c>
      <c r="F365" s="3" t="s">
        <v>41</v>
      </c>
      <c r="G365" s="5" t="s">
        <v>42</v>
      </c>
      <c r="H365" s="5" t="s">
        <v>43</v>
      </c>
      <c r="I365" s="5" t="s">
        <v>44</v>
      </c>
      <c r="J365" s="3" t="s">
        <v>45</v>
      </c>
      <c r="K365" s="3" t="s">
        <v>106</v>
      </c>
      <c r="L365" s="3" t="s">
        <v>132</v>
      </c>
      <c r="M365" s="3" t="s">
        <v>48</v>
      </c>
      <c r="N365" s="3" t="s">
        <v>963</v>
      </c>
      <c r="O365" s="70" t="s">
        <v>64</v>
      </c>
      <c r="P365" s="3" t="s">
        <v>50</v>
      </c>
      <c r="Q365" s="3" t="s">
        <v>68</v>
      </c>
      <c r="R365" s="14">
        <v>2</v>
      </c>
      <c r="S365" s="3" t="s">
        <v>52</v>
      </c>
      <c r="T365" s="3" t="s">
        <v>53</v>
      </c>
      <c r="U365" s="3" t="s">
        <v>54</v>
      </c>
      <c r="V365" s="7"/>
      <c r="W365" s="7"/>
      <c r="X365" s="7"/>
      <c r="Y365" s="7"/>
      <c r="Z365" s="3" t="s">
        <v>55</v>
      </c>
      <c r="AA365" s="3" t="s">
        <v>88</v>
      </c>
      <c r="AB365" s="3" t="s">
        <v>57</v>
      </c>
      <c r="AD365" s="3">
        <v>31.06</v>
      </c>
      <c r="AE365" s="3">
        <v>31.06</v>
      </c>
      <c r="AG365" s="3">
        <v>2.88</v>
      </c>
      <c r="AH365" s="3">
        <v>57.6</v>
      </c>
      <c r="AI365" s="3">
        <v>28.6</v>
      </c>
      <c r="AJ365" s="88">
        <v>66.582999999999998</v>
      </c>
      <c r="AK365" s="3" t="s">
        <v>58</v>
      </c>
      <c r="AL365" s="9">
        <f t="shared" si="9"/>
        <v>79.899599999999992</v>
      </c>
      <c r="AN365" t="s">
        <v>5519</v>
      </c>
      <c r="AO365" s="74" t="s">
        <v>5632</v>
      </c>
    </row>
    <row r="366" spans="1:41" ht="14.25" customHeight="1" x14ac:dyDescent="0.3">
      <c r="A366" s="3" t="s">
        <v>958</v>
      </c>
      <c r="B366" s="3" t="s">
        <v>964</v>
      </c>
      <c r="C366" s="3" t="s">
        <v>960</v>
      </c>
      <c r="D366" s="3" t="s">
        <v>965</v>
      </c>
      <c r="E366" s="3" t="s">
        <v>962</v>
      </c>
      <c r="F366" s="3" t="s">
        <v>41</v>
      </c>
      <c r="G366" s="5" t="s">
        <v>42</v>
      </c>
      <c r="H366" s="5" t="s">
        <v>43</v>
      </c>
      <c r="I366" s="5" t="s">
        <v>44</v>
      </c>
      <c r="J366" s="3" t="s">
        <v>45</v>
      </c>
      <c r="K366" s="3" t="s">
        <v>106</v>
      </c>
      <c r="L366" s="3" t="s">
        <v>132</v>
      </c>
      <c r="M366" s="3" t="s">
        <v>48</v>
      </c>
      <c r="N366" s="3" t="s">
        <v>966</v>
      </c>
      <c r="O366" s="70" t="s">
        <v>586</v>
      </c>
      <c r="P366" s="3" t="s">
        <v>50</v>
      </c>
      <c r="Q366" s="3" t="s">
        <v>68</v>
      </c>
      <c r="R366" s="14">
        <v>2</v>
      </c>
      <c r="S366" s="3" t="s">
        <v>52</v>
      </c>
      <c r="T366" s="3" t="s">
        <v>53</v>
      </c>
      <c r="U366" s="3" t="s">
        <v>54</v>
      </c>
      <c r="V366" s="7"/>
      <c r="W366" s="7"/>
      <c r="X366" s="7"/>
      <c r="Y366" s="7"/>
      <c r="Z366" s="3" t="s">
        <v>55</v>
      </c>
      <c r="AA366" s="3" t="s">
        <v>88</v>
      </c>
      <c r="AB366" s="3" t="s">
        <v>57</v>
      </c>
      <c r="AD366" s="3">
        <v>31.28</v>
      </c>
      <c r="AE366" s="3">
        <v>31.28</v>
      </c>
      <c r="AG366" s="3">
        <v>2.88</v>
      </c>
      <c r="AH366" s="3">
        <v>57.6</v>
      </c>
      <c r="AI366" s="3">
        <v>28.6</v>
      </c>
      <c r="AJ366" s="88">
        <v>66.582999999999998</v>
      </c>
      <c r="AK366" s="3" t="s">
        <v>58</v>
      </c>
      <c r="AL366" s="9">
        <f t="shared" si="9"/>
        <v>79.899599999999992</v>
      </c>
      <c r="AN366" t="s">
        <v>5519</v>
      </c>
      <c r="AO366" s="74" t="s">
        <v>5632</v>
      </c>
    </row>
    <row r="367" spans="1:41" ht="14.25" customHeight="1" x14ac:dyDescent="0.3">
      <c r="A367" s="3" t="s">
        <v>958</v>
      </c>
      <c r="B367" s="3" t="s">
        <v>967</v>
      </c>
      <c r="C367" s="3" t="s">
        <v>960</v>
      </c>
      <c r="D367" s="3" t="s">
        <v>968</v>
      </c>
      <c r="E367" s="3" t="s">
        <v>962</v>
      </c>
      <c r="F367" s="3" t="s">
        <v>41</v>
      </c>
      <c r="G367" s="5" t="s">
        <v>42</v>
      </c>
      <c r="H367" s="5" t="s">
        <v>43</v>
      </c>
      <c r="I367" s="5" t="s">
        <v>44</v>
      </c>
      <c r="J367" s="3" t="s">
        <v>45</v>
      </c>
      <c r="K367" s="3" t="s">
        <v>106</v>
      </c>
      <c r="L367" s="3" t="s">
        <v>132</v>
      </c>
      <c r="M367" s="3" t="s">
        <v>48</v>
      </c>
      <c r="N367" s="3" t="s">
        <v>969</v>
      </c>
      <c r="O367" s="69" t="s">
        <v>599</v>
      </c>
      <c r="P367" s="3" t="s">
        <v>50</v>
      </c>
      <c r="Q367" s="3" t="s">
        <v>68</v>
      </c>
      <c r="R367" s="14">
        <v>2</v>
      </c>
      <c r="S367" s="3" t="s">
        <v>52</v>
      </c>
      <c r="T367" s="3" t="s">
        <v>53</v>
      </c>
      <c r="U367" s="3" t="s">
        <v>54</v>
      </c>
      <c r="V367" s="7"/>
      <c r="W367" s="7"/>
      <c r="X367" s="7"/>
      <c r="Y367" s="7"/>
      <c r="Z367" s="3" t="s">
        <v>55</v>
      </c>
      <c r="AA367" s="3" t="s">
        <v>88</v>
      </c>
      <c r="AB367" s="3" t="s">
        <v>57</v>
      </c>
      <c r="AD367" s="3">
        <v>31.16</v>
      </c>
      <c r="AE367" s="3">
        <v>31.16</v>
      </c>
      <c r="AG367" s="3">
        <v>2.88</v>
      </c>
      <c r="AH367" s="3">
        <v>57.6</v>
      </c>
      <c r="AI367" s="3">
        <v>28.6</v>
      </c>
      <c r="AJ367" s="88">
        <v>66.582999999999998</v>
      </c>
      <c r="AK367" s="3" t="s">
        <v>58</v>
      </c>
      <c r="AL367" s="9">
        <f t="shared" si="9"/>
        <v>79.899599999999992</v>
      </c>
      <c r="AN367" t="s">
        <v>5519</v>
      </c>
      <c r="AO367" s="74" t="s">
        <v>5632</v>
      </c>
    </row>
    <row r="368" spans="1:41" ht="14.25" customHeight="1" x14ac:dyDescent="0.3">
      <c r="A368" s="3" t="s">
        <v>958</v>
      </c>
      <c r="B368" s="3" t="s">
        <v>970</v>
      </c>
      <c r="C368" s="3" t="s">
        <v>960</v>
      </c>
      <c r="D368" s="3" t="s">
        <v>971</v>
      </c>
      <c r="E368" s="3" t="s">
        <v>962</v>
      </c>
      <c r="F368" s="3" t="s">
        <v>41</v>
      </c>
      <c r="G368" s="5" t="s">
        <v>42</v>
      </c>
      <c r="H368" s="5" t="s">
        <v>43</v>
      </c>
      <c r="I368" s="5" t="s">
        <v>44</v>
      </c>
      <c r="J368" s="3" t="s">
        <v>45</v>
      </c>
      <c r="K368" s="3" t="s">
        <v>106</v>
      </c>
      <c r="L368" s="3" t="s">
        <v>132</v>
      </c>
      <c r="M368" s="3" t="s">
        <v>48</v>
      </c>
      <c r="N368" s="3" t="s">
        <v>972</v>
      </c>
      <c r="O368" s="69" t="s">
        <v>61</v>
      </c>
      <c r="P368" s="3" t="s">
        <v>50</v>
      </c>
      <c r="Q368" s="3" t="s">
        <v>68</v>
      </c>
      <c r="R368" s="14">
        <v>2</v>
      </c>
      <c r="S368" s="3" t="s">
        <v>52</v>
      </c>
      <c r="T368" s="3" t="s">
        <v>53</v>
      </c>
      <c r="U368" s="3" t="s">
        <v>54</v>
      </c>
      <c r="V368" s="7"/>
      <c r="W368" s="7"/>
      <c r="X368" s="7"/>
      <c r="Y368" s="7"/>
      <c r="Z368" s="3" t="s">
        <v>55</v>
      </c>
      <c r="AA368" s="3" t="s">
        <v>88</v>
      </c>
      <c r="AB368" s="3" t="s">
        <v>57</v>
      </c>
      <c r="AD368" s="3">
        <v>30.99</v>
      </c>
      <c r="AE368" s="3">
        <v>30.99</v>
      </c>
      <c r="AG368" s="3">
        <v>2.88</v>
      </c>
      <c r="AH368" s="3">
        <v>57.6</v>
      </c>
      <c r="AI368" s="3">
        <v>28.6</v>
      </c>
      <c r="AJ368" s="88">
        <v>66.582999999999998</v>
      </c>
      <c r="AK368" s="3" t="s">
        <v>58</v>
      </c>
      <c r="AL368" s="9">
        <f t="shared" ref="AL368:AL397" si="10">AJ368*1.2</f>
        <v>79.899599999999992</v>
      </c>
      <c r="AN368" t="s">
        <v>5519</v>
      </c>
      <c r="AO368" s="74" t="s">
        <v>5632</v>
      </c>
    </row>
    <row r="369" spans="1:41" ht="14.25" customHeight="1" x14ac:dyDescent="0.3">
      <c r="A369" s="3" t="s">
        <v>958</v>
      </c>
      <c r="B369" s="3" t="s">
        <v>973</v>
      </c>
      <c r="C369" s="3" t="s">
        <v>960</v>
      </c>
      <c r="D369" s="3" t="s">
        <v>974</v>
      </c>
      <c r="E369" s="3" t="s">
        <v>962</v>
      </c>
      <c r="F369" s="3" t="s">
        <v>41</v>
      </c>
      <c r="G369" s="5" t="s">
        <v>42</v>
      </c>
      <c r="H369" s="5" t="s">
        <v>43</v>
      </c>
      <c r="I369" s="5" t="s">
        <v>44</v>
      </c>
      <c r="J369" s="3" t="s">
        <v>45</v>
      </c>
      <c r="K369" s="3" t="s">
        <v>106</v>
      </c>
      <c r="L369" s="3" t="s">
        <v>132</v>
      </c>
      <c r="M369" s="3" t="s">
        <v>48</v>
      </c>
      <c r="N369" s="3" t="s">
        <v>975</v>
      </c>
      <c r="O369" s="69" t="s">
        <v>61</v>
      </c>
      <c r="P369" s="3" t="s">
        <v>50</v>
      </c>
      <c r="Q369" s="3" t="s">
        <v>68</v>
      </c>
      <c r="R369" s="14">
        <v>2</v>
      </c>
      <c r="S369" s="3" t="s">
        <v>52</v>
      </c>
      <c r="T369" s="3" t="s">
        <v>53</v>
      </c>
      <c r="U369" s="3" t="s">
        <v>54</v>
      </c>
      <c r="V369" s="7"/>
      <c r="W369" s="7"/>
      <c r="X369" s="7"/>
      <c r="Y369" s="7"/>
      <c r="Z369" s="3" t="s">
        <v>55</v>
      </c>
      <c r="AA369" s="3" t="s">
        <v>88</v>
      </c>
      <c r="AB369" s="3" t="s">
        <v>57</v>
      </c>
      <c r="AD369" s="3">
        <v>30.78</v>
      </c>
      <c r="AE369" s="3">
        <v>30.78</v>
      </c>
      <c r="AG369" s="3">
        <v>2.88</v>
      </c>
      <c r="AH369" s="3">
        <v>57.6</v>
      </c>
      <c r="AI369" s="3">
        <v>28.6</v>
      </c>
      <c r="AJ369" s="88">
        <v>66.582999999999998</v>
      </c>
      <c r="AK369" s="3" t="s">
        <v>58</v>
      </c>
      <c r="AL369" s="9">
        <f t="shared" si="10"/>
        <v>79.899599999999992</v>
      </c>
      <c r="AN369" t="s">
        <v>5519</v>
      </c>
      <c r="AO369" s="74" t="s">
        <v>5632</v>
      </c>
    </row>
    <row r="370" spans="1:41" ht="14.25" customHeight="1" x14ac:dyDescent="0.3">
      <c r="A370" s="3" t="s">
        <v>958</v>
      </c>
      <c r="B370" s="3" t="s">
        <v>976</v>
      </c>
      <c r="C370" s="3" t="s">
        <v>960</v>
      </c>
      <c r="D370" s="3" t="s">
        <v>977</v>
      </c>
      <c r="E370" s="3" t="s">
        <v>962</v>
      </c>
      <c r="F370" s="3" t="s">
        <v>41</v>
      </c>
      <c r="G370" s="5" t="s">
        <v>42</v>
      </c>
      <c r="H370" s="5" t="s">
        <v>43</v>
      </c>
      <c r="I370" s="5" t="s">
        <v>44</v>
      </c>
      <c r="J370" s="3" t="s">
        <v>45</v>
      </c>
      <c r="K370" s="3" t="s">
        <v>106</v>
      </c>
      <c r="L370" s="3" t="s">
        <v>132</v>
      </c>
      <c r="M370" s="3" t="s">
        <v>48</v>
      </c>
      <c r="N370" s="3" t="s">
        <v>978</v>
      </c>
      <c r="O370" s="69" t="s">
        <v>61</v>
      </c>
      <c r="P370" s="3" t="s">
        <v>50</v>
      </c>
      <c r="Q370" s="3" t="s">
        <v>68</v>
      </c>
      <c r="R370" s="14">
        <v>2</v>
      </c>
      <c r="S370" s="3" t="s">
        <v>52</v>
      </c>
      <c r="T370" s="3" t="s">
        <v>53</v>
      </c>
      <c r="U370" s="3" t="s">
        <v>54</v>
      </c>
      <c r="V370" s="7"/>
      <c r="W370" s="7"/>
      <c r="X370" s="7"/>
      <c r="Y370" s="7"/>
      <c r="Z370" s="3" t="s">
        <v>55</v>
      </c>
      <c r="AA370" s="3" t="s">
        <v>88</v>
      </c>
      <c r="AB370" s="3" t="s">
        <v>57</v>
      </c>
      <c r="AD370" s="3">
        <v>14.78</v>
      </c>
      <c r="AE370" s="3">
        <v>14.78</v>
      </c>
      <c r="AG370" s="3">
        <v>1.44</v>
      </c>
      <c r="AH370" s="3">
        <v>50.4</v>
      </c>
      <c r="AI370" s="3">
        <v>28.6</v>
      </c>
      <c r="AJ370" s="88">
        <v>66.582999999999998</v>
      </c>
      <c r="AK370" s="3" t="s">
        <v>58</v>
      </c>
      <c r="AL370" s="9">
        <f t="shared" si="10"/>
        <v>79.899599999999992</v>
      </c>
      <c r="AN370" t="s">
        <v>5519</v>
      </c>
      <c r="AO370" s="74" t="s">
        <v>5632</v>
      </c>
    </row>
    <row r="371" spans="1:41" ht="14.25" customHeight="1" x14ac:dyDescent="0.3">
      <c r="A371" s="3" t="s">
        <v>876</v>
      </c>
      <c r="B371" s="3" t="s">
        <v>888</v>
      </c>
      <c r="C371" s="3" t="s">
        <v>878</v>
      </c>
      <c r="D371" s="4" t="s">
        <v>889</v>
      </c>
      <c r="E371" s="3" t="s">
        <v>880</v>
      </c>
      <c r="F371" s="3" t="s">
        <v>41</v>
      </c>
      <c r="G371" s="5" t="s">
        <v>42</v>
      </c>
      <c r="H371" s="5" t="s">
        <v>43</v>
      </c>
      <c r="I371" s="5" t="s">
        <v>44</v>
      </c>
      <c r="J371" s="3" t="s">
        <v>45</v>
      </c>
      <c r="K371" s="3" t="s">
        <v>106</v>
      </c>
      <c r="L371" s="3" t="s">
        <v>67</v>
      </c>
      <c r="M371" s="3" t="s">
        <v>48</v>
      </c>
      <c r="N371" s="4" t="s">
        <v>61</v>
      </c>
      <c r="O371" s="68" t="s">
        <v>61</v>
      </c>
      <c r="P371" s="3" t="s">
        <v>50</v>
      </c>
      <c r="Q371" s="3" t="s">
        <v>68</v>
      </c>
      <c r="R371" s="6">
        <v>4</v>
      </c>
      <c r="S371" s="3" t="s">
        <v>52</v>
      </c>
      <c r="T371" s="3" t="s">
        <v>53</v>
      </c>
      <c r="U371" s="3" t="s">
        <v>54</v>
      </c>
      <c r="V371" s="7"/>
      <c r="W371" s="7"/>
      <c r="X371" s="7"/>
      <c r="Y371" s="7"/>
      <c r="Z371" s="3" t="s">
        <v>55</v>
      </c>
      <c r="AA371" s="3" t="s">
        <v>56</v>
      </c>
      <c r="AB371" s="3" t="s">
        <v>57</v>
      </c>
      <c r="AD371" s="3">
        <v>20.181999999999999</v>
      </c>
      <c r="AE371" s="3">
        <v>20.616</v>
      </c>
      <c r="AG371" s="3">
        <v>1.44</v>
      </c>
      <c r="AH371" s="3">
        <v>46.08</v>
      </c>
      <c r="AI371" s="3">
        <v>11.79</v>
      </c>
      <c r="AJ371" s="88">
        <v>30.75</v>
      </c>
      <c r="AK371" s="3" t="s">
        <v>58</v>
      </c>
      <c r="AL371" s="9">
        <f t="shared" si="10"/>
        <v>36.9</v>
      </c>
      <c r="AN371" t="s">
        <v>5519</v>
      </c>
      <c r="AO371" s="74" t="s">
        <v>5637</v>
      </c>
    </row>
    <row r="372" spans="1:41" ht="14.25" customHeight="1" x14ac:dyDescent="0.3">
      <c r="A372" s="3" t="s">
        <v>876</v>
      </c>
      <c r="B372" s="3" t="s">
        <v>890</v>
      </c>
      <c r="C372" s="3" t="s">
        <v>878</v>
      </c>
      <c r="D372" s="4" t="s">
        <v>891</v>
      </c>
      <c r="E372" s="3" t="s">
        <v>880</v>
      </c>
      <c r="F372" s="3" t="s">
        <v>41</v>
      </c>
      <c r="G372" s="5" t="s">
        <v>42</v>
      </c>
      <c r="H372" s="5" t="s">
        <v>43</v>
      </c>
      <c r="I372" s="5" t="s">
        <v>44</v>
      </c>
      <c r="J372" s="3" t="s">
        <v>45</v>
      </c>
      <c r="K372" s="3" t="s">
        <v>106</v>
      </c>
      <c r="L372" s="3" t="s">
        <v>67</v>
      </c>
      <c r="M372" s="3" t="s">
        <v>48</v>
      </c>
      <c r="N372" s="4" t="s">
        <v>372</v>
      </c>
      <c r="O372" s="68" t="s">
        <v>586</v>
      </c>
      <c r="P372" s="3" t="s">
        <v>50</v>
      </c>
      <c r="Q372" s="3" t="s">
        <v>68</v>
      </c>
      <c r="R372" s="6">
        <v>4</v>
      </c>
      <c r="S372" s="3" t="s">
        <v>52</v>
      </c>
      <c r="T372" s="3" t="s">
        <v>53</v>
      </c>
      <c r="U372" s="3" t="s">
        <v>54</v>
      </c>
      <c r="V372" s="7"/>
      <c r="W372" s="7"/>
      <c r="X372" s="7"/>
      <c r="Y372" s="7"/>
      <c r="Z372" s="3" t="s">
        <v>55</v>
      </c>
      <c r="AA372" s="3" t="s">
        <v>56</v>
      </c>
      <c r="AB372" s="3" t="s">
        <v>57</v>
      </c>
      <c r="AD372" s="3">
        <v>20.181999999999999</v>
      </c>
      <c r="AE372" s="3">
        <v>20.616</v>
      </c>
      <c r="AG372" s="3">
        <v>1.44</v>
      </c>
      <c r="AH372" s="3">
        <v>46.08</v>
      </c>
      <c r="AI372" s="3">
        <v>11.79</v>
      </c>
      <c r="AJ372" s="88">
        <v>30.75</v>
      </c>
      <c r="AK372" s="3" t="s">
        <v>58</v>
      </c>
      <c r="AL372" s="9">
        <f t="shared" si="10"/>
        <v>36.9</v>
      </c>
      <c r="AN372" t="s">
        <v>5519</v>
      </c>
      <c r="AO372" s="74" t="s">
        <v>5637</v>
      </c>
    </row>
    <row r="373" spans="1:41" ht="14.25" customHeight="1" x14ac:dyDescent="0.3">
      <c r="A373" s="3" t="s">
        <v>876</v>
      </c>
      <c r="B373" s="3" t="s">
        <v>892</v>
      </c>
      <c r="C373" s="3" t="s">
        <v>878</v>
      </c>
      <c r="D373" s="4" t="s">
        <v>893</v>
      </c>
      <c r="E373" s="3" t="s">
        <v>880</v>
      </c>
      <c r="F373" s="3" t="s">
        <v>41</v>
      </c>
      <c r="G373" s="5" t="s">
        <v>42</v>
      </c>
      <c r="H373" s="5" t="s">
        <v>43</v>
      </c>
      <c r="I373" s="5" t="s">
        <v>44</v>
      </c>
      <c r="J373" s="3" t="s">
        <v>45</v>
      </c>
      <c r="K373" s="3" t="s">
        <v>106</v>
      </c>
      <c r="L373" s="3" t="s">
        <v>67</v>
      </c>
      <c r="M373" s="3" t="s">
        <v>48</v>
      </c>
      <c r="N373" s="4" t="s">
        <v>887</v>
      </c>
      <c r="O373" s="68" t="s">
        <v>61</v>
      </c>
      <c r="P373" s="3" t="s">
        <v>50</v>
      </c>
      <c r="Q373" s="3" t="s">
        <v>68</v>
      </c>
      <c r="R373" s="6">
        <v>4</v>
      </c>
      <c r="S373" s="3" t="s">
        <v>52</v>
      </c>
      <c r="T373" s="3" t="s">
        <v>53</v>
      </c>
      <c r="U373" s="3" t="s">
        <v>54</v>
      </c>
      <c r="V373" s="7"/>
      <c r="W373" s="7"/>
      <c r="X373" s="7"/>
      <c r="Y373" s="7"/>
      <c r="Z373" s="3" t="s">
        <v>55</v>
      </c>
      <c r="AA373" s="3" t="s">
        <v>56</v>
      </c>
      <c r="AB373" s="3" t="s">
        <v>57</v>
      </c>
      <c r="AD373" s="3">
        <v>20.181999999999999</v>
      </c>
      <c r="AE373" s="3">
        <v>20.616</v>
      </c>
      <c r="AG373" s="3">
        <v>1.44</v>
      </c>
      <c r="AH373" s="3">
        <v>46.08</v>
      </c>
      <c r="AI373" s="3">
        <v>11.79</v>
      </c>
      <c r="AJ373" s="88">
        <v>30.75</v>
      </c>
      <c r="AK373" s="3" t="s">
        <v>58</v>
      </c>
      <c r="AL373" s="9">
        <f t="shared" si="10"/>
        <v>36.9</v>
      </c>
      <c r="AN373" t="s">
        <v>5519</v>
      </c>
      <c r="AO373" s="74" t="s">
        <v>5637</v>
      </c>
    </row>
    <row r="374" spans="1:41" ht="14.25" customHeight="1" x14ac:dyDescent="0.3">
      <c r="A374" s="3" t="s">
        <v>876</v>
      </c>
      <c r="B374" s="3" t="s">
        <v>894</v>
      </c>
      <c r="C374" s="3" t="s">
        <v>878</v>
      </c>
      <c r="D374" s="4" t="s">
        <v>895</v>
      </c>
      <c r="E374" s="3" t="s">
        <v>880</v>
      </c>
      <c r="F374" s="3" t="s">
        <v>41</v>
      </c>
      <c r="G374" s="5" t="s">
        <v>42</v>
      </c>
      <c r="H374" s="5" t="s">
        <v>43</v>
      </c>
      <c r="I374" s="5" t="s">
        <v>44</v>
      </c>
      <c r="J374" s="3" t="s">
        <v>45</v>
      </c>
      <c r="K374" s="3" t="s">
        <v>106</v>
      </c>
      <c r="L374" s="3" t="s">
        <v>67</v>
      </c>
      <c r="M374" s="3" t="s">
        <v>48</v>
      </c>
      <c r="N374" s="4" t="s">
        <v>49</v>
      </c>
      <c r="O374" s="67" t="s">
        <v>49</v>
      </c>
      <c r="P374" s="3" t="s">
        <v>50</v>
      </c>
      <c r="Q374" s="3" t="s">
        <v>68</v>
      </c>
      <c r="R374" s="6">
        <v>4</v>
      </c>
      <c r="S374" s="3" t="s">
        <v>52</v>
      </c>
      <c r="T374" s="3" t="s">
        <v>53</v>
      </c>
      <c r="U374" s="3" t="s">
        <v>54</v>
      </c>
      <c r="V374" s="7"/>
      <c r="W374" s="7"/>
      <c r="X374" s="7"/>
      <c r="Y374" s="7"/>
      <c r="Z374" s="3" t="s">
        <v>55</v>
      </c>
      <c r="AA374" s="3" t="s">
        <v>56</v>
      </c>
      <c r="AB374" s="3" t="s">
        <v>57</v>
      </c>
      <c r="AD374" s="3">
        <v>20.181999999999999</v>
      </c>
      <c r="AE374" s="3">
        <v>20.616</v>
      </c>
      <c r="AG374" s="3">
        <v>1.44</v>
      </c>
      <c r="AH374" s="3">
        <v>46.08</v>
      </c>
      <c r="AI374" s="3">
        <v>11.79</v>
      </c>
      <c r="AJ374" s="88">
        <v>30.75</v>
      </c>
      <c r="AK374" s="3" t="s">
        <v>58</v>
      </c>
      <c r="AL374" s="9">
        <f t="shared" si="10"/>
        <v>36.9</v>
      </c>
      <c r="AN374" t="s">
        <v>5519</v>
      </c>
      <c r="AO374" s="74" t="s">
        <v>5637</v>
      </c>
    </row>
    <row r="375" spans="1:41" ht="14.25" customHeight="1" x14ac:dyDescent="0.3">
      <c r="A375" s="3" t="s">
        <v>876</v>
      </c>
      <c r="B375" s="3" t="s">
        <v>877</v>
      </c>
      <c r="C375" s="3" t="s">
        <v>878</v>
      </c>
      <c r="D375" s="4" t="s">
        <v>879</v>
      </c>
      <c r="E375" s="3" t="s">
        <v>880</v>
      </c>
      <c r="F375" s="3" t="s">
        <v>41</v>
      </c>
      <c r="G375" s="5" t="s">
        <v>42</v>
      </c>
      <c r="H375" s="5" t="s">
        <v>43</v>
      </c>
      <c r="I375" s="5" t="s">
        <v>44</v>
      </c>
      <c r="J375" s="3" t="s">
        <v>45</v>
      </c>
      <c r="K375" s="3" t="s">
        <v>106</v>
      </c>
      <c r="L375" s="3" t="s">
        <v>47</v>
      </c>
      <c r="M375" s="3" t="s">
        <v>48</v>
      </c>
      <c r="N375" s="4" t="s">
        <v>372</v>
      </c>
      <c r="O375" s="67" t="s">
        <v>586</v>
      </c>
      <c r="P375" s="3" t="s">
        <v>50</v>
      </c>
      <c r="Q375" s="3" t="s">
        <v>51</v>
      </c>
      <c r="R375" s="6">
        <v>2</v>
      </c>
      <c r="S375" s="3" t="s">
        <v>52</v>
      </c>
      <c r="T375" s="3" t="s">
        <v>53</v>
      </c>
      <c r="U375" s="3" t="s">
        <v>54</v>
      </c>
      <c r="V375" s="7"/>
      <c r="W375" s="7"/>
      <c r="X375" s="7"/>
      <c r="Y375" s="7"/>
      <c r="Z375" s="3" t="s">
        <v>55</v>
      </c>
      <c r="AA375" s="3" t="s">
        <v>56</v>
      </c>
      <c r="AB375" s="3" t="s">
        <v>57</v>
      </c>
      <c r="AD375" s="3">
        <v>20.100000000000001</v>
      </c>
      <c r="AE375" s="3">
        <v>20.486000000000001</v>
      </c>
      <c r="AG375" s="3">
        <v>1.44</v>
      </c>
      <c r="AH375" s="3">
        <v>51.84</v>
      </c>
      <c r="AI375" s="3">
        <v>12.96</v>
      </c>
      <c r="AJ375" s="88">
        <v>35.75</v>
      </c>
      <c r="AK375" s="3" t="s">
        <v>58</v>
      </c>
      <c r="AL375" s="9">
        <f t="shared" si="10"/>
        <v>42.9</v>
      </c>
      <c r="AN375" t="s">
        <v>5519</v>
      </c>
      <c r="AO375" s="74" t="s">
        <v>5637</v>
      </c>
    </row>
    <row r="376" spans="1:41" ht="14.25" customHeight="1" x14ac:dyDescent="0.3">
      <c r="A376" s="3" t="s">
        <v>876</v>
      </c>
      <c r="B376" s="3" t="s">
        <v>881</v>
      </c>
      <c r="C376" s="3" t="s">
        <v>878</v>
      </c>
      <c r="D376" s="4" t="s">
        <v>882</v>
      </c>
      <c r="E376" s="3" t="s">
        <v>880</v>
      </c>
      <c r="F376" s="3" t="s">
        <v>41</v>
      </c>
      <c r="G376" s="5" t="s">
        <v>42</v>
      </c>
      <c r="H376" s="5" t="s">
        <v>43</v>
      </c>
      <c r="I376" s="5" t="s">
        <v>44</v>
      </c>
      <c r="J376" s="3" t="s">
        <v>45</v>
      </c>
      <c r="K376" s="3" t="s">
        <v>106</v>
      </c>
      <c r="L376" s="3" t="s">
        <v>47</v>
      </c>
      <c r="M376" s="3" t="s">
        <v>48</v>
      </c>
      <c r="N376" s="4" t="s">
        <v>49</v>
      </c>
      <c r="O376" s="67" t="s">
        <v>49</v>
      </c>
      <c r="P376" s="3" t="s">
        <v>50</v>
      </c>
      <c r="Q376" s="3" t="s">
        <v>51</v>
      </c>
      <c r="R376" s="6">
        <v>2</v>
      </c>
      <c r="S376" s="3" t="s">
        <v>52</v>
      </c>
      <c r="T376" s="3" t="s">
        <v>53</v>
      </c>
      <c r="U376" s="3" t="s">
        <v>54</v>
      </c>
      <c r="V376" s="7"/>
      <c r="W376" s="7"/>
      <c r="X376" s="7"/>
      <c r="Y376" s="7"/>
      <c r="Z376" s="3" t="s">
        <v>55</v>
      </c>
      <c r="AA376" s="3" t="s">
        <v>56</v>
      </c>
      <c r="AB376" s="3" t="s">
        <v>57</v>
      </c>
      <c r="AD376" s="3">
        <v>20.100000000000001</v>
      </c>
      <c r="AE376" s="3">
        <v>20.486000000000001</v>
      </c>
      <c r="AG376" s="3">
        <v>1.44</v>
      </c>
      <c r="AH376" s="3">
        <v>51.84</v>
      </c>
      <c r="AI376" s="3">
        <v>12.96</v>
      </c>
      <c r="AJ376" s="88">
        <v>35.75</v>
      </c>
      <c r="AK376" s="3" t="s">
        <v>58</v>
      </c>
      <c r="AL376" s="9">
        <f t="shared" si="10"/>
        <v>42.9</v>
      </c>
      <c r="AN376" t="s">
        <v>5519</v>
      </c>
      <c r="AO376" s="74" t="s">
        <v>5637</v>
      </c>
    </row>
    <row r="377" spans="1:41" ht="14.25" customHeight="1" x14ac:dyDescent="0.3">
      <c r="A377" s="3" t="s">
        <v>876</v>
      </c>
      <c r="B377" s="3" t="s">
        <v>883</v>
      </c>
      <c r="C377" s="3" t="s">
        <v>878</v>
      </c>
      <c r="D377" s="4" t="s">
        <v>884</v>
      </c>
      <c r="E377" s="3" t="s">
        <v>880</v>
      </c>
      <c r="F377" s="3" t="s">
        <v>41</v>
      </c>
      <c r="G377" s="5" t="s">
        <v>42</v>
      </c>
      <c r="H377" s="5" t="s">
        <v>43</v>
      </c>
      <c r="I377" s="5" t="s">
        <v>44</v>
      </c>
      <c r="J377" s="3" t="s">
        <v>45</v>
      </c>
      <c r="K377" s="3" t="s">
        <v>106</v>
      </c>
      <c r="L377" s="3" t="s">
        <v>47</v>
      </c>
      <c r="M377" s="3" t="s">
        <v>48</v>
      </c>
      <c r="N377" s="4" t="s">
        <v>61</v>
      </c>
      <c r="O377" s="67" t="s">
        <v>61</v>
      </c>
      <c r="P377" s="3" t="s">
        <v>50</v>
      </c>
      <c r="Q377" s="3" t="s">
        <v>51</v>
      </c>
      <c r="R377" s="6">
        <v>2</v>
      </c>
      <c r="S377" s="3" t="s">
        <v>52</v>
      </c>
      <c r="T377" s="3" t="s">
        <v>53</v>
      </c>
      <c r="U377" s="3" t="s">
        <v>54</v>
      </c>
      <c r="V377" s="7"/>
      <c r="W377" s="7"/>
      <c r="X377" s="7"/>
      <c r="Y377" s="7"/>
      <c r="Z377" s="3" t="s">
        <v>55</v>
      </c>
      <c r="AA377" s="3" t="s">
        <v>56</v>
      </c>
      <c r="AB377" s="3" t="s">
        <v>57</v>
      </c>
      <c r="AD377" s="3">
        <v>20.100000000000001</v>
      </c>
      <c r="AE377" s="3">
        <v>20.486000000000001</v>
      </c>
      <c r="AG377" s="3">
        <v>1.44</v>
      </c>
      <c r="AH377" s="3">
        <v>51.84</v>
      </c>
      <c r="AI377" s="3">
        <v>12.96</v>
      </c>
      <c r="AJ377" s="88">
        <v>35.75</v>
      </c>
      <c r="AK377" s="3" t="s">
        <v>58</v>
      </c>
      <c r="AL377" s="9">
        <f t="shared" si="10"/>
        <v>42.9</v>
      </c>
      <c r="AN377" t="s">
        <v>5519</v>
      </c>
      <c r="AO377" s="74" t="s">
        <v>5637</v>
      </c>
    </row>
    <row r="378" spans="1:41" ht="14.25" customHeight="1" x14ac:dyDescent="0.3">
      <c r="A378" s="3" t="s">
        <v>876</v>
      </c>
      <c r="B378" s="3" t="s">
        <v>885</v>
      </c>
      <c r="C378" s="3" t="s">
        <v>878</v>
      </c>
      <c r="D378" s="4" t="s">
        <v>886</v>
      </c>
      <c r="E378" s="3" t="s">
        <v>880</v>
      </c>
      <c r="F378" s="3" t="s">
        <v>41</v>
      </c>
      <c r="G378" s="5" t="s">
        <v>42</v>
      </c>
      <c r="H378" s="5" t="s">
        <v>43</v>
      </c>
      <c r="I378" s="5" t="s">
        <v>44</v>
      </c>
      <c r="J378" s="3" t="s">
        <v>45</v>
      </c>
      <c r="K378" s="3" t="s">
        <v>106</v>
      </c>
      <c r="L378" s="3" t="s">
        <v>47</v>
      </c>
      <c r="M378" s="3" t="s">
        <v>48</v>
      </c>
      <c r="N378" s="4" t="s">
        <v>887</v>
      </c>
      <c r="O378" s="67" t="s">
        <v>61</v>
      </c>
      <c r="P378" s="3" t="s">
        <v>50</v>
      </c>
      <c r="Q378" s="3" t="s">
        <v>51</v>
      </c>
      <c r="R378" s="6">
        <v>2</v>
      </c>
      <c r="S378" s="3" t="s">
        <v>52</v>
      </c>
      <c r="T378" s="3" t="s">
        <v>53</v>
      </c>
      <c r="U378" s="3" t="s">
        <v>54</v>
      </c>
      <c r="V378" s="7"/>
      <c r="W378" s="7"/>
      <c r="X378" s="7"/>
      <c r="Y378" s="7"/>
      <c r="Z378" s="3" t="s">
        <v>55</v>
      </c>
      <c r="AA378" s="3" t="s">
        <v>56</v>
      </c>
      <c r="AB378" s="3" t="s">
        <v>57</v>
      </c>
      <c r="AD378" s="3">
        <v>20.100000000000001</v>
      </c>
      <c r="AE378" s="3">
        <v>20.486000000000001</v>
      </c>
      <c r="AG378" s="3">
        <v>1.44</v>
      </c>
      <c r="AH378" s="3">
        <v>51.84</v>
      </c>
      <c r="AI378" s="3">
        <v>12.96</v>
      </c>
      <c r="AJ378" s="88">
        <v>35.75</v>
      </c>
      <c r="AK378" s="3" t="s">
        <v>58</v>
      </c>
      <c r="AL378" s="9">
        <f t="shared" si="10"/>
        <v>42.9</v>
      </c>
      <c r="AN378" t="s">
        <v>5519</v>
      </c>
      <c r="AO378" s="74" t="s">
        <v>5637</v>
      </c>
    </row>
    <row r="379" spans="1:41" ht="14.25" customHeight="1" x14ac:dyDescent="0.3">
      <c r="A379" s="3" t="s">
        <v>876</v>
      </c>
      <c r="B379" s="3" t="s">
        <v>896</v>
      </c>
      <c r="C379" s="3" t="s">
        <v>878</v>
      </c>
      <c r="D379" s="4" t="s">
        <v>897</v>
      </c>
      <c r="E379" s="3" t="s">
        <v>880</v>
      </c>
      <c r="F379" s="3" t="s">
        <v>41</v>
      </c>
      <c r="G379" s="5" t="s">
        <v>42</v>
      </c>
      <c r="H379" s="5" t="s">
        <v>43</v>
      </c>
      <c r="I379" s="5" t="s">
        <v>44</v>
      </c>
      <c r="J379" s="3" t="s">
        <v>45</v>
      </c>
      <c r="K379" s="3" t="s">
        <v>106</v>
      </c>
      <c r="L379" s="3" t="s">
        <v>75</v>
      </c>
      <c r="M379" s="3" t="s">
        <v>48</v>
      </c>
      <c r="N379" s="4" t="s">
        <v>887</v>
      </c>
      <c r="O379" s="67" t="s">
        <v>61</v>
      </c>
      <c r="P379" s="3" t="s">
        <v>50</v>
      </c>
      <c r="Q379" s="3" t="s">
        <v>68</v>
      </c>
      <c r="R379" s="6">
        <v>2</v>
      </c>
      <c r="S379" s="3" t="s">
        <v>52</v>
      </c>
      <c r="T379" s="3" t="s">
        <v>53</v>
      </c>
      <c r="U379" s="3" t="s">
        <v>54</v>
      </c>
      <c r="V379" s="7"/>
      <c r="W379" s="7"/>
      <c r="X379" s="7"/>
      <c r="Y379" s="7"/>
      <c r="Z379" s="3" t="s">
        <v>55</v>
      </c>
      <c r="AA379" s="3" t="s">
        <v>56</v>
      </c>
      <c r="AB379" s="3" t="s">
        <v>57</v>
      </c>
      <c r="AD379" s="3">
        <v>20.885000000000002</v>
      </c>
      <c r="AE379" s="3">
        <v>21.295999999999999</v>
      </c>
      <c r="AG379" s="3">
        <v>1.62</v>
      </c>
      <c r="AH379" s="3">
        <v>48.6</v>
      </c>
      <c r="AI379" s="8">
        <v>14.17</v>
      </c>
      <c r="AJ379" s="88">
        <v>39.082999999999998</v>
      </c>
      <c r="AK379" s="3" t="s">
        <v>58</v>
      </c>
      <c r="AL379" s="9">
        <f t="shared" si="10"/>
        <v>46.8996</v>
      </c>
      <c r="AN379" t="s">
        <v>5519</v>
      </c>
      <c r="AO379" s="74" t="s">
        <v>5637</v>
      </c>
    </row>
    <row r="380" spans="1:41" ht="14.25" customHeight="1" x14ac:dyDescent="0.3">
      <c r="A380" s="3" t="s">
        <v>876</v>
      </c>
      <c r="B380" s="3" t="s">
        <v>898</v>
      </c>
      <c r="C380" s="3" t="s">
        <v>878</v>
      </c>
      <c r="D380" s="4" t="s">
        <v>899</v>
      </c>
      <c r="E380" s="3" t="s">
        <v>880</v>
      </c>
      <c r="F380" s="3" t="s">
        <v>41</v>
      </c>
      <c r="G380" s="5" t="s">
        <v>42</v>
      </c>
      <c r="H380" s="5" t="s">
        <v>43</v>
      </c>
      <c r="I380" s="5" t="s">
        <v>44</v>
      </c>
      <c r="J380" s="3" t="s">
        <v>45</v>
      </c>
      <c r="K380" s="3" t="s">
        <v>106</v>
      </c>
      <c r="L380" s="3" t="s">
        <v>75</v>
      </c>
      <c r="M380" s="3" t="s">
        <v>48</v>
      </c>
      <c r="N380" s="4" t="s">
        <v>61</v>
      </c>
      <c r="O380" s="67" t="s">
        <v>61</v>
      </c>
      <c r="P380" s="3" t="s">
        <v>50</v>
      </c>
      <c r="Q380" s="3" t="s">
        <v>68</v>
      </c>
      <c r="R380" s="6">
        <v>2</v>
      </c>
      <c r="S380" s="3" t="s">
        <v>52</v>
      </c>
      <c r="T380" s="3" t="s">
        <v>53</v>
      </c>
      <c r="U380" s="3" t="s">
        <v>54</v>
      </c>
      <c r="V380" s="7"/>
      <c r="W380" s="7"/>
      <c r="X380" s="7"/>
      <c r="Y380" s="7"/>
      <c r="Z380" s="3" t="s">
        <v>55</v>
      </c>
      <c r="AA380" s="3" t="s">
        <v>56</v>
      </c>
      <c r="AB380" s="3" t="s">
        <v>57</v>
      </c>
      <c r="AD380" s="3">
        <v>20.885000000000002</v>
      </c>
      <c r="AE380" s="3">
        <v>21.295999999999999</v>
      </c>
      <c r="AG380" s="3">
        <v>1.62</v>
      </c>
      <c r="AH380" s="3">
        <v>48.6</v>
      </c>
      <c r="AI380" s="8">
        <v>14.17</v>
      </c>
      <c r="AJ380" s="88">
        <v>39.082999999999998</v>
      </c>
      <c r="AK380" s="3" t="s">
        <v>58</v>
      </c>
      <c r="AL380" s="9">
        <f t="shared" si="10"/>
        <v>46.8996</v>
      </c>
      <c r="AN380" t="s">
        <v>5519</v>
      </c>
      <c r="AO380" s="74" t="s">
        <v>5637</v>
      </c>
    </row>
    <row r="381" spans="1:41" ht="14.25" customHeight="1" x14ac:dyDescent="0.3">
      <c r="A381" s="3" t="s">
        <v>876</v>
      </c>
      <c r="B381" s="3" t="s">
        <v>900</v>
      </c>
      <c r="C381" s="3" t="s">
        <v>878</v>
      </c>
      <c r="D381" s="4" t="s">
        <v>901</v>
      </c>
      <c r="E381" s="3" t="s">
        <v>880</v>
      </c>
      <c r="F381" s="3" t="s">
        <v>41</v>
      </c>
      <c r="G381" s="5" t="s">
        <v>42</v>
      </c>
      <c r="H381" s="5" t="s">
        <v>43</v>
      </c>
      <c r="I381" s="5" t="s">
        <v>44</v>
      </c>
      <c r="J381" s="3" t="s">
        <v>45</v>
      </c>
      <c r="K381" s="3" t="s">
        <v>106</v>
      </c>
      <c r="L381" s="3" t="s">
        <v>75</v>
      </c>
      <c r="M381" s="3" t="s">
        <v>48</v>
      </c>
      <c r="N381" s="4" t="s">
        <v>372</v>
      </c>
      <c r="O381" s="67" t="s">
        <v>586</v>
      </c>
      <c r="P381" s="3" t="s">
        <v>50</v>
      </c>
      <c r="Q381" s="3" t="s">
        <v>68</v>
      </c>
      <c r="R381" s="6">
        <v>2</v>
      </c>
      <c r="S381" s="3" t="s">
        <v>52</v>
      </c>
      <c r="T381" s="3" t="s">
        <v>53</v>
      </c>
      <c r="U381" s="3" t="s">
        <v>54</v>
      </c>
      <c r="V381" s="7"/>
      <c r="W381" s="7"/>
      <c r="X381" s="7"/>
      <c r="Y381" s="7"/>
      <c r="Z381" s="3" t="s">
        <v>55</v>
      </c>
      <c r="AA381" s="3" t="s">
        <v>56</v>
      </c>
      <c r="AB381" s="3" t="s">
        <v>57</v>
      </c>
      <c r="AD381" s="3">
        <v>20.885000000000002</v>
      </c>
      <c r="AE381" s="3">
        <v>21.295999999999999</v>
      </c>
      <c r="AG381" s="3">
        <v>1.62</v>
      </c>
      <c r="AH381" s="3">
        <v>48.6</v>
      </c>
      <c r="AI381" s="8">
        <v>14.17</v>
      </c>
      <c r="AJ381" s="88">
        <v>39.082999999999998</v>
      </c>
      <c r="AK381" s="3" t="s">
        <v>58</v>
      </c>
      <c r="AL381" s="9">
        <f t="shared" si="10"/>
        <v>46.8996</v>
      </c>
      <c r="AN381" t="s">
        <v>5519</v>
      </c>
      <c r="AO381" s="74" t="s">
        <v>5637</v>
      </c>
    </row>
    <row r="382" spans="1:41" ht="14.25" customHeight="1" x14ac:dyDescent="0.3">
      <c r="A382" s="3" t="s">
        <v>876</v>
      </c>
      <c r="B382" s="3" t="s">
        <v>902</v>
      </c>
      <c r="C382" s="3" t="s">
        <v>878</v>
      </c>
      <c r="D382" s="4" t="s">
        <v>903</v>
      </c>
      <c r="E382" s="3" t="s">
        <v>880</v>
      </c>
      <c r="F382" s="3" t="s">
        <v>41</v>
      </c>
      <c r="G382" s="5" t="s">
        <v>42</v>
      </c>
      <c r="H382" s="5" t="s">
        <v>43</v>
      </c>
      <c r="I382" s="5" t="s">
        <v>44</v>
      </c>
      <c r="J382" s="3" t="s">
        <v>45</v>
      </c>
      <c r="K382" s="3" t="s">
        <v>106</v>
      </c>
      <c r="L382" s="3" t="s">
        <v>75</v>
      </c>
      <c r="M382" s="3" t="s">
        <v>48</v>
      </c>
      <c r="N382" s="4" t="s">
        <v>49</v>
      </c>
      <c r="O382" s="67" t="s">
        <v>49</v>
      </c>
      <c r="P382" s="3" t="s">
        <v>50</v>
      </c>
      <c r="Q382" s="3" t="s">
        <v>68</v>
      </c>
      <c r="R382" s="6">
        <v>2</v>
      </c>
      <c r="S382" s="3" t="s">
        <v>52</v>
      </c>
      <c r="T382" s="3" t="s">
        <v>53</v>
      </c>
      <c r="U382" s="3" t="s">
        <v>54</v>
      </c>
      <c r="V382" s="7"/>
      <c r="W382" s="7"/>
      <c r="X382" s="7"/>
      <c r="Y382" s="7"/>
      <c r="Z382" s="3" t="s">
        <v>55</v>
      </c>
      <c r="AA382" s="3" t="s">
        <v>56</v>
      </c>
      <c r="AB382" s="3" t="s">
        <v>57</v>
      </c>
      <c r="AD382" s="3">
        <v>20.885000000000002</v>
      </c>
      <c r="AE382" s="3">
        <v>21.295999999999999</v>
      </c>
      <c r="AG382" s="3">
        <v>1.62</v>
      </c>
      <c r="AH382" s="3">
        <v>48.6</v>
      </c>
      <c r="AI382" s="8">
        <v>14.17</v>
      </c>
      <c r="AJ382" s="88">
        <v>39.082999999999998</v>
      </c>
      <c r="AK382" s="3" t="s">
        <v>58</v>
      </c>
      <c r="AL382" s="9">
        <f t="shared" si="10"/>
        <v>46.8996</v>
      </c>
      <c r="AN382" t="s">
        <v>5519</v>
      </c>
      <c r="AO382" s="74" t="s">
        <v>5637</v>
      </c>
    </row>
    <row r="383" spans="1:41" ht="14.25" customHeight="1" x14ac:dyDescent="0.3">
      <c r="A383" s="3" t="s">
        <v>1062</v>
      </c>
      <c r="B383" s="3" t="s">
        <v>1089</v>
      </c>
      <c r="C383" s="3" t="s">
        <v>1064</v>
      </c>
      <c r="D383" s="3" t="s">
        <v>1090</v>
      </c>
      <c r="E383" s="3" t="s">
        <v>1066</v>
      </c>
      <c r="F383" s="3" t="s">
        <v>41</v>
      </c>
      <c r="G383" s="5" t="s">
        <v>42</v>
      </c>
      <c r="H383" s="5" t="s">
        <v>43</v>
      </c>
      <c r="I383" s="5" t="s">
        <v>44</v>
      </c>
      <c r="J383" s="3" t="s">
        <v>45</v>
      </c>
      <c r="K383" s="3" t="s">
        <v>106</v>
      </c>
      <c r="L383" s="3" t="s">
        <v>47</v>
      </c>
      <c r="M383" s="3" t="s">
        <v>48</v>
      </c>
      <c r="N383" s="3" t="s">
        <v>1082</v>
      </c>
      <c r="O383" s="69" t="s">
        <v>586</v>
      </c>
      <c r="P383" s="3" t="s">
        <v>50</v>
      </c>
      <c r="Q383" s="3" t="s">
        <v>51</v>
      </c>
      <c r="R383" s="3">
        <v>2</v>
      </c>
      <c r="S383" s="3" t="s">
        <v>52</v>
      </c>
      <c r="T383" s="3" t="s">
        <v>53</v>
      </c>
      <c r="U383" s="3" t="s">
        <v>54</v>
      </c>
      <c r="V383" s="7"/>
      <c r="W383" s="7"/>
      <c r="X383" s="7"/>
      <c r="Y383" s="7"/>
      <c r="Z383" s="3" t="s">
        <v>55</v>
      </c>
      <c r="AA383" s="3" t="s">
        <v>88</v>
      </c>
      <c r="AB383" s="3" t="s">
        <v>57</v>
      </c>
      <c r="AD383" s="3">
        <v>14.85</v>
      </c>
      <c r="AE383" s="3">
        <v>14.85</v>
      </c>
      <c r="AG383" s="3">
        <v>1.44</v>
      </c>
      <c r="AH383" s="12">
        <v>50.4</v>
      </c>
      <c r="AI383" s="3">
        <v>21.1</v>
      </c>
      <c r="AJ383" s="88">
        <v>49.915999999999997</v>
      </c>
      <c r="AK383" s="3" t="s">
        <v>58</v>
      </c>
      <c r="AL383" s="9">
        <f t="shared" si="10"/>
        <v>59.899199999999993</v>
      </c>
      <c r="AN383" t="s">
        <v>5519</v>
      </c>
      <c r="AO383" s="74" t="s">
        <v>5632</v>
      </c>
    </row>
    <row r="384" spans="1:41" ht="14.25" customHeight="1" x14ac:dyDescent="0.3">
      <c r="A384" s="3" t="s">
        <v>1062</v>
      </c>
      <c r="B384" s="3" t="s">
        <v>1091</v>
      </c>
      <c r="C384" s="3" t="s">
        <v>1064</v>
      </c>
      <c r="D384" s="3" t="s">
        <v>1092</v>
      </c>
      <c r="E384" s="3" t="s">
        <v>1066</v>
      </c>
      <c r="F384" s="3" t="s">
        <v>41</v>
      </c>
      <c r="G384" s="5" t="s">
        <v>42</v>
      </c>
      <c r="H384" s="5" t="s">
        <v>43</v>
      </c>
      <c r="I384" s="5" t="s">
        <v>44</v>
      </c>
      <c r="J384" s="3" t="s">
        <v>45</v>
      </c>
      <c r="K384" s="3" t="s">
        <v>106</v>
      </c>
      <c r="L384" s="3" t="s">
        <v>47</v>
      </c>
      <c r="M384" s="3" t="s">
        <v>48</v>
      </c>
      <c r="N384" s="3" t="s">
        <v>1085</v>
      </c>
      <c r="O384" s="69" t="s">
        <v>61</v>
      </c>
      <c r="P384" s="3" t="s">
        <v>50</v>
      </c>
      <c r="Q384" s="3" t="s">
        <v>51</v>
      </c>
      <c r="R384" s="3">
        <v>2</v>
      </c>
      <c r="S384" s="3" t="s">
        <v>52</v>
      </c>
      <c r="T384" s="3" t="s">
        <v>53</v>
      </c>
      <c r="U384" s="3" t="s">
        <v>54</v>
      </c>
      <c r="V384" s="7"/>
      <c r="W384" s="7"/>
      <c r="X384" s="7"/>
      <c r="Y384" s="7"/>
      <c r="Z384" s="3" t="s">
        <v>55</v>
      </c>
      <c r="AA384" s="3" t="s">
        <v>88</v>
      </c>
      <c r="AB384" s="3" t="s">
        <v>57</v>
      </c>
      <c r="AD384" s="3">
        <v>14.83</v>
      </c>
      <c r="AE384" s="3">
        <v>14.83</v>
      </c>
      <c r="AG384" s="3">
        <v>1.44</v>
      </c>
      <c r="AH384" s="12">
        <v>50.4</v>
      </c>
      <c r="AI384" s="3">
        <v>21.1</v>
      </c>
      <c r="AJ384" s="88">
        <v>49.915999999999997</v>
      </c>
      <c r="AK384" s="3" t="s">
        <v>58</v>
      </c>
      <c r="AL384" s="9">
        <f t="shared" si="10"/>
        <v>59.899199999999993</v>
      </c>
      <c r="AN384" t="s">
        <v>5519</v>
      </c>
      <c r="AO384" s="74" t="s">
        <v>5632</v>
      </c>
    </row>
    <row r="385" spans="1:41" ht="14.25" customHeight="1" x14ac:dyDescent="0.3">
      <c r="A385" s="3" t="s">
        <v>1062</v>
      </c>
      <c r="B385" s="3" t="s">
        <v>1093</v>
      </c>
      <c r="C385" s="3" t="s">
        <v>1064</v>
      </c>
      <c r="D385" s="3" t="s">
        <v>1094</v>
      </c>
      <c r="E385" s="3" t="s">
        <v>1066</v>
      </c>
      <c r="F385" s="3" t="s">
        <v>41</v>
      </c>
      <c r="G385" s="5" t="s">
        <v>42</v>
      </c>
      <c r="H385" s="5" t="s">
        <v>43</v>
      </c>
      <c r="I385" s="5" t="s">
        <v>44</v>
      </c>
      <c r="J385" s="3" t="s">
        <v>45</v>
      </c>
      <c r="K385" s="3" t="s">
        <v>106</v>
      </c>
      <c r="L385" s="3" t="s">
        <v>47</v>
      </c>
      <c r="M385" s="3" t="s">
        <v>48</v>
      </c>
      <c r="N385" s="3" t="s">
        <v>1067</v>
      </c>
      <c r="O385" s="69" t="s">
        <v>586</v>
      </c>
      <c r="P385" s="3" t="s">
        <v>50</v>
      </c>
      <c r="Q385" s="3" t="s">
        <v>51</v>
      </c>
      <c r="R385" s="3">
        <v>2</v>
      </c>
      <c r="S385" s="3" t="s">
        <v>52</v>
      </c>
      <c r="T385" s="3" t="s">
        <v>53</v>
      </c>
      <c r="U385" s="3" t="s">
        <v>54</v>
      </c>
      <c r="V385" s="7"/>
      <c r="W385" s="7"/>
      <c r="X385" s="7"/>
      <c r="Y385" s="7"/>
      <c r="Z385" s="3" t="s">
        <v>55</v>
      </c>
      <c r="AA385" s="3" t="s">
        <v>88</v>
      </c>
      <c r="AB385" s="3" t="s">
        <v>57</v>
      </c>
      <c r="AD385" s="3">
        <v>14.89</v>
      </c>
      <c r="AE385" s="3">
        <v>14.89</v>
      </c>
      <c r="AG385" s="3">
        <v>1.44</v>
      </c>
      <c r="AH385" s="12">
        <v>50.4</v>
      </c>
      <c r="AI385" s="3">
        <v>21.1</v>
      </c>
      <c r="AJ385" s="88">
        <v>49.915999999999997</v>
      </c>
      <c r="AK385" s="3" t="s">
        <v>58</v>
      </c>
      <c r="AL385" s="9">
        <f t="shared" si="10"/>
        <v>59.899199999999993</v>
      </c>
      <c r="AN385" t="s">
        <v>5519</v>
      </c>
      <c r="AO385" s="74" t="s">
        <v>5632</v>
      </c>
    </row>
    <row r="386" spans="1:41" ht="14.25" customHeight="1" x14ac:dyDescent="0.3">
      <c r="A386" s="3" t="s">
        <v>1062</v>
      </c>
      <c r="B386" s="3" t="s">
        <v>1095</v>
      </c>
      <c r="C386" s="3" t="s">
        <v>1064</v>
      </c>
      <c r="D386" s="3" t="s">
        <v>1096</v>
      </c>
      <c r="E386" s="3" t="s">
        <v>1066</v>
      </c>
      <c r="F386" s="3" t="s">
        <v>41</v>
      </c>
      <c r="G386" s="5" t="s">
        <v>42</v>
      </c>
      <c r="H386" s="5" t="s">
        <v>43</v>
      </c>
      <c r="I386" s="5" t="s">
        <v>44</v>
      </c>
      <c r="J386" s="3" t="s">
        <v>45</v>
      </c>
      <c r="K386" s="3" t="s">
        <v>106</v>
      </c>
      <c r="L386" s="3" t="s">
        <v>47</v>
      </c>
      <c r="M386" s="3" t="s">
        <v>48</v>
      </c>
      <c r="N386" s="3" t="s">
        <v>1070</v>
      </c>
      <c r="O386" s="69" t="s">
        <v>580</v>
      </c>
      <c r="P386" s="3" t="s">
        <v>50</v>
      </c>
      <c r="Q386" s="3" t="s">
        <v>51</v>
      </c>
      <c r="R386" s="3">
        <v>2</v>
      </c>
      <c r="S386" s="3" t="s">
        <v>52</v>
      </c>
      <c r="T386" s="3" t="s">
        <v>53</v>
      </c>
      <c r="U386" s="3" t="s">
        <v>54</v>
      </c>
      <c r="V386" s="7"/>
      <c r="W386" s="7"/>
      <c r="X386" s="7"/>
      <c r="Y386" s="7"/>
      <c r="Z386" s="3" t="s">
        <v>55</v>
      </c>
      <c r="AA386" s="3" t="s">
        <v>88</v>
      </c>
      <c r="AB386" s="3" t="s">
        <v>57</v>
      </c>
      <c r="AD386" s="3">
        <v>14.84</v>
      </c>
      <c r="AE386" s="3">
        <v>14.84</v>
      </c>
      <c r="AG386" s="3">
        <v>1.44</v>
      </c>
      <c r="AH386" s="12">
        <v>50.4</v>
      </c>
      <c r="AI386" s="3">
        <v>21.1</v>
      </c>
      <c r="AJ386" s="88">
        <v>49.915999999999997</v>
      </c>
      <c r="AK386" s="3" t="s">
        <v>58</v>
      </c>
      <c r="AL386" s="9">
        <f t="shared" si="10"/>
        <v>59.899199999999993</v>
      </c>
      <c r="AN386" t="s">
        <v>5519</v>
      </c>
      <c r="AO386" s="74" t="s">
        <v>5632</v>
      </c>
    </row>
    <row r="387" spans="1:41" ht="14.25" customHeight="1" x14ac:dyDescent="0.3">
      <c r="A387" s="3" t="s">
        <v>1062</v>
      </c>
      <c r="B387" s="3" t="s">
        <v>1097</v>
      </c>
      <c r="C387" s="3" t="s">
        <v>1064</v>
      </c>
      <c r="D387" s="3" t="s">
        <v>1098</v>
      </c>
      <c r="E387" s="3" t="s">
        <v>1066</v>
      </c>
      <c r="F387" s="3" t="s">
        <v>41</v>
      </c>
      <c r="G387" s="5" t="s">
        <v>42</v>
      </c>
      <c r="H387" s="5" t="s">
        <v>43</v>
      </c>
      <c r="I387" s="5" t="s">
        <v>44</v>
      </c>
      <c r="J387" s="3" t="s">
        <v>45</v>
      </c>
      <c r="K387" s="3" t="s">
        <v>106</v>
      </c>
      <c r="L387" s="3" t="s">
        <v>47</v>
      </c>
      <c r="M387" s="3" t="s">
        <v>48</v>
      </c>
      <c r="N387" s="3" t="s">
        <v>1073</v>
      </c>
      <c r="O387" s="69" t="s">
        <v>580</v>
      </c>
      <c r="P387" s="3" t="s">
        <v>50</v>
      </c>
      <c r="Q387" s="3" t="s">
        <v>51</v>
      </c>
      <c r="R387" s="3">
        <v>2</v>
      </c>
      <c r="S387" s="3" t="s">
        <v>52</v>
      </c>
      <c r="T387" s="3" t="s">
        <v>53</v>
      </c>
      <c r="U387" s="3" t="s">
        <v>54</v>
      </c>
      <c r="V387" s="7"/>
      <c r="W387" s="7"/>
      <c r="X387" s="7"/>
      <c r="Y387" s="7"/>
      <c r="Z387" s="3" t="s">
        <v>55</v>
      </c>
      <c r="AA387" s="3" t="s">
        <v>88</v>
      </c>
      <c r="AB387" s="3" t="s">
        <v>57</v>
      </c>
      <c r="AD387" s="3">
        <v>15</v>
      </c>
      <c r="AE387" s="3">
        <v>15</v>
      </c>
      <c r="AG387" s="3">
        <v>1.44</v>
      </c>
      <c r="AH387" s="12">
        <v>50.4</v>
      </c>
      <c r="AI387" s="3">
        <v>21.1</v>
      </c>
      <c r="AJ387" s="88">
        <v>49.915999999999997</v>
      </c>
      <c r="AK387" s="3" t="s">
        <v>58</v>
      </c>
      <c r="AL387" s="9">
        <f t="shared" si="10"/>
        <v>59.899199999999993</v>
      </c>
      <c r="AN387" t="s">
        <v>5519</v>
      </c>
      <c r="AO387" s="74" t="s">
        <v>5632</v>
      </c>
    </row>
    <row r="388" spans="1:41" ht="14.25" customHeight="1" x14ac:dyDescent="0.3">
      <c r="A388" s="3" t="s">
        <v>1062</v>
      </c>
      <c r="B388" s="3" t="s">
        <v>1099</v>
      </c>
      <c r="C388" s="3" t="s">
        <v>1064</v>
      </c>
      <c r="D388" s="3" t="s">
        <v>1100</v>
      </c>
      <c r="E388" s="3" t="s">
        <v>1066</v>
      </c>
      <c r="F388" s="3" t="s">
        <v>41</v>
      </c>
      <c r="G388" s="5" t="s">
        <v>42</v>
      </c>
      <c r="H388" s="5" t="s">
        <v>43</v>
      </c>
      <c r="I388" s="5" t="s">
        <v>44</v>
      </c>
      <c r="J388" s="3" t="s">
        <v>45</v>
      </c>
      <c r="K388" s="3" t="s">
        <v>106</v>
      </c>
      <c r="L388" s="3" t="s">
        <v>47</v>
      </c>
      <c r="M388" s="3" t="s">
        <v>48</v>
      </c>
      <c r="N388" s="3" t="s">
        <v>1079</v>
      </c>
      <c r="O388" s="69" t="s">
        <v>580</v>
      </c>
      <c r="P388" s="3" t="s">
        <v>50</v>
      </c>
      <c r="Q388" s="3" t="s">
        <v>51</v>
      </c>
      <c r="R388" s="3">
        <v>2</v>
      </c>
      <c r="S388" s="3" t="s">
        <v>52</v>
      </c>
      <c r="T388" s="3" t="s">
        <v>53</v>
      </c>
      <c r="U388" s="3" t="s">
        <v>54</v>
      </c>
      <c r="V388" s="7"/>
      <c r="W388" s="7"/>
      <c r="X388" s="7"/>
      <c r="Y388" s="7"/>
      <c r="Z388" s="3" t="s">
        <v>55</v>
      </c>
      <c r="AA388" s="3" t="s">
        <v>88</v>
      </c>
      <c r="AB388" s="3" t="s">
        <v>57</v>
      </c>
      <c r="AD388" s="3">
        <v>15</v>
      </c>
      <c r="AE388" s="3">
        <v>15</v>
      </c>
      <c r="AG388" s="3">
        <v>1.44</v>
      </c>
      <c r="AH388" s="12">
        <v>50.4</v>
      </c>
      <c r="AI388" s="3">
        <v>21.1</v>
      </c>
      <c r="AJ388" s="88">
        <v>49.915999999999997</v>
      </c>
      <c r="AK388" s="3" t="s">
        <v>58</v>
      </c>
      <c r="AL388" s="9">
        <f t="shared" si="10"/>
        <v>59.899199999999993</v>
      </c>
      <c r="AN388" t="s">
        <v>5519</v>
      </c>
      <c r="AO388" s="74" t="s">
        <v>5632</v>
      </c>
    </row>
    <row r="389" spans="1:41" ht="14.25" customHeight="1" x14ac:dyDescent="0.3">
      <c r="A389" s="3" t="s">
        <v>1062</v>
      </c>
      <c r="B389" s="3" t="s">
        <v>1101</v>
      </c>
      <c r="C389" s="3" t="s">
        <v>1064</v>
      </c>
      <c r="D389" s="3" t="s">
        <v>1102</v>
      </c>
      <c r="E389" s="3" t="s">
        <v>1066</v>
      </c>
      <c r="F389" s="3" t="s">
        <v>41</v>
      </c>
      <c r="G389" s="5" t="s">
        <v>42</v>
      </c>
      <c r="H389" s="5" t="s">
        <v>43</v>
      </c>
      <c r="I389" s="5" t="s">
        <v>44</v>
      </c>
      <c r="J389" s="3" t="s">
        <v>45</v>
      </c>
      <c r="K389" s="3" t="s">
        <v>106</v>
      </c>
      <c r="L389" s="3" t="s">
        <v>47</v>
      </c>
      <c r="M389" s="3" t="s">
        <v>48</v>
      </c>
      <c r="N389" s="3" t="s">
        <v>1076</v>
      </c>
      <c r="O389" s="69" t="s">
        <v>580</v>
      </c>
      <c r="P389" s="3" t="s">
        <v>50</v>
      </c>
      <c r="Q389" s="3" t="s">
        <v>51</v>
      </c>
      <c r="R389" s="3">
        <v>2</v>
      </c>
      <c r="S389" s="3" t="s">
        <v>52</v>
      </c>
      <c r="T389" s="3" t="s">
        <v>53</v>
      </c>
      <c r="U389" s="3" t="s">
        <v>54</v>
      </c>
      <c r="V389" s="7"/>
      <c r="W389" s="7"/>
      <c r="X389" s="7"/>
      <c r="Y389" s="7"/>
      <c r="Z389" s="3" t="s">
        <v>55</v>
      </c>
      <c r="AA389" s="3" t="s">
        <v>88</v>
      </c>
      <c r="AB389" s="3" t="s">
        <v>57</v>
      </c>
      <c r="AD389" s="3">
        <v>14.73</v>
      </c>
      <c r="AE389" s="3">
        <v>14.73</v>
      </c>
      <c r="AG389" s="3">
        <v>1.44</v>
      </c>
      <c r="AH389" s="12">
        <v>50.4</v>
      </c>
      <c r="AI389" s="3">
        <v>21.1</v>
      </c>
      <c r="AJ389" s="88">
        <v>49.915999999999997</v>
      </c>
      <c r="AK389" s="3" t="s">
        <v>58</v>
      </c>
      <c r="AL389" s="9">
        <f t="shared" si="10"/>
        <v>59.899199999999993</v>
      </c>
      <c r="AN389" t="s">
        <v>5519</v>
      </c>
      <c r="AO389" s="74" t="s">
        <v>5632</v>
      </c>
    </row>
    <row r="390" spans="1:41" ht="14.25" customHeight="1" x14ac:dyDescent="0.3">
      <c r="A390" s="3" t="s">
        <v>1062</v>
      </c>
      <c r="B390" s="3" t="s">
        <v>1063</v>
      </c>
      <c r="C390" s="3" t="s">
        <v>1064</v>
      </c>
      <c r="D390" s="3" t="s">
        <v>1065</v>
      </c>
      <c r="E390" s="3" t="s">
        <v>1066</v>
      </c>
      <c r="F390" s="3" t="s">
        <v>41</v>
      </c>
      <c r="G390" s="5" t="s">
        <v>42</v>
      </c>
      <c r="H390" s="5" t="s">
        <v>43</v>
      </c>
      <c r="I390" s="5" t="s">
        <v>44</v>
      </c>
      <c r="J390" s="3" t="s">
        <v>45</v>
      </c>
      <c r="K390" s="3" t="s">
        <v>106</v>
      </c>
      <c r="L390" s="3" t="s">
        <v>132</v>
      </c>
      <c r="M390" s="3" t="s">
        <v>48</v>
      </c>
      <c r="N390" s="3" t="s">
        <v>1067</v>
      </c>
      <c r="O390" s="69" t="s">
        <v>586</v>
      </c>
      <c r="P390" s="3" t="s">
        <v>50</v>
      </c>
      <c r="Q390" s="3" t="s">
        <v>68</v>
      </c>
      <c r="R390" s="3">
        <v>2</v>
      </c>
      <c r="S390" s="3" t="s">
        <v>52</v>
      </c>
      <c r="T390" s="3" t="s">
        <v>53</v>
      </c>
      <c r="U390" s="3" t="s">
        <v>54</v>
      </c>
      <c r="V390" s="7"/>
      <c r="W390" s="7"/>
      <c r="X390" s="7"/>
      <c r="Y390" s="7"/>
      <c r="Z390" s="3" t="s">
        <v>55</v>
      </c>
      <c r="AA390" s="3" t="s">
        <v>88</v>
      </c>
      <c r="AB390" s="3" t="s">
        <v>57</v>
      </c>
      <c r="AD390" s="3">
        <v>29.94</v>
      </c>
      <c r="AE390" s="3">
        <v>29.94</v>
      </c>
      <c r="AG390" s="3">
        <v>2.88</v>
      </c>
      <c r="AH390" s="12">
        <v>57.6</v>
      </c>
      <c r="AI390" s="3">
        <v>28.6</v>
      </c>
      <c r="AJ390" s="88">
        <v>66.582999999999998</v>
      </c>
      <c r="AK390" s="3" t="s">
        <v>58</v>
      </c>
      <c r="AL390" s="9">
        <f t="shared" si="10"/>
        <v>79.899599999999992</v>
      </c>
      <c r="AN390" t="s">
        <v>5519</v>
      </c>
      <c r="AO390" s="74" t="s">
        <v>5632</v>
      </c>
    </row>
    <row r="391" spans="1:41" ht="14.25" customHeight="1" x14ac:dyDescent="0.3">
      <c r="A391" s="3" t="s">
        <v>1062</v>
      </c>
      <c r="B391" s="3" t="s">
        <v>1068</v>
      </c>
      <c r="C391" s="3" t="s">
        <v>1064</v>
      </c>
      <c r="D391" s="3" t="s">
        <v>1069</v>
      </c>
      <c r="E391" s="3" t="s">
        <v>1066</v>
      </c>
      <c r="F391" s="3" t="s">
        <v>41</v>
      </c>
      <c r="G391" s="5" t="s">
        <v>42</v>
      </c>
      <c r="H391" s="5" t="s">
        <v>43</v>
      </c>
      <c r="I391" s="5" t="s">
        <v>44</v>
      </c>
      <c r="J391" s="3" t="s">
        <v>45</v>
      </c>
      <c r="K391" s="3" t="s">
        <v>106</v>
      </c>
      <c r="L391" s="3" t="s">
        <v>132</v>
      </c>
      <c r="M391" s="3" t="s">
        <v>48</v>
      </c>
      <c r="N391" s="3" t="s">
        <v>1070</v>
      </c>
      <c r="O391" s="69" t="s">
        <v>580</v>
      </c>
      <c r="P391" s="3" t="s">
        <v>50</v>
      </c>
      <c r="Q391" s="3" t="s">
        <v>68</v>
      </c>
      <c r="R391" s="3">
        <v>2</v>
      </c>
      <c r="S391" s="3" t="s">
        <v>52</v>
      </c>
      <c r="T391" s="3" t="s">
        <v>53</v>
      </c>
      <c r="U391" s="3" t="s">
        <v>54</v>
      </c>
      <c r="V391" s="7"/>
      <c r="W391" s="7"/>
      <c r="X391" s="7"/>
      <c r="Y391" s="7"/>
      <c r="Z391" s="3" t="s">
        <v>55</v>
      </c>
      <c r="AA391" s="3" t="s">
        <v>88</v>
      </c>
      <c r="AB391" s="3" t="s">
        <v>57</v>
      </c>
      <c r="AD391" s="3">
        <v>30.78</v>
      </c>
      <c r="AE391" s="3">
        <v>30.78</v>
      </c>
      <c r="AG391" s="3">
        <v>2.88</v>
      </c>
      <c r="AH391" s="12">
        <v>57.6</v>
      </c>
      <c r="AI391" s="3">
        <v>28.6</v>
      </c>
      <c r="AJ391" s="88">
        <v>66.582999999999998</v>
      </c>
      <c r="AK391" s="3" t="s">
        <v>58</v>
      </c>
      <c r="AL391" s="9">
        <f t="shared" si="10"/>
        <v>79.899599999999992</v>
      </c>
      <c r="AN391" t="s">
        <v>5519</v>
      </c>
      <c r="AO391" s="74" t="s">
        <v>5632</v>
      </c>
    </row>
    <row r="392" spans="1:41" ht="14.25" customHeight="1" x14ac:dyDescent="0.3">
      <c r="A392" s="3" t="s">
        <v>1062</v>
      </c>
      <c r="B392" s="3" t="s">
        <v>1071</v>
      </c>
      <c r="C392" s="3" t="s">
        <v>1064</v>
      </c>
      <c r="D392" s="3" t="s">
        <v>1072</v>
      </c>
      <c r="E392" s="3" t="s">
        <v>1066</v>
      </c>
      <c r="F392" s="3" t="s">
        <v>41</v>
      </c>
      <c r="G392" s="5" t="s">
        <v>42</v>
      </c>
      <c r="H392" s="5" t="s">
        <v>43</v>
      </c>
      <c r="I392" s="5" t="s">
        <v>44</v>
      </c>
      <c r="J392" s="3" t="s">
        <v>45</v>
      </c>
      <c r="K392" s="3" t="s">
        <v>106</v>
      </c>
      <c r="L392" s="3" t="s">
        <v>132</v>
      </c>
      <c r="M392" s="3" t="s">
        <v>48</v>
      </c>
      <c r="N392" s="3" t="s">
        <v>1073</v>
      </c>
      <c r="O392" s="69" t="s">
        <v>580</v>
      </c>
      <c r="P392" s="3" t="s">
        <v>50</v>
      </c>
      <c r="Q392" s="3" t="s">
        <v>68</v>
      </c>
      <c r="R392" s="3">
        <v>2</v>
      </c>
      <c r="S392" s="3" t="s">
        <v>52</v>
      </c>
      <c r="T392" s="3" t="s">
        <v>53</v>
      </c>
      <c r="U392" s="3" t="s">
        <v>54</v>
      </c>
      <c r="V392" s="7"/>
      <c r="W392" s="7"/>
      <c r="X392" s="7"/>
      <c r="Y392" s="7"/>
      <c r="Z392" s="3" t="s">
        <v>55</v>
      </c>
      <c r="AA392" s="3" t="s">
        <v>88</v>
      </c>
      <c r="AB392" s="3" t="s">
        <v>57</v>
      </c>
      <c r="AD392" s="3">
        <v>30.34</v>
      </c>
      <c r="AE392" s="3">
        <v>30.34</v>
      </c>
      <c r="AG392" s="3">
        <v>2.88</v>
      </c>
      <c r="AH392" s="12">
        <v>57.6</v>
      </c>
      <c r="AI392" s="3">
        <v>28.6</v>
      </c>
      <c r="AJ392" s="88">
        <v>66.582999999999998</v>
      </c>
      <c r="AK392" s="3" t="s">
        <v>58</v>
      </c>
      <c r="AL392" s="9">
        <f t="shared" si="10"/>
        <v>79.899599999999992</v>
      </c>
      <c r="AN392" t="s">
        <v>5519</v>
      </c>
      <c r="AO392" s="74" t="s">
        <v>5632</v>
      </c>
    </row>
    <row r="393" spans="1:41" ht="14.25" customHeight="1" x14ac:dyDescent="0.3">
      <c r="A393" s="3" t="s">
        <v>1062</v>
      </c>
      <c r="B393" s="3" t="s">
        <v>1074</v>
      </c>
      <c r="C393" s="3" t="s">
        <v>1064</v>
      </c>
      <c r="D393" s="3" t="s">
        <v>1075</v>
      </c>
      <c r="E393" s="3" t="s">
        <v>1066</v>
      </c>
      <c r="F393" s="3" t="s">
        <v>41</v>
      </c>
      <c r="G393" s="5" t="s">
        <v>42</v>
      </c>
      <c r="H393" s="5" t="s">
        <v>43</v>
      </c>
      <c r="I393" s="5" t="s">
        <v>44</v>
      </c>
      <c r="J393" s="3" t="s">
        <v>45</v>
      </c>
      <c r="K393" s="3" t="s">
        <v>106</v>
      </c>
      <c r="L393" s="3" t="s">
        <v>132</v>
      </c>
      <c r="M393" s="3" t="s">
        <v>48</v>
      </c>
      <c r="N393" s="3" t="s">
        <v>1076</v>
      </c>
      <c r="O393" s="69" t="s">
        <v>580</v>
      </c>
      <c r="P393" s="3" t="s">
        <v>50</v>
      </c>
      <c r="Q393" s="3" t="s">
        <v>68</v>
      </c>
      <c r="R393" s="3">
        <v>2</v>
      </c>
      <c r="S393" s="3" t="s">
        <v>52</v>
      </c>
      <c r="T393" s="3" t="s">
        <v>53</v>
      </c>
      <c r="U393" s="3" t="s">
        <v>54</v>
      </c>
      <c r="V393" s="7"/>
      <c r="W393" s="7"/>
      <c r="X393" s="7"/>
      <c r="Y393" s="7"/>
      <c r="Z393" s="3" t="s">
        <v>55</v>
      </c>
      <c r="AA393" s="3" t="s">
        <v>88</v>
      </c>
      <c r="AB393" s="3" t="s">
        <v>57</v>
      </c>
      <c r="AD393" s="3">
        <v>30.29</v>
      </c>
      <c r="AE393" s="3">
        <v>30.29</v>
      </c>
      <c r="AG393" s="3">
        <v>2.88</v>
      </c>
      <c r="AH393" s="12">
        <v>57.6</v>
      </c>
      <c r="AI393" s="3">
        <v>28.6</v>
      </c>
      <c r="AJ393" s="88">
        <v>66.582999999999998</v>
      </c>
      <c r="AK393" s="3" t="s">
        <v>58</v>
      </c>
      <c r="AL393" s="9">
        <f t="shared" si="10"/>
        <v>79.899599999999992</v>
      </c>
      <c r="AN393" t="s">
        <v>5519</v>
      </c>
      <c r="AO393" s="74" t="s">
        <v>5632</v>
      </c>
    </row>
    <row r="394" spans="1:41" ht="14.25" customHeight="1" x14ac:dyDescent="0.3">
      <c r="A394" s="3" t="s">
        <v>1062</v>
      </c>
      <c r="B394" s="3" t="s">
        <v>1077</v>
      </c>
      <c r="C394" s="3" t="s">
        <v>1064</v>
      </c>
      <c r="D394" s="3" t="s">
        <v>1078</v>
      </c>
      <c r="E394" s="3" t="s">
        <v>1066</v>
      </c>
      <c r="F394" s="3" t="s">
        <v>41</v>
      </c>
      <c r="G394" s="5" t="s">
        <v>42</v>
      </c>
      <c r="H394" s="5" t="s">
        <v>43</v>
      </c>
      <c r="I394" s="5" t="s">
        <v>44</v>
      </c>
      <c r="J394" s="3" t="s">
        <v>45</v>
      </c>
      <c r="K394" s="3" t="s">
        <v>106</v>
      </c>
      <c r="L394" s="3" t="s">
        <v>132</v>
      </c>
      <c r="M394" s="3" t="s">
        <v>48</v>
      </c>
      <c r="N394" s="3" t="s">
        <v>1079</v>
      </c>
      <c r="O394" s="69" t="s">
        <v>580</v>
      </c>
      <c r="P394" s="3" t="s">
        <v>50</v>
      </c>
      <c r="Q394" s="3" t="s">
        <v>68</v>
      </c>
      <c r="R394" s="3">
        <v>2</v>
      </c>
      <c r="S394" s="3" t="s">
        <v>52</v>
      </c>
      <c r="T394" s="3" t="s">
        <v>53</v>
      </c>
      <c r="U394" s="3" t="s">
        <v>54</v>
      </c>
      <c r="V394" s="7"/>
      <c r="W394" s="7"/>
      <c r="X394" s="7"/>
      <c r="Y394" s="7"/>
      <c r="Z394" s="3" t="s">
        <v>55</v>
      </c>
      <c r="AA394" s="3" t="s">
        <v>88</v>
      </c>
      <c r="AB394" s="3" t="s">
        <v>57</v>
      </c>
      <c r="AD394" s="3">
        <v>31.19</v>
      </c>
      <c r="AE394" s="3">
        <v>31.19</v>
      </c>
      <c r="AG394" s="3">
        <v>2.88</v>
      </c>
      <c r="AH394" s="12">
        <v>57.6</v>
      </c>
      <c r="AI394" s="3">
        <v>28.6</v>
      </c>
      <c r="AJ394" s="88">
        <v>66.582999999999998</v>
      </c>
      <c r="AK394" s="3" t="s">
        <v>58</v>
      </c>
      <c r="AL394" s="9">
        <f t="shared" si="10"/>
        <v>79.899599999999992</v>
      </c>
      <c r="AN394" t="s">
        <v>5519</v>
      </c>
      <c r="AO394" s="74" t="s">
        <v>5632</v>
      </c>
    </row>
    <row r="395" spans="1:41" ht="14.25" customHeight="1" x14ac:dyDescent="0.3">
      <c r="A395" s="3" t="s">
        <v>1062</v>
      </c>
      <c r="B395" s="3" t="s">
        <v>1080</v>
      </c>
      <c r="C395" s="3" t="s">
        <v>1064</v>
      </c>
      <c r="D395" s="3" t="s">
        <v>1081</v>
      </c>
      <c r="E395" s="3" t="s">
        <v>1066</v>
      </c>
      <c r="F395" s="3" t="s">
        <v>41</v>
      </c>
      <c r="G395" s="5" t="s">
        <v>42</v>
      </c>
      <c r="H395" s="5" t="s">
        <v>43</v>
      </c>
      <c r="I395" s="5" t="s">
        <v>44</v>
      </c>
      <c r="J395" s="3" t="s">
        <v>45</v>
      </c>
      <c r="K395" s="3" t="s">
        <v>106</v>
      </c>
      <c r="L395" s="3" t="s">
        <v>132</v>
      </c>
      <c r="M395" s="3" t="s">
        <v>48</v>
      </c>
      <c r="N395" s="3" t="s">
        <v>1082</v>
      </c>
      <c r="O395" s="69" t="s">
        <v>586</v>
      </c>
      <c r="P395" s="3" t="s">
        <v>50</v>
      </c>
      <c r="Q395" s="3" t="s">
        <v>68</v>
      </c>
      <c r="R395" s="3">
        <v>2</v>
      </c>
      <c r="S395" s="3" t="s">
        <v>52</v>
      </c>
      <c r="T395" s="3" t="s">
        <v>53</v>
      </c>
      <c r="U395" s="3" t="s">
        <v>54</v>
      </c>
      <c r="V395" s="7"/>
      <c r="W395" s="7"/>
      <c r="X395" s="7"/>
      <c r="Y395" s="7"/>
      <c r="Z395" s="3" t="s">
        <v>55</v>
      </c>
      <c r="AA395" s="3" t="s">
        <v>88</v>
      </c>
      <c r="AB395" s="3" t="s">
        <v>57</v>
      </c>
      <c r="AD395" s="3">
        <v>31.07</v>
      </c>
      <c r="AE395" s="3">
        <v>31.07</v>
      </c>
      <c r="AG395" s="3">
        <v>2.88</v>
      </c>
      <c r="AH395" s="12">
        <v>57.6</v>
      </c>
      <c r="AI395" s="3">
        <v>28.6</v>
      </c>
      <c r="AJ395" s="88">
        <v>66.582999999999998</v>
      </c>
      <c r="AK395" s="3" t="s">
        <v>58</v>
      </c>
      <c r="AL395" s="9">
        <f t="shared" si="10"/>
        <v>79.899599999999992</v>
      </c>
      <c r="AN395" t="s">
        <v>5519</v>
      </c>
      <c r="AO395" s="74" t="s">
        <v>5632</v>
      </c>
    </row>
    <row r="396" spans="1:41" ht="14.25" customHeight="1" x14ac:dyDescent="0.3">
      <c r="A396" s="3" t="s">
        <v>1062</v>
      </c>
      <c r="B396" s="3" t="s">
        <v>1083</v>
      </c>
      <c r="C396" s="3" t="s">
        <v>1064</v>
      </c>
      <c r="D396" s="3" t="s">
        <v>1084</v>
      </c>
      <c r="E396" s="3" t="s">
        <v>1066</v>
      </c>
      <c r="F396" s="3" t="s">
        <v>41</v>
      </c>
      <c r="G396" s="5" t="s">
        <v>42</v>
      </c>
      <c r="H396" s="5" t="s">
        <v>43</v>
      </c>
      <c r="I396" s="5" t="s">
        <v>44</v>
      </c>
      <c r="J396" s="3" t="s">
        <v>45</v>
      </c>
      <c r="K396" s="3" t="s">
        <v>106</v>
      </c>
      <c r="L396" s="3" t="s">
        <v>132</v>
      </c>
      <c r="M396" s="3" t="s">
        <v>48</v>
      </c>
      <c r="N396" s="3" t="s">
        <v>1085</v>
      </c>
      <c r="O396" s="69" t="s">
        <v>61</v>
      </c>
      <c r="P396" s="3" t="s">
        <v>50</v>
      </c>
      <c r="Q396" s="3" t="s">
        <v>68</v>
      </c>
      <c r="R396" s="3">
        <v>2</v>
      </c>
      <c r="S396" s="3" t="s">
        <v>52</v>
      </c>
      <c r="T396" s="3" t="s">
        <v>53</v>
      </c>
      <c r="U396" s="3" t="s">
        <v>54</v>
      </c>
      <c r="V396" s="7"/>
      <c r="W396" s="7"/>
      <c r="X396" s="7"/>
      <c r="Y396" s="7"/>
      <c r="Z396" s="3" t="s">
        <v>55</v>
      </c>
      <c r="AA396" s="3" t="s">
        <v>88</v>
      </c>
      <c r="AB396" s="3" t="s">
        <v>57</v>
      </c>
      <c r="AD396" s="3">
        <v>30.78</v>
      </c>
      <c r="AE396" s="3">
        <v>30.78</v>
      </c>
      <c r="AG396" s="3">
        <v>2.88</v>
      </c>
      <c r="AH396" s="12">
        <v>57.6</v>
      </c>
      <c r="AI396" s="3">
        <v>28.6</v>
      </c>
      <c r="AJ396" s="88">
        <v>66.582999999999998</v>
      </c>
      <c r="AK396" s="3" t="s">
        <v>58</v>
      </c>
      <c r="AL396" s="9">
        <f t="shared" si="10"/>
        <v>79.899599999999992</v>
      </c>
      <c r="AN396" t="s">
        <v>5519</v>
      </c>
      <c r="AO396" s="74" t="s">
        <v>5632</v>
      </c>
    </row>
    <row r="397" spans="1:41" ht="14.25" customHeight="1" x14ac:dyDescent="0.3">
      <c r="A397" s="3" t="s">
        <v>1062</v>
      </c>
      <c r="B397" s="3" t="s">
        <v>1086</v>
      </c>
      <c r="C397" s="3" t="s">
        <v>1064</v>
      </c>
      <c r="D397" s="3" t="s">
        <v>1087</v>
      </c>
      <c r="E397" s="3" t="s">
        <v>1066</v>
      </c>
      <c r="F397" s="3" t="s">
        <v>41</v>
      </c>
      <c r="G397" s="5" t="s">
        <v>42</v>
      </c>
      <c r="H397" s="5" t="s">
        <v>43</v>
      </c>
      <c r="I397" s="5" t="s">
        <v>44</v>
      </c>
      <c r="J397" s="3" t="s">
        <v>45</v>
      </c>
      <c r="K397" s="3" t="s">
        <v>106</v>
      </c>
      <c r="L397" s="3" t="s">
        <v>132</v>
      </c>
      <c r="M397" s="3" t="s">
        <v>48</v>
      </c>
      <c r="N397" s="3" t="s">
        <v>1088</v>
      </c>
      <c r="O397" s="69" t="s">
        <v>328</v>
      </c>
      <c r="P397" s="3" t="s">
        <v>50</v>
      </c>
      <c r="Q397" s="3" t="s">
        <v>68</v>
      </c>
      <c r="R397" s="3">
        <v>2</v>
      </c>
      <c r="S397" s="3" t="s">
        <v>52</v>
      </c>
      <c r="T397" s="3" t="s">
        <v>53</v>
      </c>
      <c r="U397" s="3" t="s">
        <v>54</v>
      </c>
      <c r="V397" s="7"/>
      <c r="W397" s="7"/>
      <c r="X397" s="7"/>
      <c r="Y397" s="7"/>
      <c r="Z397" s="3" t="s">
        <v>55</v>
      </c>
      <c r="AA397" s="3" t="s">
        <v>88</v>
      </c>
      <c r="AB397" s="3" t="s">
        <v>57</v>
      </c>
      <c r="AD397" s="3">
        <v>30.81</v>
      </c>
      <c r="AE397" s="3">
        <v>30.81</v>
      </c>
      <c r="AG397" s="3">
        <v>2.88</v>
      </c>
      <c r="AH397" s="12">
        <v>57.6</v>
      </c>
      <c r="AI397" s="3">
        <v>28.6</v>
      </c>
      <c r="AJ397" s="88">
        <v>66.582999999999998</v>
      </c>
      <c r="AK397" s="3" t="s">
        <v>58</v>
      </c>
      <c r="AL397" s="9">
        <f t="shared" si="10"/>
        <v>79.899599999999992</v>
      </c>
      <c r="AN397" t="s">
        <v>5519</v>
      </c>
      <c r="AO397" s="74" t="s">
        <v>5632</v>
      </c>
    </row>
    <row r="398" spans="1:41" ht="14.25" customHeight="1" x14ac:dyDescent="0.3">
      <c r="A398" s="37" t="s">
        <v>1719</v>
      </c>
      <c r="B398" s="37" t="s">
        <v>5058</v>
      </c>
      <c r="C398" s="37" t="s">
        <v>5052</v>
      </c>
      <c r="D398" s="37" t="s">
        <v>5046</v>
      </c>
      <c r="E398" s="39" t="s">
        <v>5064</v>
      </c>
      <c r="F398" s="37" t="s">
        <v>41</v>
      </c>
      <c r="G398" s="44" t="s">
        <v>42</v>
      </c>
      <c r="H398" s="44" t="s">
        <v>43</v>
      </c>
      <c r="I398" s="44" t="s">
        <v>44</v>
      </c>
      <c r="J398" s="37" t="s">
        <v>45</v>
      </c>
      <c r="K398" s="37" t="s">
        <v>146</v>
      </c>
      <c r="L398" s="37" t="s">
        <v>67</v>
      </c>
      <c r="M398" s="37" t="s">
        <v>48</v>
      </c>
      <c r="N398" s="37" t="s">
        <v>5065</v>
      </c>
      <c r="O398" s="73" t="s">
        <v>49</v>
      </c>
      <c r="P398" s="37" t="s">
        <v>147</v>
      </c>
      <c r="Q398" s="37" t="s">
        <v>68</v>
      </c>
      <c r="R398" s="37">
        <v>4</v>
      </c>
      <c r="S398" s="37" t="s">
        <v>52</v>
      </c>
      <c r="T398" s="37" t="s">
        <v>53</v>
      </c>
      <c r="U398" s="37" t="s">
        <v>5522</v>
      </c>
      <c r="V398" s="45"/>
      <c r="W398" s="45"/>
      <c r="X398" s="45"/>
      <c r="Y398" s="45"/>
      <c r="Z398" s="37" t="s">
        <v>55</v>
      </c>
      <c r="AA398" s="37" t="s">
        <v>56</v>
      </c>
      <c r="AB398" s="37" t="s">
        <v>57</v>
      </c>
      <c r="AC398" s="37"/>
      <c r="AD398" s="37">
        <v>31.5</v>
      </c>
      <c r="AE398" s="37">
        <v>31.5</v>
      </c>
      <c r="AF398" s="37">
        <v>945</v>
      </c>
      <c r="AG398" s="37">
        <v>1.44</v>
      </c>
      <c r="AH398" s="37">
        <v>43.2</v>
      </c>
      <c r="AI398" s="37">
        <v>14.8</v>
      </c>
      <c r="AJ398" s="90">
        <v>41.582999999999998</v>
      </c>
      <c r="AK398" s="37" t="s">
        <v>58</v>
      </c>
      <c r="AL398" s="3">
        <v>49.9</v>
      </c>
      <c r="AM398" s="37"/>
      <c r="AN398" t="s">
        <v>5519</v>
      </c>
      <c r="AO398" s="74" t="s">
        <v>5640</v>
      </c>
    </row>
    <row r="399" spans="1:41" ht="14.25" customHeight="1" x14ac:dyDescent="0.3">
      <c r="A399" s="37" t="s">
        <v>1719</v>
      </c>
      <c r="B399" s="37" t="s">
        <v>5059</v>
      </c>
      <c r="C399" s="37" t="s">
        <v>5052</v>
      </c>
      <c r="D399" s="37" t="s">
        <v>5047</v>
      </c>
      <c r="E399" s="39" t="s">
        <v>5064</v>
      </c>
      <c r="F399" s="37" t="s">
        <v>41</v>
      </c>
      <c r="G399" s="44" t="s">
        <v>42</v>
      </c>
      <c r="H399" s="44" t="s">
        <v>43</v>
      </c>
      <c r="I399" s="44" t="s">
        <v>44</v>
      </c>
      <c r="J399" s="37" t="s">
        <v>45</v>
      </c>
      <c r="K399" s="37" t="s">
        <v>146</v>
      </c>
      <c r="L399" s="37" t="s">
        <v>67</v>
      </c>
      <c r="M399" s="37" t="s">
        <v>48</v>
      </c>
      <c r="N399" s="37" t="s">
        <v>5066</v>
      </c>
      <c r="O399" s="73" t="s">
        <v>586</v>
      </c>
      <c r="P399" s="37" t="s">
        <v>147</v>
      </c>
      <c r="Q399" s="37" t="s">
        <v>68</v>
      </c>
      <c r="R399" s="37">
        <v>4</v>
      </c>
      <c r="S399" s="37" t="s">
        <v>52</v>
      </c>
      <c r="T399" s="37" t="s">
        <v>53</v>
      </c>
      <c r="U399" s="37" t="s">
        <v>5522</v>
      </c>
      <c r="V399" s="45"/>
      <c r="W399" s="45"/>
      <c r="X399" s="45"/>
      <c r="Y399" s="45"/>
      <c r="Z399" s="37" t="s">
        <v>55</v>
      </c>
      <c r="AA399" s="37" t="s">
        <v>56</v>
      </c>
      <c r="AB399" s="37" t="s">
        <v>57</v>
      </c>
      <c r="AC399" s="37"/>
      <c r="AD399" s="37">
        <v>31.5</v>
      </c>
      <c r="AE399" s="37">
        <v>31.5</v>
      </c>
      <c r="AF399" s="37">
        <v>945</v>
      </c>
      <c r="AG399" s="37">
        <v>1.44</v>
      </c>
      <c r="AH399" s="37">
        <v>43.2</v>
      </c>
      <c r="AI399" s="37">
        <v>14.8</v>
      </c>
      <c r="AJ399" s="90">
        <v>41.582999999999998</v>
      </c>
      <c r="AK399" s="37" t="s">
        <v>58</v>
      </c>
      <c r="AL399" s="3">
        <v>49.9</v>
      </c>
      <c r="AM399" s="37"/>
      <c r="AN399" t="s">
        <v>5519</v>
      </c>
      <c r="AO399" s="74" t="s">
        <v>5640</v>
      </c>
    </row>
    <row r="400" spans="1:41" ht="14.25" customHeight="1" x14ac:dyDescent="0.3">
      <c r="A400" s="37" t="s">
        <v>1719</v>
      </c>
      <c r="B400" s="37" t="s">
        <v>5060</v>
      </c>
      <c r="C400" s="37" t="s">
        <v>5052</v>
      </c>
      <c r="D400" s="37" t="s">
        <v>5048</v>
      </c>
      <c r="E400" s="39" t="s">
        <v>5064</v>
      </c>
      <c r="F400" s="37" t="s">
        <v>41</v>
      </c>
      <c r="G400" s="44" t="s">
        <v>42</v>
      </c>
      <c r="H400" s="44" t="s">
        <v>43</v>
      </c>
      <c r="I400" s="44" t="s">
        <v>44</v>
      </c>
      <c r="J400" s="37" t="s">
        <v>45</v>
      </c>
      <c r="K400" s="37" t="s">
        <v>146</v>
      </c>
      <c r="L400" s="37" t="s">
        <v>67</v>
      </c>
      <c r="M400" s="37" t="s">
        <v>48</v>
      </c>
      <c r="N400" s="37" t="s">
        <v>5067</v>
      </c>
      <c r="O400" s="73" t="s">
        <v>61</v>
      </c>
      <c r="P400" s="37" t="s">
        <v>147</v>
      </c>
      <c r="Q400" s="37" t="s">
        <v>68</v>
      </c>
      <c r="R400" s="37">
        <v>4</v>
      </c>
      <c r="S400" s="37" t="s">
        <v>52</v>
      </c>
      <c r="T400" s="37" t="s">
        <v>53</v>
      </c>
      <c r="U400" s="37" t="s">
        <v>5522</v>
      </c>
      <c r="V400" s="45"/>
      <c r="W400" s="45"/>
      <c r="X400" s="45"/>
      <c r="Y400" s="45"/>
      <c r="Z400" s="37" t="s">
        <v>55</v>
      </c>
      <c r="AA400" s="37" t="s">
        <v>56</v>
      </c>
      <c r="AB400" s="37" t="s">
        <v>57</v>
      </c>
      <c r="AC400" s="37"/>
      <c r="AD400" s="37">
        <v>31.5</v>
      </c>
      <c r="AE400" s="37">
        <v>31.5</v>
      </c>
      <c r="AF400" s="37">
        <v>945</v>
      </c>
      <c r="AG400" s="37">
        <v>1.44</v>
      </c>
      <c r="AH400" s="37">
        <v>43.2</v>
      </c>
      <c r="AI400" s="37">
        <v>14.8</v>
      </c>
      <c r="AJ400" s="90">
        <v>41.582999999999998</v>
      </c>
      <c r="AK400" s="37" t="s">
        <v>58</v>
      </c>
      <c r="AL400" s="3">
        <v>49.9</v>
      </c>
      <c r="AM400" s="37"/>
      <c r="AN400" t="s">
        <v>5519</v>
      </c>
      <c r="AO400" s="74" t="s">
        <v>5640</v>
      </c>
    </row>
    <row r="401" spans="1:41" ht="14.25" customHeight="1" x14ac:dyDescent="0.3">
      <c r="A401" s="37" t="s">
        <v>1719</v>
      </c>
      <c r="B401" s="37" t="s">
        <v>5061</v>
      </c>
      <c r="C401" s="37" t="s">
        <v>5052</v>
      </c>
      <c r="D401" s="37" t="s">
        <v>5049</v>
      </c>
      <c r="E401" s="39" t="s">
        <v>5064</v>
      </c>
      <c r="F401" s="37" t="s">
        <v>41</v>
      </c>
      <c r="G401" s="44" t="s">
        <v>42</v>
      </c>
      <c r="H401" s="44" t="s">
        <v>43</v>
      </c>
      <c r="I401" s="44" t="s">
        <v>44</v>
      </c>
      <c r="J401" s="37" t="s">
        <v>45</v>
      </c>
      <c r="K401" s="37" t="s">
        <v>146</v>
      </c>
      <c r="L401" s="37" t="s">
        <v>47</v>
      </c>
      <c r="M401" s="37" t="s">
        <v>48</v>
      </c>
      <c r="N401" s="37" t="s">
        <v>5065</v>
      </c>
      <c r="O401" s="73" t="s">
        <v>49</v>
      </c>
      <c r="P401" s="37" t="s">
        <v>147</v>
      </c>
      <c r="Q401" s="37" t="s">
        <v>51</v>
      </c>
      <c r="R401" s="37">
        <v>2</v>
      </c>
      <c r="S401" s="37" t="s">
        <v>52</v>
      </c>
      <c r="T401" s="37" t="s">
        <v>53</v>
      </c>
      <c r="U401" s="37" t="s">
        <v>5522</v>
      </c>
      <c r="V401" s="45"/>
      <c r="W401" s="45"/>
      <c r="X401" s="45"/>
      <c r="Y401" s="45"/>
      <c r="Z401" s="37" t="s">
        <v>55</v>
      </c>
      <c r="AA401" s="37" t="s">
        <v>56</v>
      </c>
      <c r="AB401" s="37" t="s">
        <v>57</v>
      </c>
      <c r="AC401" s="37"/>
      <c r="AD401" s="37">
        <v>34.25</v>
      </c>
      <c r="AE401" s="37">
        <v>34.25</v>
      </c>
      <c r="AF401" s="37">
        <v>1096</v>
      </c>
      <c r="AG401" s="37">
        <v>1.44</v>
      </c>
      <c r="AH401" s="37">
        <v>46.08</v>
      </c>
      <c r="AI401" s="37">
        <v>16.25</v>
      </c>
      <c r="AJ401" s="90">
        <v>47.415999999999997</v>
      </c>
      <c r="AK401" s="37" t="s">
        <v>58</v>
      </c>
      <c r="AL401" s="3">
        <v>56.9</v>
      </c>
      <c r="AM401" s="37"/>
      <c r="AN401" t="s">
        <v>5519</v>
      </c>
      <c r="AO401" s="74" t="s">
        <v>5640</v>
      </c>
    </row>
    <row r="402" spans="1:41" ht="14.25" customHeight="1" x14ac:dyDescent="0.3">
      <c r="A402" s="37" t="s">
        <v>1719</v>
      </c>
      <c r="B402" s="37" t="s">
        <v>5062</v>
      </c>
      <c r="C402" s="37" t="s">
        <v>5052</v>
      </c>
      <c r="D402" s="37" t="s">
        <v>5050</v>
      </c>
      <c r="E402" s="39" t="s">
        <v>5064</v>
      </c>
      <c r="F402" s="37" t="s">
        <v>41</v>
      </c>
      <c r="G402" s="44" t="s">
        <v>42</v>
      </c>
      <c r="H402" s="44" t="s">
        <v>43</v>
      </c>
      <c r="I402" s="44" t="s">
        <v>44</v>
      </c>
      <c r="J402" s="37" t="s">
        <v>45</v>
      </c>
      <c r="K402" s="37" t="s">
        <v>146</v>
      </c>
      <c r="L402" s="37" t="s">
        <v>47</v>
      </c>
      <c r="M402" s="37" t="s">
        <v>48</v>
      </c>
      <c r="N402" s="37" t="s">
        <v>5066</v>
      </c>
      <c r="O402" s="73" t="s">
        <v>586</v>
      </c>
      <c r="P402" s="37" t="s">
        <v>147</v>
      </c>
      <c r="Q402" s="37" t="s">
        <v>51</v>
      </c>
      <c r="R402" s="37">
        <v>2</v>
      </c>
      <c r="S402" s="37" t="s">
        <v>52</v>
      </c>
      <c r="T402" s="37" t="s">
        <v>53</v>
      </c>
      <c r="U402" s="37" t="s">
        <v>5522</v>
      </c>
      <c r="V402" s="45"/>
      <c r="W402" s="45"/>
      <c r="X402" s="45"/>
      <c r="Y402" s="45"/>
      <c r="Z402" s="37" t="s">
        <v>55</v>
      </c>
      <c r="AA402" s="37" t="s">
        <v>56</v>
      </c>
      <c r="AB402" s="37" t="s">
        <v>57</v>
      </c>
      <c r="AC402" s="37"/>
      <c r="AD402" s="37">
        <v>34.25</v>
      </c>
      <c r="AE402" s="37">
        <v>34.25</v>
      </c>
      <c r="AF402" s="37">
        <v>1096</v>
      </c>
      <c r="AG402" s="37">
        <v>1.44</v>
      </c>
      <c r="AH402" s="37">
        <v>46.08</v>
      </c>
      <c r="AI402" s="37">
        <v>16.25</v>
      </c>
      <c r="AJ402" s="90">
        <v>47.415999999999997</v>
      </c>
      <c r="AK402" s="37" t="s">
        <v>58</v>
      </c>
      <c r="AL402" s="3">
        <v>56.9</v>
      </c>
      <c r="AM402" s="37"/>
      <c r="AN402" t="s">
        <v>5519</v>
      </c>
      <c r="AO402" s="74" t="s">
        <v>5640</v>
      </c>
    </row>
    <row r="403" spans="1:41" ht="14.25" customHeight="1" x14ac:dyDescent="0.3">
      <c r="A403" s="37" t="s">
        <v>1719</v>
      </c>
      <c r="B403" s="37" t="s">
        <v>5063</v>
      </c>
      <c r="C403" s="37" t="s">
        <v>5052</v>
      </c>
      <c r="D403" s="37" t="s">
        <v>5051</v>
      </c>
      <c r="E403" s="39" t="s">
        <v>5064</v>
      </c>
      <c r="F403" s="37" t="s">
        <v>41</v>
      </c>
      <c r="G403" s="44" t="s">
        <v>42</v>
      </c>
      <c r="H403" s="44" t="s">
        <v>43</v>
      </c>
      <c r="I403" s="44" t="s">
        <v>44</v>
      </c>
      <c r="J403" s="37" t="s">
        <v>45</v>
      </c>
      <c r="K403" s="37" t="s">
        <v>146</v>
      </c>
      <c r="L403" s="37" t="s">
        <v>47</v>
      </c>
      <c r="M403" s="37" t="s">
        <v>48</v>
      </c>
      <c r="N403" s="37" t="s">
        <v>5067</v>
      </c>
      <c r="O403" s="73" t="s">
        <v>61</v>
      </c>
      <c r="P403" s="37" t="s">
        <v>147</v>
      </c>
      <c r="Q403" s="37" t="s">
        <v>51</v>
      </c>
      <c r="R403" s="37">
        <v>2</v>
      </c>
      <c r="S403" s="37" t="s">
        <v>52</v>
      </c>
      <c r="T403" s="37" t="s">
        <v>53</v>
      </c>
      <c r="U403" s="37" t="s">
        <v>5522</v>
      </c>
      <c r="V403" s="45"/>
      <c r="W403" s="45"/>
      <c r="X403" s="45"/>
      <c r="Y403" s="45"/>
      <c r="Z403" s="37" t="s">
        <v>55</v>
      </c>
      <c r="AA403" s="37" t="s">
        <v>56</v>
      </c>
      <c r="AB403" s="37" t="s">
        <v>57</v>
      </c>
      <c r="AC403" s="37"/>
      <c r="AD403" s="37">
        <v>34.25</v>
      </c>
      <c r="AE403" s="37">
        <v>34.25</v>
      </c>
      <c r="AF403" s="37">
        <v>1096</v>
      </c>
      <c r="AG403" s="37">
        <v>1.44</v>
      </c>
      <c r="AH403" s="37">
        <v>46.08</v>
      </c>
      <c r="AI403" s="37">
        <v>16.25</v>
      </c>
      <c r="AJ403" s="90">
        <v>47.415999999999997</v>
      </c>
      <c r="AK403" s="37" t="s">
        <v>58</v>
      </c>
      <c r="AL403" s="3">
        <v>56.9</v>
      </c>
      <c r="AM403" s="37"/>
      <c r="AN403" t="s">
        <v>5519</v>
      </c>
      <c r="AO403" s="74" t="s">
        <v>5640</v>
      </c>
    </row>
    <row r="404" spans="1:41" ht="14.25" customHeight="1" x14ac:dyDescent="0.3">
      <c r="A404" s="37" t="s">
        <v>1719</v>
      </c>
      <c r="B404" s="37" t="s">
        <v>4396</v>
      </c>
      <c r="C404" s="37" t="s">
        <v>5052</v>
      </c>
      <c r="D404" s="37" t="s">
        <v>5040</v>
      </c>
      <c r="E404" s="39" t="s">
        <v>5064</v>
      </c>
      <c r="F404" s="37" t="s">
        <v>41</v>
      </c>
      <c r="G404" s="44" t="s">
        <v>42</v>
      </c>
      <c r="H404" s="44" t="s">
        <v>43</v>
      </c>
      <c r="I404" s="44" t="s">
        <v>44</v>
      </c>
      <c r="J404" s="37" t="s">
        <v>45</v>
      </c>
      <c r="K404" s="37" t="s">
        <v>146</v>
      </c>
      <c r="L404" s="37" t="s">
        <v>75</v>
      </c>
      <c r="M404" s="37" t="s">
        <v>48</v>
      </c>
      <c r="N404" s="37" t="s">
        <v>5065</v>
      </c>
      <c r="O404" s="73" t="s">
        <v>49</v>
      </c>
      <c r="P404" s="37" t="s">
        <v>147</v>
      </c>
      <c r="Q404" s="37" t="s">
        <v>68</v>
      </c>
      <c r="R404" s="37">
        <v>2</v>
      </c>
      <c r="S404" s="37" t="s">
        <v>52</v>
      </c>
      <c r="T404" s="37" t="s">
        <v>53</v>
      </c>
      <c r="U404" s="37" t="s">
        <v>5522</v>
      </c>
      <c r="V404" s="45"/>
      <c r="W404" s="45"/>
      <c r="X404" s="45"/>
      <c r="Y404" s="45"/>
      <c r="Z404" s="37" t="s">
        <v>55</v>
      </c>
      <c r="AA404" s="37" t="s">
        <v>56</v>
      </c>
      <c r="AB404" s="37" t="s">
        <v>57</v>
      </c>
      <c r="AC404" s="37"/>
      <c r="AD404" s="37">
        <v>33</v>
      </c>
      <c r="AE404" s="37">
        <v>33</v>
      </c>
      <c r="AF404" s="37">
        <v>1056</v>
      </c>
      <c r="AG404" s="37">
        <v>1.62</v>
      </c>
      <c r="AH404" s="37">
        <v>51.84</v>
      </c>
      <c r="AI404" s="37">
        <v>16.649999999999999</v>
      </c>
      <c r="AJ404" s="91">
        <f>59.9/1.2</f>
        <v>49.916666666666664</v>
      </c>
      <c r="AK404" s="37" t="s">
        <v>58</v>
      </c>
      <c r="AL404" s="3">
        <v>59.9</v>
      </c>
      <c r="AM404" s="37"/>
      <c r="AN404" t="s">
        <v>5519</v>
      </c>
      <c r="AO404" s="74" t="s">
        <v>5640</v>
      </c>
    </row>
    <row r="405" spans="1:41" ht="14.25" customHeight="1" x14ac:dyDescent="0.3">
      <c r="A405" s="37" t="s">
        <v>1719</v>
      </c>
      <c r="B405" s="37" t="s">
        <v>5053</v>
      </c>
      <c r="C405" s="37" t="s">
        <v>5052</v>
      </c>
      <c r="D405" s="37" t="s">
        <v>5041</v>
      </c>
      <c r="E405" s="39" t="s">
        <v>5064</v>
      </c>
      <c r="F405" s="37" t="s">
        <v>41</v>
      </c>
      <c r="G405" s="44" t="s">
        <v>42</v>
      </c>
      <c r="H405" s="44" t="s">
        <v>43</v>
      </c>
      <c r="I405" s="44" t="s">
        <v>44</v>
      </c>
      <c r="J405" s="37" t="s">
        <v>45</v>
      </c>
      <c r="K405" s="37" t="s">
        <v>146</v>
      </c>
      <c r="L405" s="37" t="s">
        <v>75</v>
      </c>
      <c r="M405" s="37" t="s">
        <v>48</v>
      </c>
      <c r="N405" s="37" t="s">
        <v>5066</v>
      </c>
      <c r="O405" s="73" t="s">
        <v>586</v>
      </c>
      <c r="P405" s="37" t="s">
        <v>147</v>
      </c>
      <c r="Q405" s="37" t="s">
        <v>68</v>
      </c>
      <c r="R405" s="37">
        <v>2</v>
      </c>
      <c r="S405" s="37" t="s">
        <v>52</v>
      </c>
      <c r="T405" s="37" t="s">
        <v>53</v>
      </c>
      <c r="U405" s="37" t="s">
        <v>5522</v>
      </c>
      <c r="V405" s="45"/>
      <c r="W405" s="45"/>
      <c r="X405" s="45"/>
      <c r="Y405" s="45"/>
      <c r="Z405" s="37" t="s">
        <v>55</v>
      </c>
      <c r="AA405" s="37" t="s">
        <v>56</v>
      </c>
      <c r="AB405" s="37" t="s">
        <v>57</v>
      </c>
      <c r="AC405" s="37"/>
      <c r="AD405" s="37">
        <v>33</v>
      </c>
      <c r="AE405" s="37">
        <v>33</v>
      </c>
      <c r="AF405" s="37">
        <v>1056</v>
      </c>
      <c r="AG405" s="37">
        <v>1.62</v>
      </c>
      <c r="AH405" s="37">
        <v>51.84</v>
      </c>
      <c r="AI405" s="37">
        <v>16.649999999999999</v>
      </c>
      <c r="AJ405" s="91">
        <f>59.9/1.2</f>
        <v>49.916666666666664</v>
      </c>
      <c r="AK405" s="37" t="s">
        <v>58</v>
      </c>
      <c r="AL405" s="3">
        <v>59.9</v>
      </c>
      <c r="AM405" s="37"/>
      <c r="AN405" t="s">
        <v>5519</v>
      </c>
      <c r="AO405" s="74" t="s">
        <v>5640</v>
      </c>
    </row>
    <row r="406" spans="1:41" ht="14.25" customHeight="1" x14ac:dyDescent="0.3">
      <c r="A406" s="37" t="s">
        <v>1719</v>
      </c>
      <c r="B406" s="37" t="s">
        <v>5054</v>
      </c>
      <c r="C406" s="37" t="s">
        <v>5052</v>
      </c>
      <c r="D406" s="37" t="s">
        <v>5042</v>
      </c>
      <c r="E406" s="39" t="s">
        <v>5064</v>
      </c>
      <c r="F406" s="37" t="s">
        <v>41</v>
      </c>
      <c r="G406" s="44" t="s">
        <v>42</v>
      </c>
      <c r="H406" s="44" t="s">
        <v>43</v>
      </c>
      <c r="I406" s="44" t="s">
        <v>44</v>
      </c>
      <c r="J406" s="37" t="s">
        <v>45</v>
      </c>
      <c r="K406" s="37" t="s">
        <v>146</v>
      </c>
      <c r="L406" s="37" t="s">
        <v>75</v>
      </c>
      <c r="M406" s="37" t="s">
        <v>48</v>
      </c>
      <c r="N406" s="37" t="s">
        <v>5067</v>
      </c>
      <c r="O406" s="73" t="s">
        <v>61</v>
      </c>
      <c r="P406" s="37" t="s">
        <v>147</v>
      </c>
      <c r="Q406" s="37" t="s">
        <v>68</v>
      </c>
      <c r="R406" s="37">
        <v>2</v>
      </c>
      <c r="S406" s="37" t="s">
        <v>52</v>
      </c>
      <c r="T406" s="37" t="s">
        <v>53</v>
      </c>
      <c r="U406" s="37" t="s">
        <v>5522</v>
      </c>
      <c r="V406" s="45"/>
      <c r="W406" s="45"/>
      <c r="X406" s="45"/>
      <c r="Y406" s="45"/>
      <c r="Z406" s="37" t="s">
        <v>55</v>
      </c>
      <c r="AA406" s="37" t="s">
        <v>56</v>
      </c>
      <c r="AB406" s="37" t="s">
        <v>57</v>
      </c>
      <c r="AC406" s="37"/>
      <c r="AD406" s="37">
        <v>33</v>
      </c>
      <c r="AE406" s="37">
        <v>33</v>
      </c>
      <c r="AF406" s="37">
        <v>1056</v>
      </c>
      <c r="AG406" s="37">
        <v>1.62</v>
      </c>
      <c r="AH406" s="37">
        <v>51.84</v>
      </c>
      <c r="AI406" s="37">
        <v>16.649999999999999</v>
      </c>
      <c r="AJ406" s="91">
        <f>59.9/1.2</f>
        <v>49.916666666666664</v>
      </c>
      <c r="AK406" s="37" t="s">
        <v>58</v>
      </c>
      <c r="AL406" s="3">
        <v>59.9</v>
      </c>
      <c r="AM406" s="37"/>
      <c r="AN406" t="s">
        <v>5519</v>
      </c>
      <c r="AO406" s="74" t="s">
        <v>5640</v>
      </c>
    </row>
    <row r="407" spans="1:41" ht="14.25" customHeight="1" x14ac:dyDescent="0.3">
      <c r="A407" s="37" t="s">
        <v>1719</v>
      </c>
      <c r="B407" s="37" t="s">
        <v>5055</v>
      </c>
      <c r="C407" s="37" t="s">
        <v>5052</v>
      </c>
      <c r="D407" s="37" t="s">
        <v>5043</v>
      </c>
      <c r="E407" s="39" t="s">
        <v>5064</v>
      </c>
      <c r="F407" s="37" t="s">
        <v>41</v>
      </c>
      <c r="G407" s="44" t="s">
        <v>42</v>
      </c>
      <c r="H407" s="44" t="s">
        <v>43</v>
      </c>
      <c r="I407" s="44" t="s">
        <v>44</v>
      </c>
      <c r="J407" s="37" t="s">
        <v>45</v>
      </c>
      <c r="K407" s="37" t="s">
        <v>146</v>
      </c>
      <c r="L407" s="37" t="s">
        <v>132</v>
      </c>
      <c r="M407" s="37" t="s">
        <v>48</v>
      </c>
      <c r="N407" s="37" t="s">
        <v>5065</v>
      </c>
      <c r="O407" s="73" t="s">
        <v>49</v>
      </c>
      <c r="P407" s="37" t="s">
        <v>147</v>
      </c>
      <c r="Q407" s="37" t="s">
        <v>68</v>
      </c>
      <c r="R407" s="37">
        <v>1</v>
      </c>
      <c r="S407" s="37" t="s">
        <v>52</v>
      </c>
      <c r="T407" s="37" t="s">
        <v>53</v>
      </c>
      <c r="U407" s="37" t="s">
        <v>5522</v>
      </c>
      <c r="V407" s="45"/>
      <c r="W407" s="45"/>
      <c r="X407" s="45"/>
      <c r="Y407" s="45"/>
      <c r="Z407" s="37" t="s">
        <v>55</v>
      </c>
      <c r="AA407" s="37" t="s">
        <v>56</v>
      </c>
      <c r="AB407" s="37" t="s">
        <v>57</v>
      </c>
      <c r="AC407" s="37"/>
      <c r="AD407" s="37">
        <v>35</v>
      </c>
      <c r="AE407" s="37">
        <v>35</v>
      </c>
      <c r="AF407" s="37">
        <v>1260</v>
      </c>
      <c r="AG407" s="37">
        <v>1.44</v>
      </c>
      <c r="AH407" s="37">
        <v>51.84</v>
      </c>
      <c r="AI407" s="37">
        <v>21.25</v>
      </c>
      <c r="AJ407" s="90">
        <v>58.25</v>
      </c>
      <c r="AK407" s="37" t="s">
        <v>58</v>
      </c>
      <c r="AL407" s="3">
        <v>69.900000000000006</v>
      </c>
      <c r="AM407" s="37"/>
      <c r="AN407" t="s">
        <v>5519</v>
      </c>
      <c r="AO407" s="74" t="s">
        <v>5640</v>
      </c>
    </row>
    <row r="408" spans="1:41" ht="14.25" customHeight="1" x14ac:dyDescent="0.3">
      <c r="A408" s="37" t="s">
        <v>1719</v>
      </c>
      <c r="B408" s="37" t="s">
        <v>5056</v>
      </c>
      <c r="C408" s="37" t="s">
        <v>5052</v>
      </c>
      <c r="D408" s="37" t="s">
        <v>5044</v>
      </c>
      <c r="E408" s="39" t="s">
        <v>5064</v>
      </c>
      <c r="F408" s="37" t="s">
        <v>41</v>
      </c>
      <c r="G408" s="44" t="s">
        <v>42</v>
      </c>
      <c r="H408" s="44" t="s">
        <v>43</v>
      </c>
      <c r="I408" s="44" t="s">
        <v>44</v>
      </c>
      <c r="J408" s="37" t="s">
        <v>45</v>
      </c>
      <c r="K408" s="37" t="s">
        <v>146</v>
      </c>
      <c r="L408" s="37" t="s">
        <v>132</v>
      </c>
      <c r="M408" s="37" t="s">
        <v>48</v>
      </c>
      <c r="N408" s="37" t="s">
        <v>5066</v>
      </c>
      <c r="O408" s="73" t="s">
        <v>586</v>
      </c>
      <c r="P408" s="37" t="s">
        <v>147</v>
      </c>
      <c r="Q408" s="37" t="s">
        <v>68</v>
      </c>
      <c r="R408" s="37">
        <v>1</v>
      </c>
      <c r="S408" s="37" t="s">
        <v>52</v>
      </c>
      <c r="T408" s="37" t="s">
        <v>53</v>
      </c>
      <c r="U408" s="37" t="s">
        <v>5522</v>
      </c>
      <c r="V408" s="45"/>
      <c r="W408" s="45"/>
      <c r="X408" s="45"/>
      <c r="Y408" s="45"/>
      <c r="Z408" s="37" t="s">
        <v>55</v>
      </c>
      <c r="AA408" s="37" t="s">
        <v>56</v>
      </c>
      <c r="AB408" s="37" t="s">
        <v>57</v>
      </c>
      <c r="AC408" s="37"/>
      <c r="AD408" s="37">
        <v>35</v>
      </c>
      <c r="AE408" s="37">
        <v>35</v>
      </c>
      <c r="AF408" s="37">
        <v>1260</v>
      </c>
      <c r="AG408" s="37">
        <v>1.44</v>
      </c>
      <c r="AH408" s="37">
        <v>51.84</v>
      </c>
      <c r="AI408" s="37">
        <v>21.25</v>
      </c>
      <c r="AJ408" s="90">
        <v>58.25</v>
      </c>
      <c r="AK408" s="37" t="s">
        <v>58</v>
      </c>
      <c r="AL408" s="3">
        <v>69.900000000000006</v>
      </c>
      <c r="AM408" s="37"/>
      <c r="AN408" t="s">
        <v>5519</v>
      </c>
      <c r="AO408" s="74" t="s">
        <v>5640</v>
      </c>
    </row>
    <row r="409" spans="1:41" ht="14.25" customHeight="1" x14ac:dyDescent="0.3">
      <c r="A409" s="37" t="s">
        <v>1719</v>
      </c>
      <c r="B409" s="37" t="s">
        <v>5057</v>
      </c>
      <c r="C409" s="37" t="s">
        <v>5052</v>
      </c>
      <c r="D409" s="37" t="s">
        <v>5045</v>
      </c>
      <c r="E409" s="39" t="s">
        <v>5064</v>
      </c>
      <c r="F409" s="37" t="s">
        <v>41</v>
      </c>
      <c r="G409" s="44" t="s">
        <v>42</v>
      </c>
      <c r="H409" s="44" t="s">
        <v>43</v>
      </c>
      <c r="I409" s="44" t="s">
        <v>44</v>
      </c>
      <c r="J409" s="37" t="s">
        <v>45</v>
      </c>
      <c r="K409" s="37" t="s">
        <v>146</v>
      </c>
      <c r="L409" s="37" t="s">
        <v>132</v>
      </c>
      <c r="M409" s="37" t="s">
        <v>48</v>
      </c>
      <c r="N409" s="37" t="s">
        <v>5067</v>
      </c>
      <c r="O409" s="73" t="s">
        <v>61</v>
      </c>
      <c r="P409" s="37" t="s">
        <v>147</v>
      </c>
      <c r="Q409" s="37" t="s">
        <v>68</v>
      </c>
      <c r="R409" s="37">
        <v>1</v>
      </c>
      <c r="S409" s="37" t="s">
        <v>52</v>
      </c>
      <c r="T409" s="37" t="s">
        <v>53</v>
      </c>
      <c r="U409" s="37" t="s">
        <v>5522</v>
      </c>
      <c r="V409" s="45"/>
      <c r="W409" s="45"/>
      <c r="X409" s="45"/>
      <c r="Y409" s="45"/>
      <c r="Z409" s="37" t="s">
        <v>55</v>
      </c>
      <c r="AA409" s="37" t="s">
        <v>56</v>
      </c>
      <c r="AB409" s="37" t="s">
        <v>57</v>
      </c>
      <c r="AC409" s="37"/>
      <c r="AD409" s="37">
        <v>35</v>
      </c>
      <c r="AE409" s="37">
        <v>35</v>
      </c>
      <c r="AF409" s="37">
        <v>1260</v>
      </c>
      <c r="AG409" s="37">
        <v>1.44</v>
      </c>
      <c r="AH409" s="37">
        <v>51.84</v>
      </c>
      <c r="AI409" s="37">
        <v>21.25</v>
      </c>
      <c r="AJ409" s="90">
        <v>58.25</v>
      </c>
      <c r="AK409" s="37" t="s">
        <v>58</v>
      </c>
      <c r="AL409" s="3">
        <v>69.900000000000006</v>
      </c>
      <c r="AM409" s="37"/>
      <c r="AN409" t="s">
        <v>5519</v>
      </c>
      <c r="AO409" s="74" t="s">
        <v>5640</v>
      </c>
    </row>
    <row r="410" spans="1:41" ht="14.25" customHeight="1" x14ac:dyDescent="0.3">
      <c r="A410" s="3" t="s">
        <v>904</v>
      </c>
      <c r="B410" s="3" t="s">
        <v>910</v>
      </c>
      <c r="C410" s="3" t="s">
        <v>906</v>
      </c>
      <c r="D410" s="3" t="s">
        <v>911</v>
      </c>
      <c r="E410" s="3" t="s">
        <v>908</v>
      </c>
      <c r="F410" s="3" t="s">
        <v>41</v>
      </c>
      <c r="G410" s="5" t="s">
        <v>42</v>
      </c>
      <c r="H410" s="5" t="s">
        <v>43</v>
      </c>
      <c r="I410" s="5" t="s">
        <v>44</v>
      </c>
      <c r="J410" s="3" t="s">
        <v>45</v>
      </c>
      <c r="K410" s="3" t="s">
        <v>480</v>
      </c>
      <c r="L410" s="3" t="s">
        <v>242</v>
      </c>
      <c r="M410" s="3" t="s">
        <v>48</v>
      </c>
      <c r="N410" s="4" t="s">
        <v>586</v>
      </c>
      <c r="O410" s="67" t="s">
        <v>586</v>
      </c>
      <c r="P410" s="3" t="s">
        <v>50</v>
      </c>
      <c r="Q410" s="3" t="s">
        <v>68</v>
      </c>
      <c r="R410" s="3">
        <v>2</v>
      </c>
      <c r="S410" s="3" t="s">
        <v>52</v>
      </c>
      <c r="T410" s="3" t="s">
        <v>53</v>
      </c>
      <c r="U410" s="3" t="s">
        <v>54</v>
      </c>
      <c r="V410" s="7"/>
      <c r="W410" s="7"/>
      <c r="X410" s="7"/>
      <c r="Y410" s="7"/>
      <c r="Z410" s="3" t="s">
        <v>909</v>
      </c>
      <c r="AA410" s="3" t="s">
        <v>56</v>
      </c>
      <c r="AB410" s="3" t="s">
        <v>57</v>
      </c>
      <c r="AD410" s="3">
        <v>29.401</v>
      </c>
      <c r="AE410" s="3">
        <v>29.401</v>
      </c>
      <c r="AG410" s="3">
        <v>1.28</v>
      </c>
      <c r="AI410" s="3">
        <v>22.43</v>
      </c>
      <c r="AJ410" s="89">
        <f>59.9/1.2</f>
        <v>49.916666666666664</v>
      </c>
      <c r="AK410" s="3" t="s">
        <v>58</v>
      </c>
      <c r="AL410" s="3">
        <f>AJ410*1.2</f>
        <v>59.899999999999991</v>
      </c>
      <c r="AN410" t="s">
        <v>5519</v>
      </c>
      <c r="AO410" s="74" t="s">
        <v>5628</v>
      </c>
    </row>
    <row r="411" spans="1:41" ht="14.25" customHeight="1" x14ac:dyDescent="0.3">
      <c r="A411" s="3" t="s">
        <v>904</v>
      </c>
      <c r="B411" s="3" t="s">
        <v>912</v>
      </c>
      <c r="C411" s="3" t="s">
        <v>906</v>
      </c>
      <c r="D411" s="3" t="s">
        <v>913</v>
      </c>
      <c r="E411" s="3" t="s">
        <v>908</v>
      </c>
      <c r="F411" s="3" t="s">
        <v>41</v>
      </c>
      <c r="G411" s="5" t="s">
        <v>42</v>
      </c>
      <c r="H411" s="5" t="s">
        <v>43</v>
      </c>
      <c r="I411" s="5" t="s">
        <v>44</v>
      </c>
      <c r="J411" s="3" t="s">
        <v>45</v>
      </c>
      <c r="K411" s="3" t="s">
        <v>480</v>
      </c>
      <c r="L411" s="3" t="s">
        <v>67</v>
      </c>
      <c r="M411" s="3" t="s">
        <v>48</v>
      </c>
      <c r="N411" s="4" t="s">
        <v>586</v>
      </c>
      <c r="O411" s="67" t="s">
        <v>586</v>
      </c>
      <c r="P411" s="3" t="s">
        <v>50</v>
      </c>
      <c r="Q411" s="3" t="s">
        <v>68</v>
      </c>
      <c r="R411" s="3">
        <v>3</v>
      </c>
      <c r="S411" s="3" t="s">
        <v>52</v>
      </c>
      <c r="T411" s="3" t="s">
        <v>53</v>
      </c>
      <c r="U411" s="3" t="s">
        <v>54</v>
      </c>
      <c r="V411" s="7"/>
      <c r="W411" s="7"/>
      <c r="X411" s="7"/>
      <c r="Y411" s="7"/>
      <c r="Z411" s="3" t="s">
        <v>909</v>
      </c>
      <c r="AA411" s="3" t="s">
        <v>56</v>
      </c>
      <c r="AB411" s="3" t="s">
        <v>57</v>
      </c>
      <c r="AD411" s="3">
        <v>24.945</v>
      </c>
      <c r="AE411" s="3">
        <v>24.945</v>
      </c>
      <c r="AG411" s="3">
        <v>1.08</v>
      </c>
      <c r="AI411" s="3">
        <v>22.43</v>
      </c>
      <c r="AJ411" s="89">
        <f>59.9/1.2</f>
        <v>49.916666666666664</v>
      </c>
      <c r="AK411" s="3" t="s">
        <v>58</v>
      </c>
      <c r="AL411" s="3">
        <f>AJ411*1.2</f>
        <v>59.899999999999991</v>
      </c>
      <c r="AN411" t="s">
        <v>5519</v>
      </c>
      <c r="AO411" s="74" t="s">
        <v>5628</v>
      </c>
    </row>
    <row r="412" spans="1:41" ht="14.25" customHeight="1" x14ac:dyDescent="0.3">
      <c r="A412" s="3" t="s">
        <v>904</v>
      </c>
      <c r="B412" s="3" t="s">
        <v>905</v>
      </c>
      <c r="C412" s="3" t="s">
        <v>906</v>
      </c>
      <c r="D412" s="3" t="s">
        <v>907</v>
      </c>
      <c r="E412" s="3" t="s">
        <v>908</v>
      </c>
      <c r="F412" s="3" t="s">
        <v>41</v>
      </c>
      <c r="G412" s="5" t="s">
        <v>42</v>
      </c>
      <c r="H412" s="5" t="s">
        <v>43</v>
      </c>
      <c r="I412" s="5" t="s">
        <v>44</v>
      </c>
      <c r="J412" s="3" t="s">
        <v>45</v>
      </c>
      <c r="K412" s="3" t="s">
        <v>480</v>
      </c>
      <c r="L412" s="3" t="s">
        <v>132</v>
      </c>
      <c r="M412" s="3" t="s">
        <v>48</v>
      </c>
      <c r="N412" s="4" t="s">
        <v>586</v>
      </c>
      <c r="O412" s="67" t="s">
        <v>586</v>
      </c>
      <c r="P412" s="3" t="s">
        <v>50</v>
      </c>
      <c r="Q412" s="3" t="s">
        <v>68</v>
      </c>
      <c r="R412" s="3">
        <v>1</v>
      </c>
      <c r="S412" s="3" t="s">
        <v>52</v>
      </c>
      <c r="T412" s="3" t="s">
        <v>53</v>
      </c>
      <c r="U412" s="3" t="s">
        <v>54</v>
      </c>
      <c r="V412" s="7"/>
      <c r="W412" s="7"/>
      <c r="X412" s="7"/>
      <c r="Y412" s="7"/>
      <c r="Z412" s="3" t="s">
        <v>909</v>
      </c>
      <c r="AA412" s="3" t="s">
        <v>56</v>
      </c>
      <c r="AB412" s="3" t="s">
        <v>57</v>
      </c>
      <c r="AD412" s="9">
        <v>36.125</v>
      </c>
      <c r="AE412" s="9">
        <v>36.125</v>
      </c>
      <c r="AG412" s="3">
        <v>1.44</v>
      </c>
      <c r="AI412" s="3">
        <v>28.54</v>
      </c>
      <c r="AJ412" s="89">
        <f>79.9/1.2</f>
        <v>66.583333333333343</v>
      </c>
      <c r="AK412" s="3" t="s">
        <v>58</v>
      </c>
      <c r="AL412" s="3">
        <f>AJ412*1.2</f>
        <v>79.900000000000006</v>
      </c>
      <c r="AN412" t="s">
        <v>5519</v>
      </c>
      <c r="AO412" s="74" t="s">
        <v>5628</v>
      </c>
    </row>
    <row r="413" spans="1:41" ht="14.25" customHeight="1" x14ac:dyDescent="0.3">
      <c r="A413" s="3" t="s">
        <v>1246</v>
      </c>
      <c r="B413" s="3" t="s">
        <v>1252</v>
      </c>
      <c r="C413" s="3" t="s">
        <v>1248</v>
      </c>
      <c r="D413" s="3" t="s">
        <v>1253</v>
      </c>
      <c r="E413" s="3" t="s">
        <v>1250</v>
      </c>
      <c r="F413" s="3" t="s">
        <v>41</v>
      </c>
      <c r="G413" s="5" t="s">
        <v>42</v>
      </c>
      <c r="H413" s="5" t="s">
        <v>43</v>
      </c>
      <c r="I413" s="5" t="s">
        <v>44</v>
      </c>
      <c r="J413" s="3" t="s">
        <v>45</v>
      </c>
      <c r="K413" s="3" t="s">
        <v>480</v>
      </c>
      <c r="L413" s="3" t="s">
        <v>47</v>
      </c>
      <c r="M413" s="3" t="s">
        <v>48</v>
      </c>
      <c r="N413" s="4" t="s">
        <v>586</v>
      </c>
      <c r="O413" s="67" t="s">
        <v>586</v>
      </c>
      <c r="P413" s="3" t="s">
        <v>50</v>
      </c>
      <c r="Q413" s="3" t="s">
        <v>51</v>
      </c>
      <c r="R413" s="3">
        <v>1</v>
      </c>
      <c r="S413" s="3" t="s">
        <v>52</v>
      </c>
      <c r="T413" s="3" t="s">
        <v>53</v>
      </c>
      <c r="U413" s="3" t="s">
        <v>54</v>
      </c>
      <c r="V413" s="7"/>
      <c r="W413" s="7"/>
      <c r="X413" s="7"/>
      <c r="Y413" s="7"/>
      <c r="Z413" s="3" t="s">
        <v>909</v>
      </c>
      <c r="AA413" s="3" t="s">
        <v>56</v>
      </c>
      <c r="AB413" s="3" t="s">
        <v>57</v>
      </c>
      <c r="AD413" s="3">
        <v>33.700000000000003</v>
      </c>
      <c r="AE413" s="3">
        <v>33.700000000000003</v>
      </c>
      <c r="AF413" s="3">
        <v>1179.5</v>
      </c>
      <c r="AG413" s="3">
        <v>0.72</v>
      </c>
      <c r="AH413" s="3">
        <v>25.2</v>
      </c>
      <c r="AI413" s="3">
        <v>21.86</v>
      </c>
      <c r="AJ413" s="89">
        <f>59.9/1.2</f>
        <v>49.916666666666664</v>
      </c>
      <c r="AK413" s="3" t="s">
        <v>58</v>
      </c>
      <c r="AL413" s="3">
        <f>AJ413*1.2</f>
        <v>59.899999999999991</v>
      </c>
      <c r="AN413" t="s">
        <v>5519</v>
      </c>
      <c r="AO413" s="74" t="s">
        <v>5628</v>
      </c>
    </row>
    <row r="414" spans="1:41" ht="14.25" customHeight="1" x14ac:dyDescent="0.3">
      <c r="A414" s="3" t="s">
        <v>1246</v>
      </c>
      <c r="B414" s="3" t="s">
        <v>1247</v>
      </c>
      <c r="C414" s="3" t="s">
        <v>1248</v>
      </c>
      <c r="D414" s="3" t="s">
        <v>1249</v>
      </c>
      <c r="E414" s="3" t="s">
        <v>1250</v>
      </c>
      <c r="F414" s="3" t="s">
        <v>41</v>
      </c>
      <c r="G414" s="5" t="s">
        <v>42</v>
      </c>
      <c r="H414" s="5" t="s">
        <v>43</v>
      </c>
      <c r="I414" s="5" t="s">
        <v>44</v>
      </c>
      <c r="J414" s="3" t="s">
        <v>45</v>
      </c>
      <c r="K414" s="3" t="s">
        <v>480</v>
      </c>
      <c r="L414" s="3" t="s">
        <v>1251</v>
      </c>
      <c r="M414" s="3" t="s">
        <v>48</v>
      </c>
      <c r="N414" s="4" t="s">
        <v>586</v>
      </c>
      <c r="O414" s="67" t="s">
        <v>586</v>
      </c>
      <c r="P414" s="3" t="s">
        <v>50</v>
      </c>
      <c r="Q414" s="3" t="s">
        <v>51</v>
      </c>
      <c r="R414" s="3">
        <v>1</v>
      </c>
      <c r="S414" s="3" t="s">
        <v>52</v>
      </c>
      <c r="T414" s="3" t="s">
        <v>53</v>
      </c>
      <c r="U414" s="3" t="s">
        <v>54</v>
      </c>
      <c r="V414" s="7"/>
      <c r="W414" s="7"/>
      <c r="X414" s="7"/>
      <c r="Y414" s="7"/>
      <c r="Z414" s="3" t="s">
        <v>909</v>
      </c>
      <c r="AA414" s="3" t="s">
        <v>56</v>
      </c>
      <c r="AB414" s="3" t="s">
        <v>57</v>
      </c>
      <c r="AD414" s="3">
        <v>36.119999999999997</v>
      </c>
      <c r="AE414" s="9">
        <v>36.119999999999997</v>
      </c>
      <c r="AF414" s="3">
        <v>1372.75</v>
      </c>
      <c r="AG414" s="3">
        <v>1.44</v>
      </c>
      <c r="AH414" s="3">
        <v>54.72</v>
      </c>
      <c r="AI414" s="3">
        <v>31.1</v>
      </c>
      <c r="AJ414" s="89">
        <f>89.9/1.2</f>
        <v>74.916666666666671</v>
      </c>
      <c r="AK414" s="3" t="s">
        <v>58</v>
      </c>
      <c r="AN414" t="s">
        <v>5519</v>
      </c>
      <c r="AO414" s="74" t="s">
        <v>5628</v>
      </c>
    </row>
    <row r="415" spans="1:41" ht="14.25" customHeight="1" x14ac:dyDescent="0.3">
      <c r="A415" s="3" t="s">
        <v>475</v>
      </c>
      <c r="B415" s="3" t="s">
        <v>530</v>
      </c>
      <c r="C415" s="3" t="s">
        <v>477</v>
      </c>
      <c r="D415" s="3" t="s">
        <v>531</v>
      </c>
      <c r="E415" s="3" t="s">
        <v>479</v>
      </c>
      <c r="F415" s="3" t="s">
        <v>41</v>
      </c>
      <c r="G415" s="5" t="s">
        <v>42</v>
      </c>
      <c r="H415" s="5" t="s">
        <v>43</v>
      </c>
      <c r="I415" s="5" t="s">
        <v>44</v>
      </c>
      <c r="J415" s="3" t="s">
        <v>45</v>
      </c>
      <c r="K415" s="3" t="s">
        <v>480</v>
      </c>
      <c r="L415" s="3" t="s">
        <v>67</v>
      </c>
      <c r="M415" s="3" t="s">
        <v>48</v>
      </c>
      <c r="N415" s="3" t="s">
        <v>481</v>
      </c>
      <c r="O415" s="69" t="s">
        <v>64</v>
      </c>
      <c r="P415" s="3" t="s">
        <v>50</v>
      </c>
      <c r="Q415" s="3" t="s">
        <v>68</v>
      </c>
      <c r="R415" s="3">
        <v>3</v>
      </c>
      <c r="S415" s="3" t="s">
        <v>52</v>
      </c>
      <c r="T415" s="3" t="s">
        <v>53</v>
      </c>
      <c r="U415" s="3" t="s">
        <v>54</v>
      </c>
      <c r="V415" s="7"/>
      <c r="W415" s="7"/>
      <c r="X415" s="7"/>
      <c r="Y415" s="7"/>
      <c r="Z415" s="3" t="s">
        <v>55</v>
      </c>
      <c r="AA415" s="3" t="s">
        <v>88</v>
      </c>
      <c r="AB415" s="3" t="s">
        <v>57</v>
      </c>
      <c r="AD415" s="3">
        <v>7.09</v>
      </c>
      <c r="AE415" s="3">
        <v>7.09</v>
      </c>
      <c r="AG415" s="3">
        <v>1.08</v>
      </c>
      <c r="AH415" s="3">
        <v>43.2</v>
      </c>
      <c r="AI415" s="3">
        <v>16</v>
      </c>
      <c r="AJ415" s="88">
        <v>41.582999999999998</v>
      </c>
      <c r="AK415" s="3" t="s">
        <v>58</v>
      </c>
      <c r="AL415" s="9">
        <f t="shared" ref="AL415:AL478" si="11">AJ415*1.2</f>
        <v>49.8996</v>
      </c>
      <c r="AN415" t="s">
        <v>5519</v>
      </c>
      <c r="AO415" s="74" t="s">
        <v>5631</v>
      </c>
    </row>
    <row r="416" spans="1:41" ht="14.25" customHeight="1" x14ac:dyDescent="0.3">
      <c r="A416" s="3" t="s">
        <v>475</v>
      </c>
      <c r="B416" s="3" t="s">
        <v>532</v>
      </c>
      <c r="C416" s="3" t="s">
        <v>477</v>
      </c>
      <c r="D416" s="3" t="s">
        <v>533</v>
      </c>
      <c r="E416" s="3" t="s">
        <v>479</v>
      </c>
      <c r="F416" s="3" t="s">
        <v>41</v>
      </c>
      <c r="G416" s="5" t="s">
        <v>42</v>
      </c>
      <c r="H416" s="5" t="s">
        <v>43</v>
      </c>
      <c r="I416" s="5" t="s">
        <v>44</v>
      </c>
      <c r="J416" s="3" t="s">
        <v>45</v>
      </c>
      <c r="K416" s="3" t="s">
        <v>480</v>
      </c>
      <c r="L416" s="3" t="s">
        <v>67</v>
      </c>
      <c r="M416" s="3" t="s">
        <v>48</v>
      </c>
      <c r="N416" s="3" t="s">
        <v>484</v>
      </c>
      <c r="O416" s="69" t="s">
        <v>64</v>
      </c>
      <c r="P416" s="3" t="s">
        <v>50</v>
      </c>
      <c r="Q416" s="3" t="s">
        <v>68</v>
      </c>
      <c r="R416" s="3">
        <v>3</v>
      </c>
      <c r="S416" s="3" t="s">
        <v>52</v>
      </c>
      <c r="T416" s="3" t="s">
        <v>53</v>
      </c>
      <c r="U416" s="3" t="s">
        <v>54</v>
      </c>
      <c r="V416" s="7"/>
      <c r="W416" s="7"/>
      <c r="X416" s="7"/>
      <c r="Y416" s="7"/>
      <c r="Z416" s="3" t="s">
        <v>55</v>
      </c>
      <c r="AA416" s="3" t="s">
        <v>88</v>
      </c>
      <c r="AB416" s="3" t="s">
        <v>57</v>
      </c>
      <c r="AD416" s="3">
        <v>7.14</v>
      </c>
      <c r="AE416" s="3">
        <v>7.14</v>
      </c>
      <c r="AG416" s="3">
        <v>1.08</v>
      </c>
      <c r="AH416" s="3">
        <v>43.2</v>
      </c>
      <c r="AI416" s="3">
        <v>16</v>
      </c>
      <c r="AJ416" s="88">
        <v>41.582999999999998</v>
      </c>
      <c r="AK416" s="3" t="s">
        <v>58</v>
      </c>
      <c r="AL416" s="9">
        <f t="shared" si="11"/>
        <v>49.8996</v>
      </c>
      <c r="AN416" t="s">
        <v>5519</v>
      </c>
      <c r="AO416" s="74" t="s">
        <v>5631</v>
      </c>
    </row>
    <row r="417" spans="1:41" ht="14.25" customHeight="1" x14ac:dyDescent="0.3">
      <c r="A417" s="3" t="s">
        <v>475</v>
      </c>
      <c r="B417" s="3" t="s">
        <v>534</v>
      </c>
      <c r="C417" s="3" t="s">
        <v>477</v>
      </c>
      <c r="D417" s="3" t="s">
        <v>535</v>
      </c>
      <c r="E417" s="3" t="s">
        <v>479</v>
      </c>
      <c r="F417" s="3" t="s">
        <v>41</v>
      </c>
      <c r="G417" s="5" t="s">
        <v>42</v>
      </c>
      <c r="H417" s="5" t="s">
        <v>43</v>
      </c>
      <c r="I417" s="5" t="s">
        <v>44</v>
      </c>
      <c r="J417" s="3" t="s">
        <v>45</v>
      </c>
      <c r="K417" s="3" t="s">
        <v>480</v>
      </c>
      <c r="L417" s="3" t="s">
        <v>67</v>
      </c>
      <c r="M417" s="3" t="s">
        <v>48</v>
      </c>
      <c r="N417" s="3" t="s">
        <v>487</v>
      </c>
      <c r="O417" s="69" t="s">
        <v>586</v>
      </c>
      <c r="P417" s="3" t="s">
        <v>50</v>
      </c>
      <c r="Q417" s="3" t="s">
        <v>68</v>
      </c>
      <c r="R417" s="3">
        <v>3</v>
      </c>
      <c r="S417" s="3" t="s">
        <v>52</v>
      </c>
      <c r="T417" s="3" t="s">
        <v>53</v>
      </c>
      <c r="U417" s="3" t="s">
        <v>54</v>
      </c>
      <c r="V417" s="7"/>
      <c r="W417" s="7"/>
      <c r="X417" s="7"/>
      <c r="Y417" s="7"/>
      <c r="Z417" s="3" t="s">
        <v>55</v>
      </c>
      <c r="AA417" s="3" t="s">
        <v>88</v>
      </c>
      <c r="AB417" s="3" t="s">
        <v>57</v>
      </c>
      <c r="AD417" s="3">
        <v>7.375</v>
      </c>
      <c r="AE417" s="3">
        <v>7.375</v>
      </c>
      <c r="AG417" s="3">
        <v>1.08</v>
      </c>
      <c r="AH417" s="3">
        <v>43.2</v>
      </c>
      <c r="AI417" s="3">
        <v>16</v>
      </c>
      <c r="AJ417" s="88">
        <v>41.582999999999998</v>
      </c>
      <c r="AK417" s="3" t="s">
        <v>58</v>
      </c>
      <c r="AL417" s="9">
        <f t="shared" si="11"/>
        <v>49.8996</v>
      </c>
      <c r="AN417" t="s">
        <v>5519</v>
      </c>
      <c r="AO417" s="74" t="s">
        <v>5631</v>
      </c>
    </row>
    <row r="418" spans="1:41" ht="14.25" customHeight="1" x14ac:dyDescent="0.3">
      <c r="A418" s="3" t="s">
        <v>475</v>
      </c>
      <c r="B418" s="3" t="s">
        <v>536</v>
      </c>
      <c r="C418" s="3" t="s">
        <v>477</v>
      </c>
      <c r="D418" s="3" t="s">
        <v>537</v>
      </c>
      <c r="E418" s="3" t="s">
        <v>479</v>
      </c>
      <c r="F418" s="3" t="s">
        <v>41</v>
      </c>
      <c r="G418" s="5" t="s">
        <v>42</v>
      </c>
      <c r="H418" s="5" t="s">
        <v>43</v>
      </c>
      <c r="I418" s="5" t="s">
        <v>44</v>
      </c>
      <c r="J418" s="3" t="s">
        <v>45</v>
      </c>
      <c r="K418" s="3" t="s">
        <v>480</v>
      </c>
      <c r="L418" s="3" t="s">
        <v>67</v>
      </c>
      <c r="M418" s="3" t="s">
        <v>48</v>
      </c>
      <c r="N418" s="3" t="s">
        <v>493</v>
      </c>
      <c r="O418" s="69" t="s">
        <v>586</v>
      </c>
      <c r="P418" s="3" t="s">
        <v>50</v>
      </c>
      <c r="Q418" s="3" t="s">
        <v>68</v>
      </c>
      <c r="R418" s="3">
        <v>3</v>
      </c>
      <c r="S418" s="3" t="s">
        <v>52</v>
      </c>
      <c r="T418" s="3" t="s">
        <v>53</v>
      </c>
      <c r="U418" s="3" t="s">
        <v>54</v>
      </c>
      <c r="V418" s="7"/>
      <c r="W418" s="7"/>
      <c r="X418" s="7"/>
      <c r="Y418" s="7"/>
      <c r="Z418" s="3" t="s">
        <v>55</v>
      </c>
      <c r="AA418" s="3" t="s">
        <v>88</v>
      </c>
      <c r="AB418" s="3" t="s">
        <v>57</v>
      </c>
      <c r="AD418" s="3">
        <v>7.15</v>
      </c>
      <c r="AE418" s="3">
        <v>7.15</v>
      </c>
      <c r="AG418" s="3">
        <v>1.08</v>
      </c>
      <c r="AH418" s="3">
        <v>43.2</v>
      </c>
      <c r="AI418" s="3">
        <v>16</v>
      </c>
      <c r="AJ418" s="88">
        <v>41.582999999999998</v>
      </c>
      <c r="AK418" s="3" t="s">
        <v>58</v>
      </c>
      <c r="AL418" s="9">
        <f t="shared" si="11"/>
        <v>49.8996</v>
      </c>
      <c r="AN418" t="s">
        <v>5519</v>
      </c>
      <c r="AO418" s="74" t="s">
        <v>5631</v>
      </c>
    </row>
    <row r="419" spans="1:41" ht="14.25" customHeight="1" x14ac:dyDescent="0.3">
      <c r="A419" s="3" t="s">
        <v>475</v>
      </c>
      <c r="B419" s="3" t="s">
        <v>538</v>
      </c>
      <c r="C419" s="3" t="s">
        <v>477</v>
      </c>
      <c r="D419" s="3" t="s">
        <v>539</v>
      </c>
      <c r="E419" s="3" t="s">
        <v>479</v>
      </c>
      <c r="F419" s="3" t="s">
        <v>41</v>
      </c>
      <c r="G419" s="5" t="s">
        <v>42</v>
      </c>
      <c r="H419" s="5" t="s">
        <v>43</v>
      </c>
      <c r="I419" s="5" t="s">
        <v>44</v>
      </c>
      <c r="J419" s="3" t="s">
        <v>45</v>
      </c>
      <c r="K419" s="3" t="s">
        <v>480</v>
      </c>
      <c r="L419" s="3" t="s">
        <v>67</v>
      </c>
      <c r="M419" s="3" t="s">
        <v>48</v>
      </c>
      <c r="N419" s="3" t="s">
        <v>496</v>
      </c>
      <c r="O419" s="69" t="s">
        <v>586</v>
      </c>
      <c r="P419" s="3" t="s">
        <v>50</v>
      </c>
      <c r="Q419" s="3" t="s">
        <v>68</v>
      </c>
      <c r="R419" s="3">
        <v>3</v>
      </c>
      <c r="S419" s="3" t="s">
        <v>52</v>
      </c>
      <c r="T419" s="3" t="s">
        <v>53</v>
      </c>
      <c r="U419" s="3" t="s">
        <v>54</v>
      </c>
      <c r="V419" s="7"/>
      <c r="W419" s="7"/>
      <c r="X419" s="7"/>
      <c r="Y419" s="7"/>
      <c r="Z419" s="3" t="s">
        <v>55</v>
      </c>
      <c r="AA419" s="3" t="s">
        <v>88</v>
      </c>
      <c r="AB419" s="3" t="s">
        <v>57</v>
      </c>
      <c r="AD419" s="3">
        <v>7.375</v>
      </c>
      <c r="AE419" s="3">
        <v>7.375</v>
      </c>
      <c r="AG419" s="3">
        <v>1.08</v>
      </c>
      <c r="AH419" s="3">
        <v>43.2</v>
      </c>
      <c r="AI419" s="3">
        <v>16</v>
      </c>
      <c r="AJ419" s="88">
        <v>41.582999999999998</v>
      </c>
      <c r="AK419" s="3" t="s">
        <v>58</v>
      </c>
      <c r="AL419" s="9">
        <f t="shared" si="11"/>
        <v>49.8996</v>
      </c>
      <c r="AN419" t="s">
        <v>5519</v>
      </c>
      <c r="AO419" s="74" t="s">
        <v>5631</v>
      </c>
    </row>
    <row r="420" spans="1:41" ht="14.25" customHeight="1" x14ac:dyDescent="0.3">
      <c r="A420" s="3" t="s">
        <v>475</v>
      </c>
      <c r="B420" s="3" t="s">
        <v>540</v>
      </c>
      <c r="C420" s="3" t="s">
        <v>477</v>
      </c>
      <c r="D420" s="3" t="s">
        <v>541</v>
      </c>
      <c r="E420" s="3" t="s">
        <v>479</v>
      </c>
      <c r="F420" s="3" t="s">
        <v>41</v>
      </c>
      <c r="G420" s="5" t="s">
        <v>42</v>
      </c>
      <c r="H420" s="5" t="s">
        <v>43</v>
      </c>
      <c r="I420" s="5" t="s">
        <v>44</v>
      </c>
      <c r="J420" s="3" t="s">
        <v>45</v>
      </c>
      <c r="K420" s="3" t="s">
        <v>480</v>
      </c>
      <c r="L420" s="3" t="s">
        <v>67</v>
      </c>
      <c r="M420" s="3" t="s">
        <v>48</v>
      </c>
      <c r="N420" s="3" t="s">
        <v>505</v>
      </c>
      <c r="O420" s="69" t="s">
        <v>586</v>
      </c>
      <c r="P420" s="3" t="s">
        <v>50</v>
      </c>
      <c r="Q420" s="3" t="s">
        <v>68</v>
      </c>
      <c r="R420" s="3">
        <v>3</v>
      </c>
      <c r="S420" s="3" t="s">
        <v>52</v>
      </c>
      <c r="T420" s="3" t="s">
        <v>53</v>
      </c>
      <c r="U420" s="3" t="s">
        <v>54</v>
      </c>
      <c r="V420" s="7"/>
      <c r="W420" s="7"/>
      <c r="X420" s="7"/>
      <c r="Y420" s="7"/>
      <c r="Z420" s="3" t="s">
        <v>55</v>
      </c>
      <c r="AA420" s="3" t="s">
        <v>88</v>
      </c>
      <c r="AB420" s="3" t="s">
        <v>57</v>
      </c>
      <c r="AD420" s="3">
        <v>7.375</v>
      </c>
      <c r="AE420" s="3">
        <v>7.375</v>
      </c>
      <c r="AG420" s="3">
        <v>1.08</v>
      </c>
      <c r="AH420" s="3">
        <v>43.2</v>
      </c>
      <c r="AI420" s="3">
        <v>16</v>
      </c>
      <c r="AJ420" s="88">
        <v>41.582999999999998</v>
      </c>
      <c r="AK420" s="3" t="s">
        <v>58</v>
      </c>
      <c r="AL420" s="9">
        <f t="shared" si="11"/>
        <v>49.8996</v>
      </c>
      <c r="AN420" t="s">
        <v>5519</v>
      </c>
      <c r="AO420" s="74" t="s">
        <v>5631</v>
      </c>
    </row>
    <row r="421" spans="1:41" ht="14.25" customHeight="1" x14ac:dyDescent="0.3">
      <c r="A421" s="3" t="s">
        <v>475</v>
      </c>
      <c r="B421" s="3" t="s">
        <v>542</v>
      </c>
      <c r="C421" s="3" t="s">
        <v>477</v>
      </c>
      <c r="D421" s="3" t="s">
        <v>543</v>
      </c>
      <c r="E421" s="3" t="s">
        <v>479</v>
      </c>
      <c r="F421" s="3" t="s">
        <v>41</v>
      </c>
      <c r="G421" s="5" t="s">
        <v>42</v>
      </c>
      <c r="H421" s="5" t="s">
        <v>43</v>
      </c>
      <c r="I421" s="5" t="s">
        <v>44</v>
      </c>
      <c r="J421" s="3" t="s">
        <v>45</v>
      </c>
      <c r="K421" s="3" t="s">
        <v>480</v>
      </c>
      <c r="L421" s="3" t="s">
        <v>67</v>
      </c>
      <c r="M421" s="3" t="s">
        <v>48</v>
      </c>
      <c r="N421" s="3" t="s">
        <v>499</v>
      </c>
      <c r="O421" s="69" t="s">
        <v>586</v>
      </c>
      <c r="P421" s="3" t="s">
        <v>50</v>
      </c>
      <c r="Q421" s="3" t="s">
        <v>68</v>
      </c>
      <c r="R421" s="3">
        <v>3</v>
      </c>
      <c r="S421" s="3" t="s">
        <v>52</v>
      </c>
      <c r="T421" s="3" t="s">
        <v>53</v>
      </c>
      <c r="U421" s="3" t="s">
        <v>54</v>
      </c>
      <c r="V421" s="7"/>
      <c r="W421" s="7"/>
      <c r="X421" s="7"/>
      <c r="Y421" s="7"/>
      <c r="Z421" s="3" t="s">
        <v>55</v>
      </c>
      <c r="AA421" s="3" t="s">
        <v>88</v>
      </c>
      <c r="AB421" s="3" t="s">
        <v>57</v>
      </c>
      <c r="AD421" s="3">
        <v>7.375</v>
      </c>
      <c r="AE421" s="3">
        <v>7.375</v>
      </c>
      <c r="AG421" s="3">
        <v>1.08</v>
      </c>
      <c r="AH421" s="3">
        <v>43.2</v>
      </c>
      <c r="AI421" s="3">
        <v>16</v>
      </c>
      <c r="AJ421" s="88">
        <v>41.582999999999998</v>
      </c>
      <c r="AK421" s="3" t="s">
        <v>58</v>
      </c>
      <c r="AL421" s="9">
        <f t="shared" si="11"/>
        <v>49.8996</v>
      </c>
      <c r="AN421" t="s">
        <v>5519</v>
      </c>
      <c r="AO421" s="74" t="s">
        <v>5631</v>
      </c>
    </row>
    <row r="422" spans="1:41" ht="14.25" customHeight="1" x14ac:dyDescent="0.3">
      <c r="A422" s="3" t="s">
        <v>475</v>
      </c>
      <c r="B422" s="3" t="s">
        <v>544</v>
      </c>
      <c r="C422" s="3" t="s">
        <v>477</v>
      </c>
      <c r="D422" s="3" t="s">
        <v>545</v>
      </c>
      <c r="E422" s="3" t="s">
        <v>479</v>
      </c>
      <c r="F422" s="3" t="s">
        <v>41</v>
      </c>
      <c r="G422" s="5" t="s">
        <v>42</v>
      </c>
      <c r="H422" s="5" t="s">
        <v>43</v>
      </c>
      <c r="I422" s="5" t="s">
        <v>44</v>
      </c>
      <c r="J422" s="3" t="s">
        <v>45</v>
      </c>
      <c r="K422" s="3" t="s">
        <v>480</v>
      </c>
      <c r="L422" s="3" t="s">
        <v>67</v>
      </c>
      <c r="M422" s="3" t="s">
        <v>48</v>
      </c>
      <c r="N422" s="3" t="s">
        <v>508</v>
      </c>
      <c r="O422" s="69" t="s">
        <v>586</v>
      </c>
      <c r="P422" s="3" t="s">
        <v>50</v>
      </c>
      <c r="Q422" s="3" t="s">
        <v>68</v>
      </c>
      <c r="R422" s="3">
        <v>3</v>
      </c>
      <c r="S422" s="3" t="s">
        <v>52</v>
      </c>
      <c r="T422" s="3" t="s">
        <v>53</v>
      </c>
      <c r="U422" s="3" t="s">
        <v>54</v>
      </c>
      <c r="V422" s="7"/>
      <c r="W422" s="7"/>
      <c r="X422" s="7"/>
      <c r="Y422" s="7"/>
      <c r="Z422" s="3" t="s">
        <v>55</v>
      </c>
      <c r="AA422" s="3" t="s">
        <v>88</v>
      </c>
      <c r="AB422" s="3" t="s">
        <v>57</v>
      </c>
      <c r="AD422" s="3">
        <v>7.17</v>
      </c>
      <c r="AE422" s="3">
        <v>7.17</v>
      </c>
      <c r="AG422" s="3">
        <v>1.08</v>
      </c>
      <c r="AH422" s="3">
        <v>43.2</v>
      </c>
      <c r="AI422" s="3">
        <v>16</v>
      </c>
      <c r="AJ422" s="88">
        <v>41.582999999999998</v>
      </c>
      <c r="AK422" s="3" t="s">
        <v>58</v>
      </c>
      <c r="AL422" s="9">
        <f t="shared" si="11"/>
        <v>49.8996</v>
      </c>
      <c r="AN422" t="s">
        <v>5519</v>
      </c>
      <c r="AO422" s="74" t="s">
        <v>5631</v>
      </c>
    </row>
    <row r="423" spans="1:41" ht="14.25" customHeight="1" x14ac:dyDescent="0.3">
      <c r="A423" s="3" t="s">
        <v>475</v>
      </c>
      <c r="B423" s="3" t="s">
        <v>546</v>
      </c>
      <c r="C423" s="3" t="s">
        <v>477</v>
      </c>
      <c r="D423" s="3" t="s">
        <v>547</v>
      </c>
      <c r="E423" s="3" t="s">
        <v>479</v>
      </c>
      <c r="F423" s="3" t="s">
        <v>41</v>
      </c>
      <c r="G423" s="5" t="s">
        <v>42</v>
      </c>
      <c r="H423" s="5" t="s">
        <v>43</v>
      </c>
      <c r="I423" s="5" t="s">
        <v>44</v>
      </c>
      <c r="J423" s="3" t="s">
        <v>45</v>
      </c>
      <c r="K423" s="3" t="s">
        <v>480</v>
      </c>
      <c r="L423" s="3" t="s">
        <v>67</v>
      </c>
      <c r="M423" s="3" t="s">
        <v>48</v>
      </c>
      <c r="N423" s="3" t="s">
        <v>502</v>
      </c>
      <c r="O423" s="69" t="s">
        <v>586</v>
      </c>
      <c r="P423" s="3" t="s">
        <v>50</v>
      </c>
      <c r="Q423" s="3" t="s">
        <v>68</v>
      </c>
      <c r="R423" s="3">
        <v>3</v>
      </c>
      <c r="S423" s="3" t="s">
        <v>52</v>
      </c>
      <c r="T423" s="3" t="s">
        <v>53</v>
      </c>
      <c r="U423" s="3" t="s">
        <v>54</v>
      </c>
      <c r="V423" s="7"/>
      <c r="W423" s="7"/>
      <c r="X423" s="7"/>
      <c r="Y423" s="7"/>
      <c r="Z423" s="3" t="s">
        <v>55</v>
      </c>
      <c r="AA423" s="3" t="s">
        <v>88</v>
      </c>
      <c r="AB423" s="3" t="s">
        <v>57</v>
      </c>
      <c r="AD423" s="3">
        <v>31.07</v>
      </c>
      <c r="AE423" s="3">
        <v>31.07</v>
      </c>
      <c r="AG423" s="3">
        <v>2.88</v>
      </c>
      <c r="AH423" s="3">
        <v>57.6</v>
      </c>
      <c r="AI423" s="3">
        <v>16</v>
      </c>
      <c r="AJ423" s="88">
        <v>41.582999999999998</v>
      </c>
      <c r="AK423" s="3" t="s">
        <v>58</v>
      </c>
      <c r="AL423" s="9">
        <f t="shared" si="11"/>
        <v>49.8996</v>
      </c>
      <c r="AN423" t="s">
        <v>5519</v>
      </c>
      <c r="AO423" s="74" t="s">
        <v>5631</v>
      </c>
    </row>
    <row r="424" spans="1:41" ht="14.25" customHeight="1" x14ac:dyDescent="0.3">
      <c r="A424" s="3" t="s">
        <v>475</v>
      </c>
      <c r="B424" s="3" t="s">
        <v>548</v>
      </c>
      <c r="C424" s="3" t="s">
        <v>477</v>
      </c>
      <c r="D424" s="3" t="s">
        <v>549</v>
      </c>
      <c r="E424" s="3" t="s">
        <v>479</v>
      </c>
      <c r="F424" s="3" t="s">
        <v>41</v>
      </c>
      <c r="G424" s="5" t="s">
        <v>42</v>
      </c>
      <c r="H424" s="5" t="s">
        <v>43</v>
      </c>
      <c r="I424" s="5" t="s">
        <v>44</v>
      </c>
      <c r="J424" s="3" t="s">
        <v>45</v>
      </c>
      <c r="K424" s="3" t="s">
        <v>480</v>
      </c>
      <c r="L424" s="3" t="s">
        <v>242</v>
      </c>
      <c r="M424" s="3" t="s">
        <v>48</v>
      </c>
      <c r="N424" s="3" t="s">
        <v>481</v>
      </c>
      <c r="O424" s="69" t="s">
        <v>64</v>
      </c>
      <c r="P424" s="3" t="s">
        <v>50</v>
      </c>
      <c r="Q424" s="3" t="s">
        <v>68</v>
      </c>
      <c r="R424" s="3">
        <v>2</v>
      </c>
      <c r="S424" s="3" t="s">
        <v>52</v>
      </c>
      <c r="T424" s="3" t="s">
        <v>53</v>
      </c>
      <c r="U424" s="3" t="s">
        <v>54</v>
      </c>
      <c r="V424" s="7"/>
      <c r="W424" s="7"/>
      <c r="X424" s="7"/>
      <c r="Y424" s="7"/>
      <c r="Z424" s="3" t="s">
        <v>55</v>
      </c>
      <c r="AA424" s="3" t="s">
        <v>88</v>
      </c>
      <c r="AB424" s="3" t="s">
        <v>57</v>
      </c>
      <c r="AD424" s="3">
        <v>13.53</v>
      </c>
      <c r="AE424" s="3">
        <v>13.53</v>
      </c>
      <c r="AG424" s="3">
        <v>1.28</v>
      </c>
      <c r="AH424" s="3">
        <v>61.44</v>
      </c>
      <c r="AI424" s="8">
        <v>17.600000000000001</v>
      </c>
      <c r="AJ424" s="88">
        <v>49.915999999999997</v>
      </c>
      <c r="AK424" s="3" t="s">
        <v>58</v>
      </c>
      <c r="AL424" s="9">
        <f t="shared" si="11"/>
        <v>59.899199999999993</v>
      </c>
      <c r="AN424" t="s">
        <v>5519</v>
      </c>
      <c r="AO424" s="74" t="s">
        <v>5631</v>
      </c>
    </row>
    <row r="425" spans="1:41" ht="14.25" customHeight="1" x14ac:dyDescent="0.3">
      <c r="A425" s="3" t="s">
        <v>475</v>
      </c>
      <c r="B425" s="3" t="s">
        <v>550</v>
      </c>
      <c r="C425" s="3" t="s">
        <v>477</v>
      </c>
      <c r="D425" s="3" t="s">
        <v>551</v>
      </c>
      <c r="E425" s="3" t="s">
        <v>479</v>
      </c>
      <c r="F425" s="3" t="s">
        <v>41</v>
      </c>
      <c r="G425" s="5" t="s">
        <v>42</v>
      </c>
      <c r="H425" s="5" t="s">
        <v>43</v>
      </c>
      <c r="I425" s="5" t="s">
        <v>44</v>
      </c>
      <c r="J425" s="3" t="s">
        <v>45</v>
      </c>
      <c r="K425" s="3" t="s">
        <v>480</v>
      </c>
      <c r="L425" s="3" t="s">
        <v>242</v>
      </c>
      <c r="M425" s="3" t="s">
        <v>48</v>
      </c>
      <c r="N425" s="3" t="s">
        <v>484</v>
      </c>
      <c r="O425" s="69" t="s">
        <v>64</v>
      </c>
      <c r="P425" s="3" t="s">
        <v>50</v>
      </c>
      <c r="Q425" s="3" t="s">
        <v>68</v>
      </c>
      <c r="R425" s="3">
        <v>2</v>
      </c>
      <c r="S425" s="3" t="s">
        <v>52</v>
      </c>
      <c r="T425" s="3" t="s">
        <v>53</v>
      </c>
      <c r="U425" s="3" t="s">
        <v>54</v>
      </c>
      <c r="V425" s="7"/>
      <c r="W425" s="7"/>
      <c r="X425" s="7"/>
      <c r="Y425" s="7"/>
      <c r="Z425" s="3" t="s">
        <v>55</v>
      </c>
      <c r="AA425" s="3" t="s">
        <v>88</v>
      </c>
      <c r="AB425" s="3" t="s">
        <v>57</v>
      </c>
      <c r="AD425" s="3">
        <v>13.54</v>
      </c>
      <c r="AE425" s="3">
        <v>13.54</v>
      </c>
      <c r="AG425" s="3">
        <v>1.28</v>
      </c>
      <c r="AH425" s="3">
        <v>61.44</v>
      </c>
      <c r="AI425" s="8">
        <v>17.600000000000001</v>
      </c>
      <c r="AJ425" s="88">
        <v>49.915999999999997</v>
      </c>
      <c r="AK425" s="3" t="s">
        <v>58</v>
      </c>
      <c r="AL425" s="9">
        <f t="shared" si="11"/>
        <v>59.899199999999993</v>
      </c>
      <c r="AN425" t="s">
        <v>5519</v>
      </c>
      <c r="AO425" s="74" t="s">
        <v>5631</v>
      </c>
    </row>
    <row r="426" spans="1:41" ht="14.25" customHeight="1" x14ac:dyDescent="0.3">
      <c r="A426" s="3" t="s">
        <v>475</v>
      </c>
      <c r="B426" s="3" t="s">
        <v>552</v>
      </c>
      <c r="C426" s="3" t="s">
        <v>477</v>
      </c>
      <c r="D426" s="3" t="s">
        <v>553</v>
      </c>
      <c r="E426" s="3" t="s">
        <v>479</v>
      </c>
      <c r="F426" s="3" t="s">
        <v>41</v>
      </c>
      <c r="G426" s="5" t="s">
        <v>42</v>
      </c>
      <c r="H426" s="5" t="s">
        <v>43</v>
      </c>
      <c r="I426" s="5" t="s">
        <v>44</v>
      </c>
      <c r="J426" s="3" t="s">
        <v>45</v>
      </c>
      <c r="K426" s="3" t="s">
        <v>480</v>
      </c>
      <c r="L426" s="3" t="s">
        <v>242</v>
      </c>
      <c r="M426" s="3" t="s">
        <v>48</v>
      </c>
      <c r="N426" s="3" t="s">
        <v>487</v>
      </c>
      <c r="O426" s="69" t="s">
        <v>586</v>
      </c>
      <c r="P426" s="3" t="s">
        <v>50</v>
      </c>
      <c r="Q426" s="3" t="s">
        <v>68</v>
      </c>
      <c r="R426" s="3">
        <v>2</v>
      </c>
      <c r="S426" s="3" t="s">
        <v>52</v>
      </c>
      <c r="T426" s="3" t="s">
        <v>53</v>
      </c>
      <c r="U426" s="3" t="s">
        <v>54</v>
      </c>
      <c r="V426" s="7"/>
      <c r="W426" s="7"/>
      <c r="X426" s="7"/>
      <c r="Y426" s="7"/>
      <c r="Z426" s="3" t="s">
        <v>55</v>
      </c>
      <c r="AA426" s="3" t="s">
        <v>88</v>
      </c>
      <c r="AB426" s="3" t="s">
        <v>57</v>
      </c>
      <c r="AD426" s="3">
        <v>13.6</v>
      </c>
      <c r="AE426" s="3">
        <v>13.6</v>
      </c>
      <c r="AG426" s="3">
        <v>1.28</v>
      </c>
      <c r="AH426" s="3">
        <v>61.44</v>
      </c>
      <c r="AI426" s="8">
        <v>17.600000000000001</v>
      </c>
      <c r="AJ426" s="88">
        <v>49.915999999999997</v>
      </c>
      <c r="AK426" s="3" t="s">
        <v>58</v>
      </c>
      <c r="AL426" s="9">
        <f t="shared" si="11"/>
        <v>59.899199999999993</v>
      </c>
      <c r="AN426" t="s">
        <v>5519</v>
      </c>
      <c r="AO426" s="74" t="s">
        <v>5631</v>
      </c>
    </row>
    <row r="427" spans="1:41" ht="14.25" customHeight="1" x14ac:dyDescent="0.3">
      <c r="A427" s="3" t="s">
        <v>475</v>
      </c>
      <c r="B427" s="3" t="s">
        <v>554</v>
      </c>
      <c r="C427" s="3" t="s">
        <v>477</v>
      </c>
      <c r="D427" s="3" t="s">
        <v>555</v>
      </c>
      <c r="E427" s="3" t="s">
        <v>479</v>
      </c>
      <c r="F427" s="3" t="s">
        <v>41</v>
      </c>
      <c r="G427" s="5" t="s">
        <v>42</v>
      </c>
      <c r="H427" s="5" t="s">
        <v>43</v>
      </c>
      <c r="I427" s="5" t="s">
        <v>44</v>
      </c>
      <c r="J427" s="3" t="s">
        <v>45</v>
      </c>
      <c r="K427" s="3" t="s">
        <v>480</v>
      </c>
      <c r="L427" s="3" t="s">
        <v>242</v>
      </c>
      <c r="M427" s="3" t="s">
        <v>48</v>
      </c>
      <c r="N427" s="3" t="s">
        <v>490</v>
      </c>
      <c r="O427" s="69" t="s">
        <v>61</v>
      </c>
      <c r="P427" s="3" t="s">
        <v>50</v>
      </c>
      <c r="Q427" s="3" t="s">
        <v>68</v>
      </c>
      <c r="R427" s="3">
        <v>2</v>
      </c>
      <c r="S427" s="3" t="s">
        <v>52</v>
      </c>
      <c r="T427" s="3" t="s">
        <v>53</v>
      </c>
      <c r="U427" s="3" t="s">
        <v>54</v>
      </c>
      <c r="V427" s="7"/>
      <c r="W427" s="7"/>
      <c r="X427" s="7"/>
      <c r="Y427" s="7"/>
      <c r="Z427" s="3" t="s">
        <v>55</v>
      </c>
      <c r="AA427" s="3" t="s">
        <v>88</v>
      </c>
      <c r="AB427" s="3" t="s">
        <v>57</v>
      </c>
      <c r="AD427" s="3">
        <v>13.68</v>
      </c>
      <c r="AE427" s="3">
        <v>13.68</v>
      </c>
      <c r="AG427" s="3">
        <v>1.28</v>
      </c>
      <c r="AH427" s="3">
        <v>61.44</v>
      </c>
      <c r="AI427" s="8">
        <v>17.600000000000001</v>
      </c>
      <c r="AJ427" s="88">
        <v>49.915999999999997</v>
      </c>
      <c r="AK427" s="3" t="s">
        <v>58</v>
      </c>
      <c r="AL427" s="9">
        <f t="shared" si="11"/>
        <v>59.899199999999993</v>
      </c>
      <c r="AN427" t="s">
        <v>5519</v>
      </c>
      <c r="AO427" s="74" t="s">
        <v>5631</v>
      </c>
    </row>
    <row r="428" spans="1:41" ht="14.25" customHeight="1" x14ac:dyDescent="0.3">
      <c r="A428" s="3" t="s">
        <v>475</v>
      </c>
      <c r="B428" s="3" t="s">
        <v>556</v>
      </c>
      <c r="C428" s="3" t="s">
        <v>477</v>
      </c>
      <c r="D428" s="3" t="s">
        <v>557</v>
      </c>
      <c r="E428" s="3" t="s">
        <v>479</v>
      </c>
      <c r="F428" s="3" t="s">
        <v>41</v>
      </c>
      <c r="G428" s="5" t="s">
        <v>42</v>
      </c>
      <c r="H428" s="5" t="s">
        <v>43</v>
      </c>
      <c r="I428" s="5" t="s">
        <v>44</v>
      </c>
      <c r="J428" s="3" t="s">
        <v>45</v>
      </c>
      <c r="K428" s="3" t="s">
        <v>480</v>
      </c>
      <c r="L428" s="3" t="s">
        <v>242</v>
      </c>
      <c r="M428" s="3" t="s">
        <v>48</v>
      </c>
      <c r="N428" s="3" t="s">
        <v>558</v>
      </c>
      <c r="O428" s="69" t="s">
        <v>61</v>
      </c>
      <c r="P428" s="3" t="s">
        <v>50</v>
      </c>
      <c r="Q428" s="3" t="s">
        <v>68</v>
      </c>
      <c r="R428" s="3">
        <v>2</v>
      </c>
      <c r="S428" s="3" t="s">
        <v>52</v>
      </c>
      <c r="T428" s="3" t="s">
        <v>53</v>
      </c>
      <c r="U428" s="3" t="s">
        <v>54</v>
      </c>
      <c r="V428" s="7"/>
      <c r="W428" s="7"/>
      <c r="X428" s="7"/>
      <c r="Y428" s="7"/>
      <c r="Z428" s="3" t="s">
        <v>55</v>
      </c>
      <c r="AA428" s="3" t="s">
        <v>88</v>
      </c>
      <c r="AB428" s="3" t="s">
        <v>57</v>
      </c>
      <c r="AD428" s="3">
        <v>13.35</v>
      </c>
      <c r="AE428" s="3">
        <v>13.35</v>
      </c>
      <c r="AG428" s="3">
        <v>1.28</v>
      </c>
      <c r="AH428" s="3">
        <v>61.44</v>
      </c>
      <c r="AI428" s="8">
        <v>17.600000000000001</v>
      </c>
      <c r="AJ428" s="88">
        <v>49.915999999999997</v>
      </c>
      <c r="AK428" s="3" t="s">
        <v>58</v>
      </c>
      <c r="AL428" s="9">
        <f t="shared" si="11"/>
        <v>59.899199999999993</v>
      </c>
      <c r="AN428" t="s">
        <v>5519</v>
      </c>
      <c r="AO428" s="74" t="s">
        <v>5631</v>
      </c>
    </row>
    <row r="429" spans="1:41" ht="14.25" customHeight="1" x14ac:dyDescent="0.3">
      <c r="A429" s="3" t="s">
        <v>475</v>
      </c>
      <c r="B429" s="3" t="s">
        <v>559</v>
      </c>
      <c r="C429" s="3" t="s">
        <v>477</v>
      </c>
      <c r="D429" s="3" t="s">
        <v>560</v>
      </c>
      <c r="E429" s="3" t="s">
        <v>479</v>
      </c>
      <c r="F429" s="3" t="s">
        <v>41</v>
      </c>
      <c r="G429" s="5" t="s">
        <v>42</v>
      </c>
      <c r="H429" s="5" t="s">
        <v>43</v>
      </c>
      <c r="I429" s="5" t="s">
        <v>44</v>
      </c>
      <c r="J429" s="3" t="s">
        <v>45</v>
      </c>
      <c r="K429" s="3" t="s">
        <v>480</v>
      </c>
      <c r="L429" s="3" t="s">
        <v>242</v>
      </c>
      <c r="M429" s="3" t="s">
        <v>48</v>
      </c>
      <c r="N429" s="3" t="s">
        <v>493</v>
      </c>
      <c r="O429" s="69" t="s">
        <v>586</v>
      </c>
      <c r="P429" s="3" t="s">
        <v>50</v>
      </c>
      <c r="Q429" s="3" t="s">
        <v>68</v>
      </c>
      <c r="R429" s="3">
        <v>2</v>
      </c>
      <c r="S429" s="3" t="s">
        <v>52</v>
      </c>
      <c r="T429" s="3" t="s">
        <v>53</v>
      </c>
      <c r="U429" s="3" t="s">
        <v>54</v>
      </c>
      <c r="V429" s="7"/>
      <c r="W429" s="7"/>
      <c r="X429" s="7"/>
      <c r="Y429" s="7"/>
      <c r="Z429" s="3" t="s">
        <v>55</v>
      </c>
      <c r="AA429" s="3" t="s">
        <v>88</v>
      </c>
      <c r="AB429" s="3" t="s">
        <v>57</v>
      </c>
      <c r="AD429" s="3">
        <v>13.14</v>
      </c>
      <c r="AE429" s="3">
        <v>13.14</v>
      </c>
      <c r="AG429" s="3">
        <v>1.28</v>
      </c>
      <c r="AH429" s="3">
        <v>61.44</v>
      </c>
      <c r="AI429" s="8">
        <v>17.600000000000001</v>
      </c>
      <c r="AJ429" s="88">
        <v>49.915999999999997</v>
      </c>
      <c r="AK429" s="3" t="s">
        <v>58</v>
      </c>
      <c r="AL429" s="9">
        <f t="shared" si="11"/>
        <v>59.899199999999993</v>
      </c>
      <c r="AN429" t="s">
        <v>5519</v>
      </c>
      <c r="AO429" s="74" t="s">
        <v>5631</v>
      </c>
    </row>
    <row r="430" spans="1:41" ht="14.25" customHeight="1" x14ac:dyDescent="0.3">
      <c r="A430" s="3" t="s">
        <v>475</v>
      </c>
      <c r="B430" s="3" t="s">
        <v>561</v>
      </c>
      <c r="C430" s="3" t="s">
        <v>477</v>
      </c>
      <c r="D430" s="3" t="s">
        <v>562</v>
      </c>
      <c r="E430" s="3" t="s">
        <v>479</v>
      </c>
      <c r="F430" s="3" t="s">
        <v>41</v>
      </c>
      <c r="G430" s="5" t="s">
        <v>42</v>
      </c>
      <c r="H430" s="5" t="s">
        <v>43</v>
      </c>
      <c r="I430" s="5" t="s">
        <v>44</v>
      </c>
      <c r="J430" s="3" t="s">
        <v>45</v>
      </c>
      <c r="K430" s="3" t="s">
        <v>480</v>
      </c>
      <c r="L430" s="3" t="s">
        <v>242</v>
      </c>
      <c r="M430" s="3" t="s">
        <v>48</v>
      </c>
      <c r="N430" s="3" t="s">
        <v>511</v>
      </c>
      <c r="O430" s="69" t="s">
        <v>61</v>
      </c>
      <c r="P430" s="3" t="s">
        <v>50</v>
      </c>
      <c r="Q430" s="3" t="s">
        <v>68</v>
      </c>
      <c r="R430" s="3">
        <v>2</v>
      </c>
      <c r="S430" s="3" t="s">
        <v>52</v>
      </c>
      <c r="T430" s="3" t="s">
        <v>53</v>
      </c>
      <c r="U430" s="3" t="s">
        <v>54</v>
      </c>
      <c r="V430" s="7"/>
      <c r="W430" s="7"/>
      <c r="X430" s="7"/>
      <c r="Y430" s="7"/>
      <c r="Z430" s="3" t="s">
        <v>55</v>
      </c>
      <c r="AA430" s="3" t="s">
        <v>88</v>
      </c>
      <c r="AB430" s="3" t="s">
        <v>57</v>
      </c>
      <c r="AD430" s="3">
        <v>13.4</v>
      </c>
      <c r="AE430" s="3">
        <v>13.4</v>
      </c>
      <c r="AG430" s="3">
        <v>1.28</v>
      </c>
      <c r="AH430" s="3">
        <v>61.44</v>
      </c>
      <c r="AI430" s="8">
        <v>17.600000000000001</v>
      </c>
      <c r="AJ430" s="88">
        <v>49.915999999999997</v>
      </c>
      <c r="AK430" s="3" t="s">
        <v>58</v>
      </c>
      <c r="AL430" s="9">
        <f t="shared" si="11"/>
        <v>59.899199999999993</v>
      </c>
      <c r="AN430" t="s">
        <v>5519</v>
      </c>
      <c r="AO430" s="74" t="s">
        <v>5631</v>
      </c>
    </row>
    <row r="431" spans="1:41" ht="14.25" customHeight="1" x14ac:dyDescent="0.3">
      <c r="A431" s="3" t="s">
        <v>475</v>
      </c>
      <c r="B431" s="3" t="s">
        <v>563</v>
      </c>
      <c r="C431" s="3" t="s">
        <v>477</v>
      </c>
      <c r="D431" s="3" t="s">
        <v>564</v>
      </c>
      <c r="E431" s="3" t="s">
        <v>479</v>
      </c>
      <c r="F431" s="3" t="s">
        <v>41</v>
      </c>
      <c r="G431" s="5" t="s">
        <v>42</v>
      </c>
      <c r="H431" s="5" t="s">
        <v>43</v>
      </c>
      <c r="I431" s="5" t="s">
        <v>44</v>
      </c>
      <c r="J431" s="3" t="s">
        <v>45</v>
      </c>
      <c r="K431" s="3" t="s">
        <v>480</v>
      </c>
      <c r="L431" s="3" t="s">
        <v>242</v>
      </c>
      <c r="M431" s="3" t="s">
        <v>48</v>
      </c>
      <c r="N431" s="3" t="s">
        <v>496</v>
      </c>
      <c r="O431" s="69" t="s">
        <v>586</v>
      </c>
      <c r="P431" s="3" t="s">
        <v>50</v>
      </c>
      <c r="Q431" s="3" t="s">
        <v>68</v>
      </c>
      <c r="R431" s="3">
        <v>2</v>
      </c>
      <c r="S431" s="3" t="s">
        <v>52</v>
      </c>
      <c r="T431" s="3" t="s">
        <v>53</v>
      </c>
      <c r="U431" s="3" t="s">
        <v>54</v>
      </c>
      <c r="V431" s="7"/>
      <c r="W431" s="7"/>
      <c r="X431" s="7"/>
      <c r="Y431" s="7"/>
      <c r="Z431" s="3" t="s">
        <v>55</v>
      </c>
      <c r="AA431" s="3" t="s">
        <v>88</v>
      </c>
      <c r="AB431" s="3" t="s">
        <v>57</v>
      </c>
      <c r="AD431" s="3">
        <v>13.68</v>
      </c>
      <c r="AE431" s="3">
        <v>13.68</v>
      </c>
      <c r="AG431" s="3">
        <v>1.28</v>
      </c>
      <c r="AH431" s="3">
        <v>61.44</v>
      </c>
      <c r="AI431" s="8">
        <v>17.600000000000001</v>
      </c>
      <c r="AJ431" s="88">
        <v>49.915999999999997</v>
      </c>
      <c r="AK431" s="3" t="s">
        <v>58</v>
      </c>
      <c r="AL431" s="9">
        <f t="shared" si="11"/>
        <v>59.899199999999993</v>
      </c>
      <c r="AN431" t="s">
        <v>5519</v>
      </c>
      <c r="AO431" s="74" t="s">
        <v>5631</v>
      </c>
    </row>
    <row r="432" spans="1:41" ht="14.25" customHeight="1" x14ac:dyDescent="0.3">
      <c r="A432" s="3" t="s">
        <v>475</v>
      </c>
      <c r="B432" s="3" t="s">
        <v>565</v>
      </c>
      <c r="C432" s="3" t="s">
        <v>477</v>
      </c>
      <c r="D432" s="3" t="s">
        <v>566</v>
      </c>
      <c r="E432" s="3" t="s">
        <v>479</v>
      </c>
      <c r="F432" s="3" t="s">
        <v>41</v>
      </c>
      <c r="G432" s="5" t="s">
        <v>42</v>
      </c>
      <c r="H432" s="5" t="s">
        <v>43</v>
      </c>
      <c r="I432" s="5" t="s">
        <v>44</v>
      </c>
      <c r="J432" s="3" t="s">
        <v>45</v>
      </c>
      <c r="K432" s="3" t="s">
        <v>480</v>
      </c>
      <c r="L432" s="3" t="s">
        <v>242</v>
      </c>
      <c r="M432" s="3" t="s">
        <v>48</v>
      </c>
      <c r="N432" s="3" t="s">
        <v>505</v>
      </c>
      <c r="O432" s="69" t="s">
        <v>586</v>
      </c>
      <c r="P432" s="3" t="s">
        <v>50</v>
      </c>
      <c r="Q432" s="3" t="s">
        <v>68</v>
      </c>
      <c r="R432" s="3">
        <v>2</v>
      </c>
      <c r="S432" s="3" t="s">
        <v>52</v>
      </c>
      <c r="T432" s="3" t="s">
        <v>53</v>
      </c>
      <c r="U432" s="3" t="s">
        <v>54</v>
      </c>
      <c r="V432" s="7"/>
      <c r="W432" s="7"/>
      <c r="X432" s="7"/>
      <c r="Y432" s="7"/>
      <c r="Z432" s="3" t="s">
        <v>55</v>
      </c>
      <c r="AA432" s="3" t="s">
        <v>88</v>
      </c>
      <c r="AB432" s="3" t="s">
        <v>57</v>
      </c>
      <c r="AD432" s="3">
        <v>13.21</v>
      </c>
      <c r="AE432" s="3">
        <v>13.21</v>
      </c>
      <c r="AG432" s="3">
        <v>1.28</v>
      </c>
      <c r="AH432" s="3">
        <v>61.44</v>
      </c>
      <c r="AI432" s="8">
        <v>17.600000000000001</v>
      </c>
      <c r="AJ432" s="88">
        <v>49.915999999999997</v>
      </c>
      <c r="AK432" s="3" t="s">
        <v>58</v>
      </c>
      <c r="AL432" s="9">
        <f t="shared" si="11"/>
        <v>59.899199999999993</v>
      </c>
      <c r="AN432" t="s">
        <v>5519</v>
      </c>
      <c r="AO432" s="74" t="s">
        <v>5631</v>
      </c>
    </row>
    <row r="433" spans="1:41" ht="14.25" customHeight="1" x14ac:dyDescent="0.3">
      <c r="A433" s="3" t="s">
        <v>475</v>
      </c>
      <c r="B433" s="3" t="s">
        <v>567</v>
      </c>
      <c r="C433" s="3" t="s">
        <v>477</v>
      </c>
      <c r="D433" s="3" t="s">
        <v>568</v>
      </c>
      <c r="E433" s="3" t="s">
        <v>479</v>
      </c>
      <c r="F433" s="3" t="s">
        <v>41</v>
      </c>
      <c r="G433" s="5" t="s">
        <v>42</v>
      </c>
      <c r="H433" s="5" t="s">
        <v>43</v>
      </c>
      <c r="I433" s="5" t="s">
        <v>44</v>
      </c>
      <c r="J433" s="3" t="s">
        <v>45</v>
      </c>
      <c r="K433" s="3" t="s">
        <v>480</v>
      </c>
      <c r="L433" s="3" t="s">
        <v>242</v>
      </c>
      <c r="M433" s="3" t="s">
        <v>48</v>
      </c>
      <c r="N433" s="3" t="s">
        <v>499</v>
      </c>
      <c r="O433" s="69" t="s">
        <v>586</v>
      </c>
      <c r="P433" s="3" t="s">
        <v>50</v>
      </c>
      <c r="Q433" s="3" t="s">
        <v>68</v>
      </c>
      <c r="R433" s="3">
        <v>2</v>
      </c>
      <c r="S433" s="3" t="s">
        <v>52</v>
      </c>
      <c r="T433" s="3" t="s">
        <v>53</v>
      </c>
      <c r="U433" s="3" t="s">
        <v>54</v>
      </c>
      <c r="V433" s="7"/>
      <c r="W433" s="7"/>
      <c r="X433" s="7"/>
      <c r="Y433" s="7"/>
      <c r="Z433" s="3" t="s">
        <v>55</v>
      </c>
      <c r="AA433" s="3" t="s">
        <v>88</v>
      </c>
      <c r="AB433" s="3" t="s">
        <v>57</v>
      </c>
      <c r="AD433" s="3">
        <v>13.35</v>
      </c>
      <c r="AE433" s="3">
        <v>13.35</v>
      </c>
      <c r="AG433" s="3">
        <v>1.28</v>
      </c>
      <c r="AH433" s="3">
        <v>61.44</v>
      </c>
      <c r="AI433" s="8">
        <v>17.600000000000001</v>
      </c>
      <c r="AJ433" s="88">
        <v>49.915999999999997</v>
      </c>
      <c r="AK433" s="3" t="s">
        <v>58</v>
      </c>
      <c r="AL433" s="9">
        <f t="shared" si="11"/>
        <v>59.899199999999993</v>
      </c>
      <c r="AN433" t="s">
        <v>5519</v>
      </c>
      <c r="AO433" s="74" t="s">
        <v>5631</v>
      </c>
    </row>
    <row r="434" spans="1:41" ht="14.25" customHeight="1" x14ac:dyDescent="0.3">
      <c r="A434" s="3" t="s">
        <v>475</v>
      </c>
      <c r="B434" s="3" t="s">
        <v>569</v>
      </c>
      <c r="C434" s="3" t="s">
        <v>477</v>
      </c>
      <c r="D434" s="3" t="s">
        <v>570</v>
      </c>
      <c r="E434" s="3" t="s">
        <v>479</v>
      </c>
      <c r="F434" s="3" t="s">
        <v>41</v>
      </c>
      <c r="G434" s="5" t="s">
        <v>42</v>
      </c>
      <c r="H434" s="5" t="s">
        <v>43</v>
      </c>
      <c r="I434" s="5" t="s">
        <v>44</v>
      </c>
      <c r="J434" s="3" t="s">
        <v>45</v>
      </c>
      <c r="K434" s="3" t="s">
        <v>480</v>
      </c>
      <c r="L434" s="3" t="s">
        <v>242</v>
      </c>
      <c r="M434" s="3" t="s">
        <v>48</v>
      </c>
      <c r="N434" s="3" t="s">
        <v>508</v>
      </c>
      <c r="O434" s="69" t="s">
        <v>586</v>
      </c>
      <c r="P434" s="3" t="s">
        <v>50</v>
      </c>
      <c r="Q434" s="3" t="s">
        <v>68</v>
      </c>
      <c r="R434" s="3">
        <v>2</v>
      </c>
      <c r="S434" s="3" t="s">
        <v>52</v>
      </c>
      <c r="T434" s="3" t="s">
        <v>53</v>
      </c>
      <c r="U434" s="3" t="s">
        <v>54</v>
      </c>
      <c r="V434" s="7"/>
      <c r="W434" s="7"/>
      <c r="X434" s="7"/>
      <c r="Y434" s="7"/>
      <c r="Z434" s="3" t="s">
        <v>55</v>
      </c>
      <c r="AA434" s="3" t="s">
        <v>88</v>
      </c>
      <c r="AB434" s="3" t="s">
        <v>57</v>
      </c>
      <c r="AD434" s="3">
        <v>13.68</v>
      </c>
      <c r="AE434" s="3">
        <v>13.68</v>
      </c>
      <c r="AG434" s="3">
        <v>1.28</v>
      </c>
      <c r="AH434" s="3">
        <v>61.44</v>
      </c>
      <c r="AI434" s="8">
        <v>17.600000000000001</v>
      </c>
      <c r="AJ434" s="88">
        <v>49.915999999999997</v>
      </c>
      <c r="AK434" s="3" t="s">
        <v>58</v>
      </c>
      <c r="AL434" s="9">
        <f t="shared" si="11"/>
        <v>59.899199999999993</v>
      </c>
      <c r="AN434" t="s">
        <v>5519</v>
      </c>
      <c r="AO434" s="74" t="s">
        <v>5631</v>
      </c>
    </row>
    <row r="435" spans="1:41" ht="14.25" customHeight="1" x14ac:dyDescent="0.3">
      <c r="A435" s="3" t="s">
        <v>475</v>
      </c>
      <c r="B435" s="3" t="s">
        <v>571</v>
      </c>
      <c r="C435" s="3" t="s">
        <v>477</v>
      </c>
      <c r="D435" s="3" t="s">
        <v>572</v>
      </c>
      <c r="E435" s="3" t="s">
        <v>479</v>
      </c>
      <c r="F435" s="3" t="s">
        <v>41</v>
      </c>
      <c r="G435" s="5" t="s">
        <v>42</v>
      </c>
      <c r="H435" s="5" t="s">
        <v>43</v>
      </c>
      <c r="I435" s="5" t="s">
        <v>44</v>
      </c>
      <c r="J435" s="3" t="s">
        <v>45</v>
      </c>
      <c r="K435" s="3" t="s">
        <v>480</v>
      </c>
      <c r="L435" s="3" t="s">
        <v>242</v>
      </c>
      <c r="M435" s="3" t="s">
        <v>48</v>
      </c>
      <c r="N435" s="3" t="s">
        <v>502</v>
      </c>
      <c r="O435" s="69" t="s">
        <v>586</v>
      </c>
      <c r="P435" s="3" t="s">
        <v>50</v>
      </c>
      <c r="Q435" s="3" t="s">
        <v>68</v>
      </c>
      <c r="R435" s="3">
        <v>2</v>
      </c>
      <c r="S435" s="3" t="s">
        <v>52</v>
      </c>
      <c r="T435" s="3" t="s">
        <v>53</v>
      </c>
      <c r="U435" s="3" t="s">
        <v>54</v>
      </c>
      <c r="V435" s="7"/>
      <c r="W435" s="7"/>
      <c r="X435" s="7"/>
      <c r="Y435" s="7"/>
      <c r="Z435" s="3" t="s">
        <v>55</v>
      </c>
      <c r="AA435" s="3" t="s">
        <v>88</v>
      </c>
      <c r="AB435" s="3" t="s">
        <v>57</v>
      </c>
      <c r="AD435" s="3">
        <v>14.78</v>
      </c>
      <c r="AE435" s="3">
        <v>14.78</v>
      </c>
      <c r="AG435" s="3">
        <v>1.44</v>
      </c>
      <c r="AH435" s="3">
        <v>50.4</v>
      </c>
      <c r="AI435" s="8">
        <v>17.600000000000001</v>
      </c>
      <c r="AJ435" s="88">
        <v>49.915999999999997</v>
      </c>
      <c r="AK435" s="3" t="s">
        <v>58</v>
      </c>
      <c r="AL435" s="9">
        <f t="shared" si="11"/>
        <v>59.899199999999993</v>
      </c>
      <c r="AN435" t="s">
        <v>5519</v>
      </c>
      <c r="AO435" s="74" t="s">
        <v>5631</v>
      </c>
    </row>
    <row r="436" spans="1:41" ht="14.25" customHeight="1" x14ac:dyDescent="0.3">
      <c r="A436" s="3" t="s">
        <v>475</v>
      </c>
      <c r="B436" s="3" t="s">
        <v>512</v>
      </c>
      <c r="C436" s="3" t="s">
        <v>477</v>
      </c>
      <c r="D436" s="3" t="s">
        <v>513</v>
      </c>
      <c r="E436" s="3" t="s">
        <v>479</v>
      </c>
      <c r="F436" s="3" t="s">
        <v>41</v>
      </c>
      <c r="G436" s="5" t="s">
        <v>42</v>
      </c>
      <c r="H436" s="5" t="s">
        <v>43</v>
      </c>
      <c r="I436" s="5" t="s">
        <v>44</v>
      </c>
      <c r="J436" s="3" t="s">
        <v>45</v>
      </c>
      <c r="K436" s="3" t="s">
        <v>480</v>
      </c>
      <c r="L436" s="3" t="s">
        <v>47</v>
      </c>
      <c r="M436" s="3" t="s">
        <v>48</v>
      </c>
      <c r="N436" s="3" t="s">
        <v>481</v>
      </c>
      <c r="O436" s="69" t="s">
        <v>64</v>
      </c>
      <c r="P436" s="3" t="s">
        <v>50</v>
      </c>
      <c r="Q436" s="3" t="s">
        <v>51</v>
      </c>
      <c r="R436" s="3">
        <v>2</v>
      </c>
      <c r="S436" s="3" t="s">
        <v>52</v>
      </c>
      <c r="T436" s="3" t="s">
        <v>53</v>
      </c>
      <c r="U436" s="3" t="s">
        <v>54</v>
      </c>
      <c r="V436" s="7"/>
      <c r="W436" s="7"/>
      <c r="X436" s="7"/>
      <c r="Y436" s="7"/>
      <c r="Z436" s="3" t="s">
        <v>55</v>
      </c>
      <c r="AA436" s="3" t="s">
        <v>88</v>
      </c>
      <c r="AB436" s="3" t="s">
        <v>57</v>
      </c>
      <c r="AD436" s="3">
        <v>14.78</v>
      </c>
      <c r="AE436" s="3">
        <v>14.78</v>
      </c>
      <c r="AG436" s="3">
        <v>1.44</v>
      </c>
      <c r="AH436" s="3">
        <v>50.4</v>
      </c>
      <c r="AI436" s="3">
        <v>21.1</v>
      </c>
      <c r="AJ436" s="88">
        <v>49.915999999999997</v>
      </c>
      <c r="AK436" s="3" t="s">
        <v>58</v>
      </c>
      <c r="AL436" s="9">
        <f t="shared" si="11"/>
        <v>59.899199999999993</v>
      </c>
      <c r="AN436" t="s">
        <v>5519</v>
      </c>
      <c r="AO436" s="74" t="s">
        <v>5631</v>
      </c>
    </row>
    <row r="437" spans="1:41" ht="14.25" customHeight="1" x14ac:dyDescent="0.3">
      <c r="A437" s="3" t="s">
        <v>475</v>
      </c>
      <c r="B437" s="3" t="s">
        <v>514</v>
      </c>
      <c r="C437" s="3" t="s">
        <v>477</v>
      </c>
      <c r="D437" s="3" t="s">
        <v>515</v>
      </c>
      <c r="E437" s="3" t="s">
        <v>479</v>
      </c>
      <c r="F437" s="3" t="s">
        <v>41</v>
      </c>
      <c r="G437" s="5" t="s">
        <v>42</v>
      </c>
      <c r="H437" s="5" t="s">
        <v>43</v>
      </c>
      <c r="I437" s="5" t="s">
        <v>44</v>
      </c>
      <c r="J437" s="3" t="s">
        <v>45</v>
      </c>
      <c r="K437" s="3" t="s">
        <v>480</v>
      </c>
      <c r="L437" s="3" t="s">
        <v>47</v>
      </c>
      <c r="M437" s="3" t="s">
        <v>48</v>
      </c>
      <c r="N437" s="3" t="s">
        <v>484</v>
      </c>
      <c r="O437" s="69" t="s">
        <v>64</v>
      </c>
      <c r="P437" s="3" t="s">
        <v>50</v>
      </c>
      <c r="Q437" s="3" t="s">
        <v>51</v>
      </c>
      <c r="R437" s="3">
        <v>2</v>
      </c>
      <c r="S437" s="3" t="s">
        <v>52</v>
      </c>
      <c r="T437" s="3" t="s">
        <v>53</v>
      </c>
      <c r="U437" s="3" t="s">
        <v>54</v>
      </c>
      <c r="V437" s="7"/>
      <c r="W437" s="7"/>
      <c r="X437" s="7"/>
      <c r="Y437" s="7"/>
      <c r="Z437" s="3" t="s">
        <v>55</v>
      </c>
      <c r="AA437" s="3" t="s">
        <v>88</v>
      </c>
      <c r="AB437" s="3" t="s">
        <v>57</v>
      </c>
      <c r="AD437" s="3">
        <v>14.8</v>
      </c>
      <c r="AE437" s="3">
        <v>14.8</v>
      </c>
      <c r="AG437" s="3">
        <v>1.44</v>
      </c>
      <c r="AH437" s="3">
        <v>50.4</v>
      </c>
      <c r="AI437" s="3">
        <v>21.1</v>
      </c>
      <c r="AJ437" s="88">
        <v>49.915999999999997</v>
      </c>
      <c r="AK437" s="3" t="s">
        <v>58</v>
      </c>
      <c r="AL437" s="9">
        <f t="shared" si="11"/>
        <v>59.899199999999993</v>
      </c>
      <c r="AN437" t="s">
        <v>5519</v>
      </c>
      <c r="AO437" s="74" t="s">
        <v>5631</v>
      </c>
    </row>
    <row r="438" spans="1:41" ht="14.25" customHeight="1" x14ac:dyDescent="0.3">
      <c r="A438" s="3" t="s">
        <v>475</v>
      </c>
      <c r="B438" s="3" t="s">
        <v>516</v>
      </c>
      <c r="C438" s="3" t="s">
        <v>477</v>
      </c>
      <c r="D438" s="3" t="s">
        <v>517</v>
      </c>
      <c r="E438" s="3" t="s">
        <v>479</v>
      </c>
      <c r="F438" s="3" t="s">
        <v>41</v>
      </c>
      <c r="G438" s="5" t="s">
        <v>42</v>
      </c>
      <c r="H438" s="5" t="s">
        <v>43</v>
      </c>
      <c r="I438" s="5" t="s">
        <v>44</v>
      </c>
      <c r="J438" s="3" t="s">
        <v>45</v>
      </c>
      <c r="K438" s="3" t="s">
        <v>480</v>
      </c>
      <c r="L438" s="3" t="s">
        <v>47</v>
      </c>
      <c r="M438" s="3" t="s">
        <v>48</v>
      </c>
      <c r="N438" s="3" t="s">
        <v>487</v>
      </c>
      <c r="O438" s="69" t="s">
        <v>586</v>
      </c>
      <c r="P438" s="3" t="s">
        <v>50</v>
      </c>
      <c r="Q438" s="3" t="s">
        <v>51</v>
      </c>
      <c r="R438" s="3">
        <v>2</v>
      </c>
      <c r="S438" s="3" t="s">
        <v>52</v>
      </c>
      <c r="T438" s="3" t="s">
        <v>53</v>
      </c>
      <c r="U438" s="3" t="s">
        <v>54</v>
      </c>
      <c r="V438" s="7"/>
      <c r="W438" s="7"/>
      <c r="X438" s="7"/>
      <c r="Y438" s="7"/>
      <c r="Z438" s="3" t="s">
        <v>55</v>
      </c>
      <c r="AA438" s="3" t="s">
        <v>88</v>
      </c>
      <c r="AB438" s="3" t="s">
        <v>57</v>
      </c>
      <c r="AD438" s="3">
        <v>14.63</v>
      </c>
      <c r="AE438" s="3">
        <v>14.63</v>
      </c>
      <c r="AG438" s="3">
        <v>1.44</v>
      </c>
      <c r="AH438" s="3">
        <v>50.4</v>
      </c>
      <c r="AI438" s="3">
        <v>21.1</v>
      </c>
      <c r="AJ438" s="88">
        <v>49.915999999999997</v>
      </c>
      <c r="AK438" s="3" t="s">
        <v>58</v>
      </c>
      <c r="AL438" s="9">
        <f t="shared" si="11"/>
        <v>59.899199999999993</v>
      </c>
      <c r="AN438" t="s">
        <v>5519</v>
      </c>
      <c r="AO438" s="74" t="s">
        <v>5631</v>
      </c>
    </row>
    <row r="439" spans="1:41" ht="14.25" customHeight="1" x14ac:dyDescent="0.3">
      <c r="A439" s="3" t="s">
        <v>475</v>
      </c>
      <c r="B439" s="3" t="s">
        <v>518</v>
      </c>
      <c r="C439" s="3" t="s">
        <v>477</v>
      </c>
      <c r="D439" s="3" t="s">
        <v>519</v>
      </c>
      <c r="E439" s="3" t="s">
        <v>479</v>
      </c>
      <c r="F439" s="3" t="s">
        <v>41</v>
      </c>
      <c r="G439" s="5" t="s">
        <v>42</v>
      </c>
      <c r="H439" s="5" t="s">
        <v>43</v>
      </c>
      <c r="I439" s="5" t="s">
        <v>44</v>
      </c>
      <c r="J439" s="3" t="s">
        <v>45</v>
      </c>
      <c r="K439" s="3" t="s">
        <v>480</v>
      </c>
      <c r="L439" s="3" t="s">
        <v>47</v>
      </c>
      <c r="M439" s="3" t="s">
        <v>48</v>
      </c>
      <c r="N439" s="3" t="s">
        <v>493</v>
      </c>
      <c r="O439" s="69" t="s">
        <v>586</v>
      </c>
      <c r="P439" s="3" t="s">
        <v>50</v>
      </c>
      <c r="Q439" s="3" t="s">
        <v>51</v>
      </c>
      <c r="R439" s="3">
        <v>2</v>
      </c>
      <c r="S439" s="3" t="s">
        <v>52</v>
      </c>
      <c r="T439" s="3" t="s">
        <v>53</v>
      </c>
      <c r="U439" s="3" t="s">
        <v>54</v>
      </c>
      <c r="V439" s="7"/>
      <c r="W439" s="7"/>
      <c r="X439" s="7"/>
      <c r="Y439" s="7"/>
      <c r="Z439" s="3" t="s">
        <v>55</v>
      </c>
      <c r="AA439" s="3" t="s">
        <v>88</v>
      </c>
      <c r="AB439" s="3" t="s">
        <v>57</v>
      </c>
      <c r="AD439" s="3">
        <v>14.91</v>
      </c>
      <c r="AE439" s="3">
        <v>14.91</v>
      </c>
      <c r="AG439" s="3">
        <v>1.44</v>
      </c>
      <c r="AH439" s="3">
        <v>50.4</v>
      </c>
      <c r="AI439" s="3">
        <v>21.1</v>
      </c>
      <c r="AJ439" s="88">
        <v>49.915999999999997</v>
      </c>
      <c r="AK439" s="3" t="s">
        <v>58</v>
      </c>
      <c r="AL439" s="9">
        <f t="shared" si="11"/>
        <v>59.899199999999993</v>
      </c>
      <c r="AN439" t="s">
        <v>5519</v>
      </c>
      <c r="AO439" s="74" t="s">
        <v>5631</v>
      </c>
    </row>
    <row r="440" spans="1:41" ht="14.25" customHeight="1" x14ac:dyDescent="0.3">
      <c r="A440" s="3" t="s">
        <v>475</v>
      </c>
      <c r="B440" s="3" t="s">
        <v>520</v>
      </c>
      <c r="C440" s="3" t="s">
        <v>477</v>
      </c>
      <c r="D440" s="3" t="s">
        <v>521</v>
      </c>
      <c r="E440" s="3" t="s">
        <v>479</v>
      </c>
      <c r="F440" s="3" t="s">
        <v>41</v>
      </c>
      <c r="G440" s="5" t="s">
        <v>42</v>
      </c>
      <c r="H440" s="5" t="s">
        <v>43</v>
      </c>
      <c r="I440" s="5" t="s">
        <v>44</v>
      </c>
      <c r="J440" s="3" t="s">
        <v>45</v>
      </c>
      <c r="K440" s="3" t="s">
        <v>480</v>
      </c>
      <c r="L440" s="3" t="s">
        <v>47</v>
      </c>
      <c r="M440" s="3" t="s">
        <v>48</v>
      </c>
      <c r="N440" s="3" t="s">
        <v>496</v>
      </c>
      <c r="O440" s="69" t="s">
        <v>586</v>
      </c>
      <c r="P440" s="3" t="s">
        <v>50</v>
      </c>
      <c r="Q440" s="3" t="s">
        <v>51</v>
      </c>
      <c r="R440" s="3">
        <v>2</v>
      </c>
      <c r="S440" s="3" t="s">
        <v>52</v>
      </c>
      <c r="T440" s="3" t="s">
        <v>53</v>
      </c>
      <c r="U440" s="3" t="s">
        <v>54</v>
      </c>
      <c r="V440" s="7"/>
      <c r="W440" s="7"/>
      <c r="X440" s="7"/>
      <c r="Y440" s="7"/>
      <c r="Z440" s="3" t="s">
        <v>55</v>
      </c>
      <c r="AA440" s="3" t="s">
        <v>88</v>
      </c>
      <c r="AB440" s="3" t="s">
        <v>57</v>
      </c>
      <c r="AD440" s="3">
        <v>14.78</v>
      </c>
      <c r="AE440" s="3">
        <v>14.78</v>
      </c>
      <c r="AG440" s="3">
        <v>1.44</v>
      </c>
      <c r="AH440" s="3">
        <v>50.4</v>
      </c>
      <c r="AI440" s="3">
        <v>21.1</v>
      </c>
      <c r="AJ440" s="88">
        <v>49.915999999999997</v>
      </c>
      <c r="AK440" s="3" t="s">
        <v>58</v>
      </c>
      <c r="AL440" s="9">
        <f t="shared" si="11"/>
        <v>59.899199999999993</v>
      </c>
      <c r="AN440" t="s">
        <v>5519</v>
      </c>
      <c r="AO440" s="74" t="s">
        <v>5631</v>
      </c>
    </row>
    <row r="441" spans="1:41" ht="14.25" customHeight="1" x14ac:dyDescent="0.3">
      <c r="A441" s="3" t="s">
        <v>475</v>
      </c>
      <c r="B441" s="3" t="s">
        <v>522</v>
      </c>
      <c r="C441" s="3" t="s">
        <v>477</v>
      </c>
      <c r="D441" s="3" t="s">
        <v>523</v>
      </c>
      <c r="E441" s="3" t="s">
        <v>479</v>
      </c>
      <c r="F441" s="3" t="s">
        <v>41</v>
      </c>
      <c r="G441" s="5" t="s">
        <v>42</v>
      </c>
      <c r="H441" s="5" t="s">
        <v>43</v>
      </c>
      <c r="I441" s="5" t="s">
        <v>44</v>
      </c>
      <c r="J441" s="3" t="s">
        <v>45</v>
      </c>
      <c r="K441" s="3" t="s">
        <v>480</v>
      </c>
      <c r="L441" s="3" t="s">
        <v>47</v>
      </c>
      <c r="M441" s="3" t="s">
        <v>48</v>
      </c>
      <c r="N441" s="3" t="s">
        <v>505</v>
      </c>
      <c r="O441" s="69" t="s">
        <v>586</v>
      </c>
      <c r="P441" s="3" t="s">
        <v>50</v>
      </c>
      <c r="Q441" s="3" t="s">
        <v>51</v>
      </c>
      <c r="R441" s="3">
        <v>2</v>
      </c>
      <c r="S441" s="3" t="s">
        <v>52</v>
      </c>
      <c r="T441" s="3" t="s">
        <v>53</v>
      </c>
      <c r="U441" s="3" t="s">
        <v>54</v>
      </c>
      <c r="V441" s="7"/>
      <c r="W441" s="7"/>
      <c r="X441" s="7"/>
      <c r="Y441" s="7"/>
      <c r="Z441" s="3" t="s">
        <v>55</v>
      </c>
      <c r="AA441" s="3" t="s">
        <v>88</v>
      </c>
      <c r="AB441" s="3" t="s">
        <v>57</v>
      </c>
      <c r="AD441" s="3">
        <v>14.94</v>
      </c>
      <c r="AE441" s="3">
        <v>14.94</v>
      </c>
      <c r="AG441" s="3">
        <v>1.44</v>
      </c>
      <c r="AH441" s="3">
        <v>50.4</v>
      </c>
      <c r="AI441" s="3">
        <v>21.1</v>
      </c>
      <c r="AJ441" s="88">
        <v>49.915999999999997</v>
      </c>
      <c r="AK441" s="3" t="s">
        <v>58</v>
      </c>
      <c r="AL441" s="9">
        <f t="shared" si="11"/>
        <v>59.899199999999993</v>
      </c>
      <c r="AN441" t="s">
        <v>5519</v>
      </c>
      <c r="AO441" s="74" t="s">
        <v>5631</v>
      </c>
    </row>
    <row r="442" spans="1:41" ht="14.25" customHeight="1" x14ac:dyDescent="0.3">
      <c r="A442" s="3" t="s">
        <v>475</v>
      </c>
      <c r="B442" s="3" t="s">
        <v>524</v>
      </c>
      <c r="C442" s="3" t="s">
        <v>477</v>
      </c>
      <c r="D442" s="3" t="s">
        <v>525</v>
      </c>
      <c r="E442" s="3" t="s">
        <v>479</v>
      </c>
      <c r="F442" s="3" t="s">
        <v>41</v>
      </c>
      <c r="G442" s="5" t="s">
        <v>42</v>
      </c>
      <c r="H442" s="5" t="s">
        <v>43</v>
      </c>
      <c r="I442" s="5" t="s">
        <v>44</v>
      </c>
      <c r="J442" s="3" t="s">
        <v>45</v>
      </c>
      <c r="K442" s="3" t="s">
        <v>480</v>
      </c>
      <c r="L442" s="3" t="s">
        <v>47</v>
      </c>
      <c r="M442" s="3" t="s">
        <v>48</v>
      </c>
      <c r="N442" s="3" t="s">
        <v>499</v>
      </c>
      <c r="O442" s="69" t="s">
        <v>586</v>
      </c>
      <c r="P442" s="3" t="s">
        <v>50</v>
      </c>
      <c r="Q442" s="3" t="s">
        <v>51</v>
      </c>
      <c r="R442" s="3">
        <v>2</v>
      </c>
      <c r="S442" s="3" t="s">
        <v>52</v>
      </c>
      <c r="T442" s="3" t="s">
        <v>53</v>
      </c>
      <c r="U442" s="3" t="s">
        <v>54</v>
      </c>
      <c r="V442" s="7"/>
      <c r="W442" s="7"/>
      <c r="X442" s="7"/>
      <c r="Y442" s="7"/>
      <c r="Z442" s="3" t="s">
        <v>55</v>
      </c>
      <c r="AA442" s="3" t="s">
        <v>88</v>
      </c>
      <c r="AB442" s="3" t="s">
        <v>57</v>
      </c>
      <c r="AD442" s="3">
        <v>14.78</v>
      </c>
      <c r="AE442" s="3">
        <v>14.78</v>
      </c>
      <c r="AG442" s="3">
        <v>1.44</v>
      </c>
      <c r="AH442" s="3">
        <v>50.4</v>
      </c>
      <c r="AI442" s="3">
        <v>21.1</v>
      </c>
      <c r="AJ442" s="88">
        <v>49.915999999999997</v>
      </c>
      <c r="AK442" s="3" t="s">
        <v>58</v>
      </c>
      <c r="AL442" s="9">
        <f t="shared" si="11"/>
        <v>59.899199999999993</v>
      </c>
      <c r="AN442" t="s">
        <v>5519</v>
      </c>
      <c r="AO442" s="74" t="s">
        <v>5631</v>
      </c>
    </row>
    <row r="443" spans="1:41" ht="14.25" customHeight="1" x14ac:dyDescent="0.3">
      <c r="A443" s="3" t="s">
        <v>475</v>
      </c>
      <c r="B443" s="3" t="s">
        <v>526</v>
      </c>
      <c r="C443" s="3" t="s">
        <v>477</v>
      </c>
      <c r="D443" s="3" t="s">
        <v>527</v>
      </c>
      <c r="E443" s="3" t="s">
        <v>479</v>
      </c>
      <c r="F443" s="3" t="s">
        <v>41</v>
      </c>
      <c r="G443" s="5" t="s">
        <v>42</v>
      </c>
      <c r="H443" s="5" t="s">
        <v>43</v>
      </c>
      <c r="I443" s="5" t="s">
        <v>44</v>
      </c>
      <c r="J443" s="3" t="s">
        <v>45</v>
      </c>
      <c r="K443" s="3" t="s">
        <v>480</v>
      </c>
      <c r="L443" s="3" t="s">
        <v>47</v>
      </c>
      <c r="M443" s="3" t="s">
        <v>48</v>
      </c>
      <c r="N443" s="3" t="s">
        <v>508</v>
      </c>
      <c r="O443" s="69" t="s">
        <v>586</v>
      </c>
      <c r="P443" s="3" t="s">
        <v>50</v>
      </c>
      <c r="Q443" s="3" t="s">
        <v>51</v>
      </c>
      <c r="R443" s="3">
        <v>2</v>
      </c>
      <c r="S443" s="3" t="s">
        <v>52</v>
      </c>
      <c r="T443" s="3" t="s">
        <v>53</v>
      </c>
      <c r="U443" s="3" t="s">
        <v>54</v>
      </c>
      <c r="V443" s="7"/>
      <c r="W443" s="7"/>
      <c r="X443" s="7"/>
      <c r="Y443" s="7"/>
      <c r="Z443" s="3" t="s">
        <v>55</v>
      </c>
      <c r="AA443" s="3" t="s">
        <v>88</v>
      </c>
      <c r="AB443" s="3" t="s">
        <v>57</v>
      </c>
      <c r="AD443" s="3">
        <v>14.61</v>
      </c>
      <c r="AE443" s="3">
        <v>14.61</v>
      </c>
      <c r="AG443" s="3">
        <v>1.44</v>
      </c>
      <c r="AH443" s="3">
        <v>50.4</v>
      </c>
      <c r="AI443" s="3">
        <v>21.1</v>
      </c>
      <c r="AJ443" s="88">
        <v>49.915999999999997</v>
      </c>
      <c r="AK443" s="3" t="s">
        <v>58</v>
      </c>
      <c r="AL443" s="9">
        <f t="shared" si="11"/>
        <v>59.899199999999993</v>
      </c>
      <c r="AN443" t="s">
        <v>5519</v>
      </c>
      <c r="AO443" s="74" t="s">
        <v>5631</v>
      </c>
    </row>
    <row r="444" spans="1:41" ht="14.25" customHeight="1" x14ac:dyDescent="0.3">
      <c r="A444" s="3" t="s">
        <v>475</v>
      </c>
      <c r="B444" s="3" t="s">
        <v>528</v>
      </c>
      <c r="C444" s="3" t="s">
        <v>477</v>
      </c>
      <c r="D444" s="3" t="s">
        <v>529</v>
      </c>
      <c r="E444" s="3" t="s">
        <v>479</v>
      </c>
      <c r="F444" s="3" t="s">
        <v>41</v>
      </c>
      <c r="G444" s="5" t="s">
        <v>42</v>
      </c>
      <c r="H444" s="5" t="s">
        <v>43</v>
      </c>
      <c r="I444" s="5" t="s">
        <v>44</v>
      </c>
      <c r="J444" s="3" t="s">
        <v>45</v>
      </c>
      <c r="K444" s="3" t="s">
        <v>480</v>
      </c>
      <c r="L444" s="3" t="s">
        <v>47</v>
      </c>
      <c r="M444" s="3" t="s">
        <v>48</v>
      </c>
      <c r="N444" s="3" t="s">
        <v>502</v>
      </c>
      <c r="O444" s="69" t="s">
        <v>586</v>
      </c>
      <c r="P444" s="3" t="s">
        <v>50</v>
      </c>
      <c r="Q444" s="3" t="s">
        <v>51</v>
      </c>
      <c r="R444" s="3">
        <v>2</v>
      </c>
      <c r="S444" s="3" t="s">
        <v>52</v>
      </c>
      <c r="T444" s="3" t="s">
        <v>53</v>
      </c>
      <c r="U444" s="3" t="s">
        <v>54</v>
      </c>
      <c r="V444" s="7"/>
      <c r="W444" s="7"/>
      <c r="X444" s="7"/>
      <c r="Y444" s="7"/>
      <c r="Z444" s="3" t="s">
        <v>55</v>
      </c>
      <c r="AA444" s="3" t="s">
        <v>88</v>
      </c>
      <c r="AB444" s="3" t="s">
        <v>57</v>
      </c>
      <c r="AD444" s="3">
        <v>7.375</v>
      </c>
      <c r="AE444" s="3">
        <v>7.375</v>
      </c>
      <c r="AG444" s="3">
        <v>1.08</v>
      </c>
      <c r="AH444" s="3">
        <v>43.2</v>
      </c>
      <c r="AI444" s="3">
        <v>21.1</v>
      </c>
      <c r="AJ444" s="88">
        <v>49.915999999999997</v>
      </c>
      <c r="AK444" s="3" t="s">
        <v>58</v>
      </c>
      <c r="AL444" s="9">
        <f t="shared" si="11"/>
        <v>59.899199999999993</v>
      </c>
      <c r="AN444" t="s">
        <v>5519</v>
      </c>
      <c r="AO444" s="74" t="s">
        <v>5631</v>
      </c>
    </row>
    <row r="445" spans="1:41" ht="14.25" customHeight="1" x14ac:dyDescent="0.3">
      <c r="A445" s="3" t="s">
        <v>475</v>
      </c>
      <c r="B445" s="3" t="s">
        <v>476</v>
      </c>
      <c r="C445" s="3" t="s">
        <v>477</v>
      </c>
      <c r="D445" s="3" t="s">
        <v>478</v>
      </c>
      <c r="E445" s="3" t="s">
        <v>479</v>
      </c>
      <c r="F445" s="3" t="s">
        <v>41</v>
      </c>
      <c r="G445" s="5" t="s">
        <v>42</v>
      </c>
      <c r="H445" s="5" t="s">
        <v>43</v>
      </c>
      <c r="I445" s="5" t="s">
        <v>44</v>
      </c>
      <c r="J445" s="3" t="s">
        <v>45</v>
      </c>
      <c r="K445" s="3" t="s">
        <v>480</v>
      </c>
      <c r="L445" s="3" t="s">
        <v>132</v>
      </c>
      <c r="M445" s="3" t="s">
        <v>48</v>
      </c>
      <c r="N445" s="3" t="s">
        <v>481</v>
      </c>
      <c r="O445" s="69" t="s">
        <v>64</v>
      </c>
      <c r="P445" s="3" t="s">
        <v>50</v>
      </c>
      <c r="Q445" s="3" t="s">
        <v>68</v>
      </c>
      <c r="R445" s="3">
        <v>2</v>
      </c>
      <c r="S445" s="3" t="s">
        <v>52</v>
      </c>
      <c r="T445" s="3" t="s">
        <v>53</v>
      </c>
      <c r="U445" s="3" t="s">
        <v>54</v>
      </c>
      <c r="V445" s="7"/>
      <c r="W445" s="7"/>
      <c r="X445" s="7"/>
      <c r="Y445" s="7"/>
      <c r="Z445" s="3" t="s">
        <v>55</v>
      </c>
      <c r="AA445" s="3" t="s">
        <v>88</v>
      </c>
      <c r="AB445" s="3" t="s">
        <v>57</v>
      </c>
      <c r="AD445" s="3">
        <v>31.74</v>
      </c>
      <c r="AE445" s="3">
        <v>31.74</v>
      </c>
      <c r="AG445" s="3">
        <v>2.88</v>
      </c>
      <c r="AH445" s="3">
        <v>57.6</v>
      </c>
      <c r="AI445" s="3">
        <v>28.6</v>
      </c>
      <c r="AJ445" s="88">
        <v>66.582999999999998</v>
      </c>
      <c r="AK445" s="3" t="s">
        <v>58</v>
      </c>
      <c r="AL445" s="9">
        <f t="shared" si="11"/>
        <v>79.899599999999992</v>
      </c>
      <c r="AN445" t="s">
        <v>5519</v>
      </c>
      <c r="AO445" s="74" t="s">
        <v>5631</v>
      </c>
    </row>
    <row r="446" spans="1:41" ht="14.25" customHeight="1" x14ac:dyDescent="0.3">
      <c r="A446" s="3" t="s">
        <v>475</v>
      </c>
      <c r="B446" s="3" t="s">
        <v>482</v>
      </c>
      <c r="C446" s="3" t="s">
        <v>477</v>
      </c>
      <c r="D446" s="3" t="s">
        <v>483</v>
      </c>
      <c r="E446" s="3" t="s">
        <v>479</v>
      </c>
      <c r="F446" s="3" t="s">
        <v>41</v>
      </c>
      <c r="G446" s="5" t="s">
        <v>42</v>
      </c>
      <c r="H446" s="5" t="s">
        <v>43</v>
      </c>
      <c r="I446" s="5" t="s">
        <v>44</v>
      </c>
      <c r="J446" s="3" t="s">
        <v>45</v>
      </c>
      <c r="K446" s="3" t="s">
        <v>480</v>
      </c>
      <c r="L446" s="3" t="s">
        <v>132</v>
      </c>
      <c r="M446" s="3" t="s">
        <v>48</v>
      </c>
      <c r="N446" s="3" t="s">
        <v>484</v>
      </c>
      <c r="O446" s="69" t="s">
        <v>64</v>
      </c>
      <c r="P446" s="3" t="s">
        <v>50</v>
      </c>
      <c r="Q446" s="3" t="s">
        <v>68</v>
      </c>
      <c r="R446" s="3">
        <v>2</v>
      </c>
      <c r="S446" s="3" t="s">
        <v>52</v>
      </c>
      <c r="T446" s="3" t="s">
        <v>53</v>
      </c>
      <c r="U446" s="3" t="s">
        <v>54</v>
      </c>
      <c r="V446" s="7"/>
      <c r="W446" s="7"/>
      <c r="X446" s="7"/>
      <c r="Y446" s="7"/>
      <c r="Z446" s="3" t="s">
        <v>55</v>
      </c>
      <c r="AA446" s="3" t="s">
        <v>88</v>
      </c>
      <c r="AB446" s="3" t="s">
        <v>57</v>
      </c>
      <c r="AD446" s="3">
        <v>30.78</v>
      </c>
      <c r="AE446" s="3">
        <v>30.78</v>
      </c>
      <c r="AG446" s="3">
        <v>2.88</v>
      </c>
      <c r="AH446" s="3">
        <v>57.6</v>
      </c>
      <c r="AI446" s="3">
        <v>28.6</v>
      </c>
      <c r="AJ446" s="88">
        <v>66.582999999999998</v>
      </c>
      <c r="AK446" s="3" t="s">
        <v>58</v>
      </c>
      <c r="AL446" s="9">
        <f t="shared" si="11"/>
        <v>79.899599999999992</v>
      </c>
      <c r="AN446" t="s">
        <v>5519</v>
      </c>
      <c r="AO446" s="74" t="s">
        <v>5631</v>
      </c>
    </row>
    <row r="447" spans="1:41" ht="14.25" customHeight="1" x14ac:dyDescent="0.3">
      <c r="A447" s="3" t="s">
        <v>475</v>
      </c>
      <c r="B447" s="3" t="s">
        <v>485</v>
      </c>
      <c r="C447" s="3" t="s">
        <v>477</v>
      </c>
      <c r="D447" s="3" t="s">
        <v>486</v>
      </c>
      <c r="E447" s="3" t="s">
        <v>479</v>
      </c>
      <c r="F447" s="3" t="s">
        <v>41</v>
      </c>
      <c r="G447" s="5" t="s">
        <v>42</v>
      </c>
      <c r="H447" s="5" t="s">
        <v>43</v>
      </c>
      <c r="I447" s="5" t="s">
        <v>44</v>
      </c>
      <c r="J447" s="3" t="s">
        <v>45</v>
      </c>
      <c r="K447" s="3" t="s">
        <v>480</v>
      </c>
      <c r="L447" s="3" t="s">
        <v>132</v>
      </c>
      <c r="M447" s="3" t="s">
        <v>48</v>
      </c>
      <c r="N447" s="3" t="s">
        <v>487</v>
      </c>
      <c r="O447" s="69" t="s">
        <v>586</v>
      </c>
      <c r="P447" s="3" t="s">
        <v>50</v>
      </c>
      <c r="Q447" s="3" t="s">
        <v>68</v>
      </c>
      <c r="R447" s="3">
        <v>2</v>
      </c>
      <c r="S447" s="3" t="s">
        <v>52</v>
      </c>
      <c r="T447" s="3" t="s">
        <v>53</v>
      </c>
      <c r="U447" s="3" t="s">
        <v>54</v>
      </c>
      <c r="V447" s="7"/>
      <c r="W447" s="7"/>
      <c r="X447" s="7"/>
      <c r="Y447" s="7"/>
      <c r="Z447" s="3" t="s">
        <v>55</v>
      </c>
      <c r="AA447" s="3" t="s">
        <v>88</v>
      </c>
      <c r="AB447" s="3" t="s">
        <v>57</v>
      </c>
      <c r="AD447" s="3">
        <v>30.93</v>
      </c>
      <c r="AE447" s="3">
        <v>30.93</v>
      </c>
      <c r="AG447" s="3">
        <v>2.88</v>
      </c>
      <c r="AH447" s="3">
        <v>57.6</v>
      </c>
      <c r="AI447" s="3">
        <v>28.6</v>
      </c>
      <c r="AJ447" s="88">
        <v>66.582999999999998</v>
      </c>
      <c r="AK447" s="3" t="s">
        <v>58</v>
      </c>
      <c r="AL447" s="9">
        <f t="shared" si="11"/>
        <v>79.899599999999992</v>
      </c>
      <c r="AN447" t="s">
        <v>5519</v>
      </c>
      <c r="AO447" s="74" t="s">
        <v>5631</v>
      </c>
    </row>
    <row r="448" spans="1:41" ht="14.25" customHeight="1" x14ac:dyDescent="0.3">
      <c r="A448" s="3" t="s">
        <v>475</v>
      </c>
      <c r="B448" s="3" t="s">
        <v>488</v>
      </c>
      <c r="C448" s="3" t="s">
        <v>477</v>
      </c>
      <c r="D448" s="3" t="s">
        <v>489</v>
      </c>
      <c r="E448" s="3" t="s">
        <v>479</v>
      </c>
      <c r="F448" s="3" t="s">
        <v>41</v>
      </c>
      <c r="G448" s="5" t="s">
        <v>42</v>
      </c>
      <c r="H448" s="5" t="s">
        <v>43</v>
      </c>
      <c r="I448" s="5" t="s">
        <v>44</v>
      </c>
      <c r="J448" s="3" t="s">
        <v>45</v>
      </c>
      <c r="K448" s="3" t="s">
        <v>480</v>
      </c>
      <c r="L448" s="3" t="s">
        <v>132</v>
      </c>
      <c r="M448" s="3" t="s">
        <v>48</v>
      </c>
      <c r="N448" s="3" t="s">
        <v>490</v>
      </c>
      <c r="O448" s="69" t="s">
        <v>61</v>
      </c>
      <c r="P448" s="3" t="s">
        <v>50</v>
      </c>
      <c r="Q448" s="3" t="s">
        <v>68</v>
      </c>
      <c r="R448" s="3">
        <v>2</v>
      </c>
      <c r="S448" s="3" t="s">
        <v>52</v>
      </c>
      <c r="T448" s="3" t="s">
        <v>53</v>
      </c>
      <c r="U448" s="3" t="s">
        <v>54</v>
      </c>
      <c r="V448" s="7"/>
      <c r="W448" s="7"/>
      <c r="X448" s="7"/>
      <c r="Y448" s="7"/>
      <c r="Z448" s="3" t="s">
        <v>55</v>
      </c>
      <c r="AA448" s="3" t="s">
        <v>88</v>
      </c>
      <c r="AB448" s="3" t="s">
        <v>57</v>
      </c>
      <c r="AD448" s="3">
        <v>30.78</v>
      </c>
      <c r="AE448" s="3">
        <v>30.78</v>
      </c>
      <c r="AG448" s="3">
        <v>2.88</v>
      </c>
      <c r="AH448" s="3">
        <v>57.6</v>
      </c>
      <c r="AI448" s="3">
        <v>28.6</v>
      </c>
      <c r="AJ448" s="88">
        <v>66.582999999999998</v>
      </c>
      <c r="AK448" s="3" t="s">
        <v>58</v>
      </c>
      <c r="AL448" s="9">
        <f t="shared" si="11"/>
        <v>79.899599999999992</v>
      </c>
      <c r="AN448" t="s">
        <v>5519</v>
      </c>
      <c r="AO448" s="74" t="s">
        <v>5631</v>
      </c>
    </row>
    <row r="449" spans="1:41" ht="14.25" customHeight="1" x14ac:dyDescent="0.3">
      <c r="A449" s="3" t="s">
        <v>475</v>
      </c>
      <c r="B449" s="3" t="s">
        <v>491</v>
      </c>
      <c r="C449" s="3" t="s">
        <v>477</v>
      </c>
      <c r="D449" s="3" t="s">
        <v>492</v>
      </c>
      <c r="E449" s="3" t="s">
        <v>479</v>
      </c>
      <c r="F449" s="3" t="s">
        <v>41</v>
      </c>
      <c r="G449" s="5" t="s">
        <v>42</v>
      </c>
      <c r="H449" s="5" t="s">
        <v>43</v>
      </c>
      <c r="I449" s="5" t="s">
        <v>44</v>
      </c>
      <c r="J449" s="3" t="s">
        <v>45</v>
      </c>
      <c r="K449" s="3" t="s">
        <v>480</v>
      </c>
      <c r="L449" s="3" t="s">
        <v>132</v>
      </c>
      <c r="M449" s="3" t="s">
        <v>48</v>
      </c>
      <c r="N449" s="3" t="s">
        <v>493</v>
      </c>
      <c r="O449" s="69" t="s">
        <v>586</v>
      </c>
      <c r="P449" s="3" t="s">
        <v>50</v>
      </c>
      <c r="Q449" s="3" t="s">
        <v>68</v>
      </c>
      <c r="R449" s="3">
        <v>2</v>
      </c>
      <c r="S449" s="3" t="s">
        <v>52</v>
      </c>
      <c r="T449" s="3" t="s">
        <v>53</v>
      </c>
      <c r="U449" s="3" t="s">
        <v>54</v>
      </c>
      <c r="V449" s="7"/>
      <c r="W449" s="7"/>
      <c r="X449" s="7"/>
      <c r="Y449" s="7"/>
      <c r="Z449" s="3" t="s">
        <v>55</v>
      </c>
      <c r="AA449" s="3" t="s">
        <v>88</v>
      </c>
      <c r="AB449" s="3" t="s">
        <v>57</v>
      </c>
      <c r="AD449" s="3">
        <v>30.78</v>
      </c>
      <c r="AE449" s="3">
        <v>30.78</v>
      </c>
      <c r="AG449" s="3">
        <v>2.88</v>
      </c>
      <c r="AH449" s="3">
        <v>57.6</v>
      </c>
      <c r="AI449" s="3">
        <v>28.6</v>
      </c>
      <c r="AJ449" s="88">
        <v>66.582999999999998</v>
      </c>
      <c r="AK449" s="3" t="s">
        <v>58</v>
      </c>
      <c r="AL449" s="9">
        <f t="shared" si="11"/>
        <v>79.899599999999992</v>
      </c>
      <c r="AN449" t="s">
        <v>5519</v>
      </c>
      <c r="AO449" s="74" t="s">
        <v>5631</v>
      </c>
    </row>
    <row r="450" spans="1:41" ht="14.25" customHeight="1" x14ac:dyDescent="0.3">
      <c r="A450" s="3" t="s">
        <v>475</v>
      </c>
      <c r="B450" s="3" t="s">
        <v>494</v>
      </c>
      <c r="C450" s="3" t="s">
        <v>477</v>
      </c>
      <c r="D450" s="3" t="s">
        <v>495</v>
      </c>
      <c r="E450" s="3" t="s">
        <v>479</v>
      </c>
      <c r="F450" s="3" t="s">
        <v>41</v>
      </c>
      <c r="G450" s="5" t="s">
        <v>42</v>
      </c>
      <c r="H450" s="5" t="s">
        <v>43</v>
      </c>
      <c r="I450" s="5" t="s">
        <v>44</v>
      </c>
      <c r="J450" s="3" t="s">
        <v>45</v>
      </c>
      <c r="K450" s="3" t="s">
        <v>480</v>
      </c>
      <c r="L450" s="3" t="s">
        <v>132</v>
      </c>
      <c r="M450" s="3" t="s">
        <v>48</v>
      </c>
      <c r="N450" s="3" t="s">
        <v>496</v>
      </c>
      <c r="O450" s="69" t="s">
        <v>586</v>
      </c>
      <c r="P450" s="3" t="s">
        <v>50</v>
      </c>
      <c r="Q450" s="3" t="s">
        <v>68</v>
      </c>
      <c r="R450" s="3">
        <v>2</v>
      </c>
      <c r="S450" s="3" t="s">
        <v>52</v>
      </c>
      <c r="T450" s="3" t="s">
        <v>53</v>
      </c>
      <c r="U450" s="3" t="s">
        <v>54</v>
      </c>
      <c r="V450" s="7"/>
      <c r="W450" s="7"/>
      <c r="X450" s="7"/>
      <c r="Y450" s="7"/>
      <c r="Z450" s="3" t="s">
        <v>55</v>
      </c>
      <c r="AA450" s="3" t="s">
        <v>88</v>
      </c>
      <c r="AB450" s="3" t="s">
        <v>57</v>
      </c>
      <c r="AD450" s="3">
        <v>31.49</v>
      </c>
      <c r="AE450" s="3">
        <v>31.49</v>
      </c>
      <c r="AG450" s="3">
        <v>2.88</v>
      </c>
      <c r="AH450" s="3">
        <v>57.6</v>
      </c>
      <c r="AI450" s="3">
        <v>28.6</v>
      </c>
      <c r="AJ450" s="88">
        <v>66.582999999999998</v>
      </c>
      <c r="AK450" s="3" t="s">
        <v>58</v>
      </c>
      <c r="AL450" s="9">
        <f t="shared" si="11"/>
        <v>79.899599999999992</v>
      </c>
      <c r="AN450" t="s">
        <v>5519</v>
      </c>
      <c r="AO450" s="74" t="s">
        <v>5631</v>
      </c>
    </row>
    <row r="451" spans="1:41" ht="14.25" customHeight="1" x14ac:dyDescent="0.3">
      <c r="A451" s="3" t="s">
        <v>475</v>
      </c>
      <c r="B451" s="3" t="s">
        <v>497</v>
      </c>
      <c r="C451" s="3" t="s">
        <v>477</v>
      </c>
      <c r="D451" s="3" t="s">
        <v>498</v>
      </c>
      <c r="E451" s="3" t="s">
        <v>479</v>
      </c>
      <c r="F451" s="3" t="s">
        <v>41</v>
      </c>
      <c r="G451" s="5" t="s">
        <v>42</v>
      </c>
      <c r="H451" s="5" t="s">
        <v>43</v>
      </c>
      <c r="I451" s="5" t="s">
        <v>44</v>
      </c>
      <c r="J451" s="3" t="s">
        <v>45</v>
      </c>
      <c r="K451" s="3" t="s">
        <v>480</v>
      </c>
      <c r="L451" s="3" t="s">
        <v>132</v>
      </c>
      <c r="M451" s="3" t="s">
        <v>48</v>
      </c>
      <c r="N451" s="3" t="s">
        <v>499</v>
      </c>
      <c r="O451" s="69" t="s">
        <v>586</v>
      </c>
      <c r="P451" s="3" t="s">
        <v>50</v>
      </c>
      <c r="Q451" s="3" t="s">
        <v>68</v>
      </c>
      <c r="R451" s="3">
        <v>2</v>
      </c>
      <c r="S451" s="3" t="s">
        <v>52</v>
      </c>
      <c r="T451" s="3" t="s">
        <v>53</v>
      </c>
      <c r="U451" s="3" t="s">
        <v>54</v>
      </c>
      <c r="V451" s="7"/>
      <c r="W451" s="7"/>
      <c r="X451" s="7"/>
      <c r="Y451" s="7"/>
      <c r="Z451" s="3" t="s">
        <v>55</v>
      </c>
      <c r="AA451" s="3" t="s">
        <v>88</v>
      </c>
      <c r="AB451" s="3" t="s">
        <v>57</v>
      </c>
      <c r="AD451" s="3">
        <v>31.28</v>
      </c>
      <c r="AE451" s="3">
        <v>31.28</v>
      </c>
      <c r="AG451" s="3">
        <v>2.88</v>
      </c>
      <c r="AH451" s="3">
        <v>57.6</v>
      </c>
      <c r="AI451" s="3">
        <v>28.6</v>
      </c>
      <c r="AJ451" s="88">
        <v>66.582999999999998</v>
      </c>
      <c r="AK451" s="3" t="s">
        <v>58</v>
      </c>
      <c r="AL451" s="9">
        <f t="shared" si="11"/>
        <v>79.899599999999992</v>
      </c>
      <c r="AN451" t="s">
        <v>5519</v>
      </c>
      <c r="AO451" s="74" t="s">
        <v>5631</v>
      </c>
    </row>
    <row r="452" spans="1:41" ht="14.25" customHeight="1" x14ac:dyDescent="0.3">
      <c r="A452" s="3" t="s">
        <v>475</v>
      </c>
      <c r="B452" s="3" t="s">
        <v>500</v>
      </c>
      <c r="C452" s="3" t="s">
        <v>477</v>
      </c>
      <c r="D452" s="3" t="s">
        <v>501</v>
      </c>
      <c r="E452" s="3" t="s">
        <v>479</v>
      </c>
      <c r="F452" s="3" t="s">
        <v>41</v>
      </c>
      <c r="G452" s="5" t="s">
        <v>42</v>
      </c>
      <c r="H452" s="5" t="s">
        <v>43</v>
      </c>
      <c r="I452" s="5" t="s">
        <v>44</v>
      </c>
      <c r="J452" s="3" t="s">
        <v>45</v>
      </c>
      <c r="K452" s="3" t="s">
        <v>480</v>
      </c>
      <c r="L452" s="3" t="s">
        <v>132</v>
      </c>
      <c r="M452" s="3" t="s">
        <v>48</v>
      </c>
      <c r="N452" s="3" t="s">
        <v>502</v>
      </c>
      <c r="O452" s="69" t="s">
        <v>586</v>
      </c>
      <c r="P452" s="3" t="s">
        <v>50</v>
      </c>
      <c r="Q452" s="3" t="s">
        <v>68</v>
      </c>
      <c r="R452" s="3">
        <v>2</v>
      </c>
      <c r="S452" s="3" t="s">
        <v>52</v>
      </c>
      <c r="T452" s="3" t="s">
        <v>53</v>
      </c>
      <c r="U452" s="3" t="s">
        <v>54</v>
      </c>
      <c r="V452" s="7"/>
      <c r="W452" s="7"/>
      <c r="X452" s="7"/>
      <c r="Y452" s="7"/>
      <c r="Z452" s="3" t="s">
        <v>55</v>
      </c>
      <c r="AA452" s="3" t="s">
        <v>88</v>
      </c>
      <c r="AB452" s="3" t="s">
        <v>57</v>
      </c>
      <c r="AD452" s="3">
        <v>30.32</v>
      </c>
      <c r="AE452" s="3">
        <v>30.32</v>
      </c>
      <c r="AG452" s="3">
        <v>2.88</v>
      </c>
      <c r="AH452" s="3">
        <v>57.6</v>
      </c>
      <c r="AI452" s="3">
        <v>28.6</v>
      </c>
      <c r="AJ452" s="88">
        <v>66.582999999999998</v>
      </c>
      <c r="AK452" s="3" t="s">
        <v>58</v>
      </c>
      <c r="AL452" s="9">
        <f t="shared" si="11"/>
        <v>79.899599999999992</v>
      </c>
      <c r="AN452" t="s">
        <v>5519</v>
      </c>
      <c r="AO452" s="74" t="s">
        <v>5631</v>
      </c>
    </row>
    <row r="453" spans="1:41" ht="14.25" customHeight="1" x14ac:dyDescent="0.3">
      <c r="A453" s="3" t="s">
        <v>475</v>
      </c>
      <c r="B453" s="3" t="s">
        <v>503</v>
      </c>
      <c r="C453" s="3" t="s">
        <v>477</v>
      </c>
      <c r="D453" s="3" t="s">
        <v>504</v>
      </c>
      <c r="E453" s="3" t="s">
        <v>479</v>
      </c>
      <c r="F453" s="3" t="s">
        <v>41</v>
      </c>
      <c r="G453" s="5" t="s">
        <v>42</v>
      </c>
      <c r="H453" s="5" t="s">
        <v>43</v>
      </c>
      <c r="I453" s="5" t="s">
        <v>44</v>
      </c>
      <c r="J453" s="3" t="s">
        <v>45</v>
      </c>
      <c r="K453" s="3" t="s">
        <v>480</v>
      </c>
      <c r="L453" s="3" t="s">
        <v>132</v>
      </c>
      <c r="M453" s="3" t="s">
        <v>48</v>
      </c>
      <c r="N453" s="3" t="s">
        <v>505</v>
      </c>
      <c r="O453" s="69" t="s">
        <v>586</v>
      </c>
      <c r="P453" s="3" t="s">
        <v>50</v>
      </c>
      <c r="Q453" s="3" t="s">
        <v>68</v>
      </c>
      <c r="R453" s="3">
        <v>2</v>
      </c>
      <c r="S453" s="3" t="s">
        <v>52</v>
      </c>
      <c r="T453" s="3" t="s">
        <v>53</v>
      </c>
      <c r="U453" s="3" t="s">
        <v>54</v>
      </c>
      <c r="V453" s="7"/>
      <c r="W453" s="7"/>
      <c r="X453" s="7"/>
      <c r="Y453" s="7"/>
      <c r="Z453" s="3" t="s">
        <v>55</v>
      </c>
      <c r="AA453" s="3" t="s">
        <v>88</v>
      </c>
      <c r="AB453" s="3" t="s">
        <v>57</v>
      </c>
      <c r="AD453" s="3">
        <v>30.87</v>
      </c>
      <c r="AE453" s="3">
        <v>30.87</v>
      </c>
      <c r="AG453" s="3">
        <v>2.88</v>
      </c>
      <c r="AH453" s="3">
        <v>57.6</v>
      </c>
      <c r="AI453" s="3">
        <v>28.6</v>
      </c>
      <c r="AJ453" s="88">
        <v>66.582999999999998</v>
      </c>
      <c r="AK453" s="3" t="s">
        <v>58</v>
      </c>
      <c r="AL453" s="9">
        <f t="shared" si="11"/>
        <v>79.899599999999992</v>
      </c>
      <c r="AN453" t="s">
        <v>5519</v>
      </c>
      <c r="AO453" s="74" t="s">
        <v>5631</v>
      </c>
    </row>
    <row r="454" spans="1:41" ht="14.25" customHeight="1" x14ac:dyDescent="0.3">
      <c r="A454" s="3" t="s">
        <v>475</v>
      </c>
      <c r="B454" s="3" t="s">
        <v>506</v>
      </c>
      <c r="C454" s="3" t="s">
        <v>477</v>
      </c>
      <c r="D454" s="3" t="s">
        <v>507</v>
      </c>
      <c r="E454" s="3" t="s">
        <v>479</v>
      </c>
      <c r="F454" s="3" t="s">
        <v>41</v>
      </c>
      <c r="G454" s="5" t="s">
        <v>42</v>
      </c>
      <c r="H454" s="5" t="s">
        <v>43</v>
      </c>
      <c r="I454" s="5" t="s">
        <v>44</v>
      </c>
      <c r="J454" s="3" t="s">
        <v>45</v>
      </c>
      <c r="K454" s="3" t="s">
        <v>480</v>
      </c>
      <c r="L454" s="3" t="s">
        <v>132</v>
      </c>
      <c r="M454" s="3" t="s">
        <v>48</v>
      </c>
      <c r="N454" s="3" t="s">
        <v>508</v>
      </c>
      <c r="O454" s="69" t="s">
        <v>586</v>
      </c>
      <c r="P454" s="3" t="s">
        <v>50</v>
      </c>
      <c r="Q454" s="3" t="s">
        <v>68</v>
      </c>
      <c r="R454" s="3">
        <v>2</v>
      </c>
      <c r="S454" s="3" t="s">
        <v>52</v>
      </c>
      <c r="T454" s="3" t="s">
        <v>53</v>
      </c>
      <c r="U454" s="3" t="s">
        <v>54</v>
      </c>
      <c r="V454" s="7"/>
      <c r="W454" s="7"/>
      <c r="X454" s="7"/>
      <c r="Y454" s="7"/>
      <c r="Z454" s="3" t="s">
        <v>55</v>
      </c>
      <c r="AA454" s="3" t="s">
        <v>88</v>
      </c>
      <c r="AB454" s="3" t="s">
        <v>57</v>
      </c>
      <c r="AD454" s="3">
        <v>30.78</v>
      </c>
      <c r="AE454" s="3">
        <v>30.78</v>
      </c>
      <c r="AG454" s="3">
        <v>2.88</v>
      </c>
      <c r="AH454" s="3">
        <v>57.6</v>
      </c>
      <c r="AI454" s="3">
        <v>28.6</v>
      </c>
      <c r="AJ454" s="88">
        <v>66.582999999999998</v>
      </c>
      <c r="AK454" s="3" t="s">
        <v>58</v>
      </c>
      <c r="AL454" s="9">
        <f t="shared" si="11"/>
        <v>79.899599999999992</v>
      </c>
      <c r="AN454" t="s">
        <v>5519</v>
      </c>
      <c r="AO454" s="74" t="s">
        <v>5631</v>
      </c>
    </row>
    <row r="455" spans="1:41" ht="14.25" customHeight="1" x14ac:dyDescent="0.3">
      <c r="A455" s="3" t="s">
        <v>475</v>
      </c>
      <c r="B455" s="3" t="s">
        <v>509</v>
      </c>
      <c r="C455" s="3" t="s">
        <v>477</v>
      </c>
      <c r="D455" s="3" t="s">
        <v>510</v>
      </c>
      <c r="E455" s="3" t="s">
        <v>479</v>
      </c>
      <c r="F455" s="3" t="s">
        <v>41</v>
      </c>
      <c r="G455" s="5" t="s">
        <v>42</v>
      </c>
      <c r="H455" s="5" t="s">
        <v>43</v>
      </c>
      <c r="I455" s="5" t="s">
        <v>44</v>
      </c>
      <c r="J455" s="3" t="s">
        <v>45</v>
      </c>
      <c r="K455" s="3" t="s">
        <v>480</v>
      </c>
      <c r="L455" s="3" t="s">
        <v>132</v>
      </c>
      <c r="M455" s="3" t="s">
        <v>48</v>
      </c>
      <c r="N455" s="3" t="s">
        <v>511</v>
      </c>
      <c r="O455" s="69" t="s">
        <v>61</v>
      </c>
      <c r="P455" s="3" t="s">
        <v>50</v>
      </c>
      <c r="Q455" s="3" t="s">
        <v>68</v>
      </c>
      <c r="R455" s="3">
        <v>2</v>
      </c>
      <c r="S455" s="3" t="s">
        <v>52</v>
      </c>
      <c r="T455" s="3" t="s">
        <v>53</v>
      </c>
      <c r="U455" s="3" t="s">
        <v>54</v>
      </c>
      <c r="V455" s="7"/>
      <c r="W455" s="7"/>
      <c r="X455" s="7"/>
      <c r="Y455" s="7"/>
      <c r="Z455" s="3" t="s">
        <v>55</v>
      </c>
      <c r="AA455" s="3" t="s">
        <v>88</v>
      </c>
      <c r="AB455" s="3" t="s">
        <v>57</v>
      </c>
      <c r="AD455" s="3">
        <v>13.365</v>
      </c>
      <c r="AE455" s="3">
        <v>13.365</v>
      </c>
      <c r="AG455" s="3">
        <v>1.28</v>
      </c>
      <c r="AH455" s="3">
        <v>61.44</v>
      </c>
      <c r="AI455" s="3">
        <v>28.6</v>
      </c>
      <c r="AJ455" s="88">
        <v>66.582999999999998</v>
      </c>
      <c r="AK455" s="3" t="s">
        <v>58</v>
      </c>
      <c r="AL455" s="9">
        <f t="shared" si="11"/>
        <v>79.899599999999992</v>
      </c>
      <c r="AN455" t="s">
        <v>5519</v>
      </c>
      <c r="AO455" s="74" t="s">
        <v>5631</v>
      </c>
    </row>
    <row r="456" spans="1:41" ht="14.25" customHeight="1" x14ac:dyDescent="0.3">
      <c r="A456" s="3" t="s">
        <v>272</v>
      </c>
      <c r="B456" s="3" t="s">
        <v>273</v>
      </c>
      <c r="C456" s="3" t="s">
        <v>274</v>
      </c>
      <c r="D456" s="4" t="s">
        <v>275</v>
      </c>
      <c r="E456" s="3" t="s">
        <v>276</v>
      </c>
      <c r="F456" s="3" t="s">
        <v>41</v>
      </c>
      <c r="G456" s="5" t="s">
        <v>42</v>
      </c>
      <c r="H456" s="5" t="s">
        <v>43</v>
      </c>
      <c r="I456" s="5" t="s">
        <v>44</v>
      </c>
      <c r="J456" s="3" t="s">
        <v>45</v>
      </c>
      <c r="K456" s="3" t="s">
        <v>277</v>
      </c>
      <c r="L456" s="3" t="s">
        <v>278</v>
      </c>
      <c r="M456" s="3" t="s">
        <v>262</v>
      </c>
      <c r="N456" s="4" t="s">
        <v>279</v>
      </c>
      <c r="O456" s="67" t="s">
        <v>279</v>
      </c>
      <c r="P456" s="3" t="s">
        <v>50</v>
      </c>
      <c r="Q456" s="3" t="s">
        <v>51</v>
      </c>
      <c r="R456" s="6">
        <v>24</v>
      </c>
      <c r="S456" s="3" t="s">
        <v>280</v>
      </c>
      <c r="T456" s="3" t="s">
        <v>53</v>
      </c>
      <c r="U456" s="3" t="s">
        <v>281</v>
      </c>
      <c r="V456" s="7"/>
      <c r="W456" s="7"/>
      <c r="X456" s="7"/>
      <c r="Y456" s="7"/>
      <c r="Z456" s="3" t="s">
        <v>265</v>
      </c>
      <c r="AA456" s="3" t="s">
        <v>56</v>
      </c>
      <c r="AB456" s="3" t="s">
        <v>57</v>
      </c>
      <c r="AD456" s="8">
        <v>12.983000000000001</v>
      </c>
      <c r="AE456" s="8">
        <v>13.4</v>
      </c>
      <c r="AG456" s="8">
        <v>0.5</v>
      </c>
      <c r="AH456" s="11">
        <v>48</v>
      </c>
      <c r="AI456" s="8">
        <v>13.14</v>
      </c>
      <c r="AJ456" s="88">
        <v>41.582999999999998</v>
      </c>
      <c r="AK456" s="3" t="s">
        <v>58</v>
      </c>
      <c r="AL456" s="9">
        <f t="shared" si="11"/>
        <v>49.8996</v>
      </c>
      <c r="AN456" t="s">
        <v>5518</v>
      </c>
      <c r="AO456" s="74" t="s">
        <v>5637</v>
      </c>
    </row>
    <row r="457" spans="1:41" ht="14.25" customHeight="1" x14ac:dyDescent="0.3">
      <c r="A457" s="3" t="s">
        <v>272</v>
      </c>
      <c r="B457" s="3" t="s">
        <v>282</v>
      </c>
      <c r="C457" s="3" t="s">
        <v>274</v>
      </c>
      <c r="D457" s="4" t="s">
        <v>283</v>
      </c>
      <c r="E457" s="3" t="s">
        <v>276</v>
      </c>
      <c r="F457" s="3" t="s">
        <v>41</v>
      </c>
      <c r="G457" s="5" t="s">
        <v>42</v>
      </c>
      <c r="H457" s="5" t="s">
        <v>43</v>
      </c>
      <c r="I457" s="5" t="s">
        <v>44</v>
      </c>
      <c r="J457" s="3" t="s">
        <v>45</v>
      </c>
      <c r="K457" s="3" t="s">
        <v>277</v>
      </c>
      <c r="L457" s="3" t="s">
        <v>278</v>
      </c>
      <c r="M457" s="3" t="s">
        <v>262</v>
      </c>
      <c r="N457" s="4" t="s">
        <v>279</v>
      </c>
      <c r="O457" s="67" t="s">
        <v>279</v>
      </c>
      <c r="P457" s="3" t="s">
        <v>50</v>
      </c>
      <c r="Q457" s="3" t="s">
        <v>51</v>
      </c>
      <c r="R457" s="6">
        <v>24</v>
      </c>
      <c r="S457" s="3" t="s">
        <v>280</v>
      </c>
      <c r="T457" s="3" t="s">
        <v>53</v>
      </c>
      <c r="U457" s="3" t="s">
        <v>54</v>
      </c>
      <c r="V457" s="7"/>
      <c r="W457" s="7"/>
      <c r="X457" s="7"/>
      <c r="Y457" s="7"/>
      <c r="Z457" s="3" t="s">
        <v>265</v>
      </c>
      <c r="AA457" s="3" t="s">
        <v>56</v>
      </c>
      <c r="AB457" s="3" t="s">
        <v>57</v>
      </c>
      <c r="AD457" s="8">
        <v>12.983000000000001</v>
      </c>
      <c r="AE457" s="8">
        <v>13.4</v>
      </c>
      <c r="AG457" s="8">
        <v>0.5</v>
      </c>
      <c r="AH457" s="11">
        <v>48</v>
      </c>
      <c r="AI457" s="8">
        <v>13.14</v>
      </c>
      <c r="AJ457" s="88">
        <v>41.582999999999998</v>
      </c>
      <c r="AK457" s="3" t="s">
        <v>58</v>
      </c>
      <c r="AL457" s="9">
        <f t="shared" si="11"/>
        <v>49.8996</v>
      </c>
      <c r="AN457" t="s">
        <v>5518</v>
      </c>
      <c r="AO457" s="74" t="s">
        <v>5637</v>
      </c>
    </row>
    <row r="458" spans="1:41" ht="14.25" customHeight="1" x14ac:dyDescent="0.3">
      <c r="A458" s="3" t="s">
        <v>272</v>
      </c>
      <c r="B458" s="3" t="s">
        <v>284</v>
      </c>
      <c r="C458" s="3" t="s">
        <v>274</v>
      </c>
      <c r="D458" s="4" t="s">
        <v>285</v>
      </c>
      <c r="E458" s="3" t="s">
        <v>276</v>
      </c>
      <c r="F458" s="3" t="s">
        <v>41</v>
      </c>
      <c r="G458" s="5" t="s">
        <v>42</v>
      </c>
      <c r="H458" s="5" t="s">
        <v>43</v>
      </c>
      <c r="I458" s="5" t="s">
        <v>44</v>
      </c>
      <c r="J458" s="3" t="s">
        <v>45</v>
      </c>
      <c r="K458" s="3" t="s">
        <v>277</v>
      </c>
      <c r="L458" s="3" t="s">
        <v>278</v>
      </c>
      <c r="M458" s="3" t="s">
        <v>262</v>
      </c>
      <c r="N458" s="4" t="s">
        <v>61</v>
      </c>
      <c r="O458" s="67" t="s">
        <v>61</v>
      </c>
      <c r="P458" s="3" t="s">
        <v>50</v>
      </c>
      <c r="Q458" s="3" t="s">
        <v>51</v>
      </c>
      <c r="R458" s="6">
        <v>24</v>
      </c>
      <c r="S458" s="3" t="s">
        <v>280</v>
      </c>
      <c r="T458" s="3" t="s">
        <v>53</v>
      </c>
      <c r="U458" s="3" t="s">
        <v>281</v>
      </c>
      <c r="V458" s="7"/>
      <c r="W458" s="7"/>
      <c r="X458" s="7"/>
      <c r="Y458" s="7"/>
      <c r="Z458" s="3" t="s">
        <v>265</v>
      </c>
      <c r="AA458" s="3" t="s">
        <v>56</v>
      </c>
      <c r="AB458" s="3" t="s">
        <v>57</v>
      </c>
      <c r="AD458" s="8">
        <v>12.983000000000001</v>
      </c>
      <c r="AE458" s="8">
        <v>13.4</v>
      </c>
      <c r="AG458" s="8">
        <v>0.5</v>
      </c>
      <c r="AH458" s="11">
        <v>48</v>
      </c>
      <c r="AI458" s="8">
        <v>13.14</v>
      </c>
      <c r="AJ458" s="88">
        <v>41.582999999999998</v>
      </c>
      <c r="AK458" s="3" t="s">
        <v>58</v>
      </c>
      <c r="AL458" s="9">
        <f t="shared" si="11"/>
        <v>49.8996</v>
      </c>
      <c r="AN458" t="s">
        <v>5518</v>
      </c>
      <c r="AO458" s="74" t="s">
        <v>5637</v>
      </c>
    </row>
    <row r="459" spans="1:41" ht="14.25" customHeight="1" x14ac:dyDescent="0.3">
      <c r="A459" s="3" t="s">
        <v>272</v>
      </c>
      <c r="B459" s="3" t="s">
        <v>286</v>
      </c>
      <c r="C459" s="3" t="s">
        <v>274</v>
      </c>
      <c r="D459" s="4" t="s">
        <v>287</v>
      </c>
      <c r="E459" s="3" t="s">
        <v>276</v>
      </c>
      <c r="F459" s="3" t="s">
        <v>41</v>
      </c>
      <c r="G459" s="5" t="s">
        <v>42</v>
      </c>
      <c r="H459" s="5" t="s">
        <v>43</v>
      </c>
      <c r="I459" s="5" t="s">
        <v>44</v>
      </c>
      <c r="J459" s="3" t="s">
        <v>45</v>
      </c>
      <c r="K459" s="3" t="s">
        <v>277</v>
      </c>
      <c r="L459" s="3" t="s">
        <v>278</v>
      </c>
      <c r="M459" s="3" t="s">
        <v>262</v>
      </c>
      <c r="N459" s="4" t="s">
        <v>61</v>
      </c>
      <c r="O459" s="67" t="s">
        <v>61</v>
      </c>
      <c r="P459" s="3" t="s">
        <v>50</v>
      </c>
      <c r="Q459" s="3" t="s">
        <v>51</v>
      </c>
      <c r="R459" s="6">
        <v>24</v>
      </c>
      <c r="S459" s="3" t="s">
        <v>280</v>
      </c>
      <c r="T459" s="3" t="s">
        <v>53</v>
      </c>
      <c r="U459" s="3" t="s">
        <v>54</v>
      </c>
      <c r="V459" s="7"/>
      <c r="W459" s="7"/>
      <c r="X459" s="7"/>
      <c r="Y459" s="7"/>
      <c r="Z459" s="3" t="s">
        <v>265</v>
      </c>
      <c r="AA459" s="3" t="s">
        <v>56</v>
      </c>
      <c r="AB459" s="3" t="s">
        <v>57</v>
      </c>
      <c r="AD459" s="6">
        <v>12.983000000000001</v>
      </c>
      <c r="AE459" s="8">
        <v>13.4</v>
      </c>
      <c r="AG459" s="8">
        <v>0.5</v>
      </c>
      <c r="AH459" s="11">
        <v>48</v>
      </c>
      <c r="AI459" s="8">
        <v>13.14</v>
      </c>
      <c r="AJ459" s="88">
        <v>41.582999999999998</v>
      </c>
      <c r="AK459" s="3" t="s">
        <v>58</v>
      </c>
      <c r="AL459" s="9">
        <f t="shared" si="11"/>
        <v>49.8996</v>
      </c>
      <c r="AN459" t="s">
        <v>5518</v>
      </c>
      <c r="AO459" s="74" t="s">
        <v>5637</v>
      </c>
    </row>
    <row r="460" spans="1:41" ht="14.25" customHeight="1" x14ac:dyDescent="0.3">
      <c r="A460" s="3" t="s">
        <v>272</v>
      </c>
      <c r="B460" s="3" t="s">
        <v>288</v>
      </c>
      <c r="C460" s="3" t="s">
        <v>274</v>
      </c>
      <c r="D460" s="4" t="s">
        <v>289</v>
      </c>
      <c r="E460" s="3" t="s">
        <v>276</v>
      </c>
      <c r="F460" s="3" t="s">
        <v>41</v>
      </c>
      <c r="G460" s="5" t="s">
        <v>42</v>
      </c>
      <c r="H460" s="5" t="s">
        <v>43</v>
      </c>
      <c r="I460" s="5" t="s">
        <v>44</v>
      </c>
      <c r="J460" s="3" t="s">
        <v>45</v>
      </c>
      <c r="K460" s="3" t="s">
        <v>277</v>
      </c>
      <c r="L460" s="3" t="s">
        <v>278</v>
      </c>
      <c r="M460" s="3" t="s">
        <v>262</v>
      </c>
      <c r="N460" s="4" t="s">
        <v>64</v>
      </c>
      <c r="O460" s="67" t="s">
        <v>64</v>
      </c>
      <c r="P460" s="3" t="s">
        <v>50</v>
      </c>
      <c r="Q460" s="3" t="s">
        <v>51</v>
      </c>
      <c r="R460" s="6">
        <v>24</v>
      </c>
      <c r="S460" s="3" t="s">
        <v>280</v>
      </c>
      <c r="T460" s="3" t="s">
        <v>53</v>
      </c>
      <c r="U460" s="3" t="s">
        <v>281</v>
      </c>
      <c r="V460" s="7"/>
      <c r="W460" s="7"/>
      <c r="X460" s="7"/>
      <c r="Y460" s="7"/>
      <c r="Z460" s="3" t="s">
        <v>265</v>
      </c>
      <c r="AA460" s="3" t="s">
        <v>56</v>
      </c>
      <c r="AB460" s="3" t="s">
        <v>57</v>
      </c>
      <c r="AD460" s="6">
        <v>12.983000000000001</v>
      </c>
      <c r="AE460" s="8">
        <v>13.4</v>
      </c>
      <c r="AG460" s="8">
        <v>0.5</v>
      </c>
      <c r="AH460" s="11">
        <v>48</v>
      </c>
      <c r="AI460" s="8">
        <v>13.14</v>
      </c>
      <c r="AJ460" s="88">
        <v>41.582999999999998</v>
      </c>
      <c r="AK460" s="3" t="s">
        <v>58</v>
      </c>
      <c r="AL460" s="9">
        <f t="shared" si="11"/>
        <v>49.8996</v>
      </c>
      <c r="AN460" t="s">
        <v>5518</v>
      </c>
      <c r="AO460" s="74" t="s">
        <v>5637</v>
      </c>
    </row>
    <row r="461" spans="1:41" ht="14.25" customHeight="1" x14ac:dyDescent="0.3">
      <c r="A461" s="3" t="s">
        <v>272</v>
      </c>
      <c r="B461" s="3" t="s">
        <v>290</v>
      </c>
      <c r="C461" s="3" t="s">
        <v>274</v>
      </c>
      <c r="D461" s="4" t="s">
        <v>291</v>
      </c>
      <c r="E461" s="3" t="s">
        <v>276</v>
      </c>
      <c r="F461" s="3" t="s">
        <v>41</v>
      </c>
      <c r="G461" s="5" t="s">
        <v>42</v>
      </c>
      <c r="H461" s="5" t="s">
        <v>43</v>
      </c>
      <c r="I461" s="5" t="s">
        <v>44</v>
      </c>
      <c r="J461" s="3" t="s">
        <v>45</v>
      </c>
      <c r="K461" s="3" t="s">
        <v>277</v>
      </c>
      <c r="L461" s="3" t="s">
        <v>278</v>
      </c>
      <c r="M461" s="3" t="s">
        <v>262</v>
      </c>
      <c r="N461" s="4" t="s">
        <v>64</v>
      </c>
      <c r="O461" s="67" t="s">
        <v>64</v>
      </c>
      <c r="P461" s="3" t="s">
        <v>50</v>
      </c>
      <c r="Q461" s="3" t="s">
        <v>51</v>
      </c>
      <c r="R461" s="6">
        <v>24</v>
      </c>
      <c r="S461" s="3" t="s">
        <v>280</v>
      </c>
      <c r="T461" s="3" t="s">
        <v>53</v>
      </c>
      <c r="U461" s="3" t="s">
        <v>54</v>
      </c>
      <c r="V461" s="7"/>
      <c r="W461" s="7"/>
      <c r="X461" s="7"/>
      <c r="Y461" s="7"/>
      <c r="Z461" s="3" t="s">
        <v>265</v>
      </c>
      <c r="AA461" s="3" t="s">
        <v>56</v>
      </c>
      <c r="AB461" s="3" t="s">
        <v>57</v>
      </c>
      <c r="AD461" s="8">
        <v>12.983000000000001</v>
      </c>
      <c r="AE461" s="8">
        <v>13.4</v>
      </c>
      <c r="AG461" s="8">
        <v>0.5</v>
      </c>
      <c r="AH461" s="11">
        <v>48</v>
      </c>
      <c r="AI461" s="8">
        <v>13.14</v>
      </c>
      <c r="AJ461" s="88">
        <v>41.582999999999998</v>
      </c>
      <c r="AK461" s="3" t="s">
        <v>58</v>
      </c>
      <c r="AL461" s="9">
        <f t="shared" si="11"/>
        <v>49.8996</v>
      </c>
      <c r="AN461" t="s">
        <v>5518</v>
      </c>
      <c r="AO461" s="74" t="s">
        <v>5637</v>
      </c>
    </row>
    <row r="462" spans="1:41" ht="14.25" customHeight="1" x14ac:dyDescent="0.3">
      <c r="A462" s="3" t="s">
        <v>272</v>
      </c>
      <c r="B462" s="3" t="s">
        <v>292</v>
      </c>
      <c r="C462" s="3" t="s">
        <v>274</v>
      </c>
      <c r="D462" s="4" t="s">
        <v>293</v>
      </c>
      <c r="E462" s="3" t="s">
        <v>276</v>
      </c>
      <c r="F462" s="3" t="s">
        <v>41</v>
      </c>
      <c r="G462" s="5" t="s">
        <v>42</v>
      </c>
      <c r="H462" s="5" t="s">
        <v>43</v>
      </c>
      <c r="I462" s="5" t="s">
        <v>44</v>
      </c>
      <c r="J462" s="3" t="s">
        <v>45</v>
      </c>
      <c r="K462" s="3" t="s">
        <v>277</v>
      </c>
      <c r="L462" s="3" t="s">
        <v>278</v>
      </c>
      <c r="M462" s="3" t="s">
        <v>262</v>
      </c>
      <c r="N462" s="4" t="s">
        <v>294</v>
      </c>
      <c r="O462" s="67" t="s">
        <v>454</v>
      </c>
      <c r="P462" s="3" t="s">
        <v>50</v>
      </c>
      <c r="Q462" s="3" t="s">
        <v>51</v>
      </c>
      <c r="R462" s="6">
        <v>24</v>
      </c>
      <c r="S462" s="3" t="s">
        <v>280</v>
      </c>
      <c r="T462" s="3" t="s">
        <v>53</v>
      </c>
      <c r="U462" s="3" t="s">
        <v>281</v>
      </c>
      <c r="V462" s="7"/>
      <c r="W462" s="7"/>
      <c r="X462" s="7"/>
      <c r="Y462" s="7"/>
      <c r="Z462" s="3" t="s">
        <v>265</v>
      </c>
      <c r="AA462" s="3" t="s">
        <v>56</v>
      </c>
      <c r="AB462" s="3" t="s">
        <v>57</v>
      </c>
      <c r="AD462" s="8">
        <v>12.983000000000001</v>
      </c>
      <c r="AE462" s="8">
        <v>13.4</v>
      </c>
      <c r="AG462" s="8">
        <v>0.5</v>
      </c>
      <c r="AH462" s="11">
        <v>48</v>
      </c>
      <c r="AI462" s="8">
        <v>13.14</v>
      </c>
      <c r="AJ462" s="88">
        <v>41.582999999999998</v>
      </c>
      <c r="AK462" s="3" t="s">
        <v>58</v>
      </c>
      <c r="AL462" s="9">
        <f t="shared" si="11"/>
        <v>49.8996</v>
      </c>
      <c r="AN462" t="s">
        <v>5518</v>
      </c>
      <c r="AO462" s="74" t="s">
        <v>5637</v>
      </c>
    </row>
    <row r="463" spans="1:41" ht="14.25" customHeight="1" x14ac:dyDescent="0.3">
      <c r="A463" s="3" t="s">
        <v>272</v>
      </c>
      <c r="B463" s="3" t="s">
        <v>295</v>
      </c>
      <c r="C463" s="3" t="s">
        <v>274</v>
      </c>
      <c r="D463" s="4" t="s">
        <v>296</v>
      </c>
      <c r="E463" s="3" t="s">
        <v>276</v>
      </c>
      <c r="F463" s="3" t="s">
        <v>41</v>
      </c>
      <c r="G463" s="5" t="s">
        <v>42</v>
      </c>
      <c r="H463" s="5" t="s">
        <v>43</v>
      </c>
      <c r="I463" s="5" t="s">
        <v>44</v>
      </c>
      <c r="J463" s="3" t="s">
        <v>45</v>
      </c>
      <c r="K463" s="3" t="s">
        <v>277</v>
      </c>
      <c r="L463" s="3" t="s">
        <v>278</v>
      </c>
      <c r="M463" s="3" t="s">
        <v>262</v>
      </c>
      <c r="N463" s="4" t="s">
        <v>294</v>
      </c>
      <c r="O463" s="67" t="s">
        <v>454</v>
      </c>
      <c r="P463" s="3" t="s">
        <v>50</v>
      </c>
      <c r="Q463" s="3" t="s">
        <v>51</v>
      </c>
      <c r="R463" s="6">
        <v>24</v>
      </c>
      <c r="S463" s="3" t="s">
        <v>280</v>
      </c>
      <c r="T463" s="3" t="s">
        <v>53</v>
      </c>
      <c r="U463" s="3" t="s">
        <v>54</v>
      </c>
      <c r="V463" s="7"/>
      <c r="W463" s="7"/>
      <c r="X463" s="7"/>
      <c r="Y463" s="7"/>
      <c r="Z463" s="3" t="s">
        <v>265</v>
      </c>
      <c r="AA463" s="3" t="s">
        <v>56</v>
      </c>
      <c r="AB463" s="3" t="s">
        <v>57</v>
      </c>
      <c r="AD463" s="8">
        <v>12.983000000000001</v>
      </c>
      <c r="AE463" s="8">
        <v>13.4</v>
      </c>
      <c r="AG463" s="8">
        <v>0.5</v>
      </c>
      <c r="AH463" s="11">
        <v>48</v>
      </c>
      <c r="AI463" s="8">
        <v>13.14</v>
      </c>
      <c r="AJ463" s="88">
        <v>41.582999999999998</v>
      </c>
      <c r="AK463" s="3" t="s">
        <v>58</v>
      </c>
      <c r="AL463" s="9">
        <f t="shared" si="11"/>
        <v>49.8996</v>
      </c>
      <c r="AN463" t="s">
        <v>5518</v>
      </c>
      <c r="AO463" s="74" t="s">
        <v>5637</v>
      </c>
    </row>
    <row r="464" spans="1:41" ht="14.25" customHeight="1" x14ac:dyDescent="0.3">
      <c r="A464" s="3" t="s">
        <v>272</v>
      </c>
      <c r="B464" s="3" t="s">
        <v>297</v>
      </c>
      <c r="C464" s="3" t="s">
        <v>274</v>
      </c>
      <c r="D464" s="4" t="s">
        <v>298</v>
      </c>
      <c r="E464" s="3" t="s">
        <v>276</v>
      </c>
      <c r="F464" s="3" t="s">
        <v>41</v>
      </c>
      <c r="G464" s="5" t="s">
        <v>42</v>
      </c>
      <c r="H464" s="5" t="s">
        <v>43</v>
      </c>
      <c r="I464" s="5" t="s">
        <v>44</v>
      </c>
      <c r="J464" s="3" t="s">
        <v>45</v>
      </c>
      <c r="K464" s="3" t="s">
        <v>277</v>
      </c>
      <c r="L464" s="3" t="s">
        <v>278</v>
      </c>
      <c r="M464" s="3" t="s">
        <v>262</v>
      </c>
      <c r="N464" s="4" t="s">
        <v>299</v>
      </c>
      <c r="O464" s="67" t="s">
        <v>328</v>
      </c>
      <c r="P464" s="3" t="s">
        <v>50</v>
      </c>
      <c r="Q464" s="3" t="s">
        <v>51</v>
      </c>
      <c r="R464" s="6">
        <v>24</v>
      </c>
      <c r="S464" s="3" t="s">
        <v>280</v>
      </c>
      <c r="T464" s="3" t="s">
        <v>53</v>
      </c>
      <c r="U464" s="3" t="s">
        <v>281</v>
      </c>
      <c r="V464" s="7"/>
      <c r="W464" s="7"/>
      <c r="X464" s="7"/>
      <c r="Y464" s="7"/>
      <c r="Z464" s="3" t="s">
        <v>265</v>
      </c>
      <c r="AA464" s="3" t="s">
        <v>56</v>
      </c>
      <c r="AB464" s="3" t="s">
        <v>57</v>
      </c>
      <c r="AD464" s="8">
        <v>12.983000000000001</v>
      </c>
      <c r="AE464" s="8">
        <v>13.4</v>
      </c>
      <c r="AG464" s="8">
        <v>0.5</v>
      </c>
      <c r="AH464" s="11">
        <v>48</v>
      </c>
      <c r="AI464" s="8">
        <v>13.14</v>
      </c>
      <c r="AJ464" s="88">
        <v>41.582999999999998</v>
      </c>
      <c r="AK464" s="3" t="s">
        <v>58</v>
      </c>
      <c r="AL464" s="9">
        <f t="shared" si="11"/>
        <v>49.8996</v>
      </c>
      <c r="AN464" t="s">
        <v>5518</v>
      </c>
      <c r="AO464" s="74" t="s">
        <v>5637</v>
      </c>
    </row>
    <row r="465" spans="1:41" ht="14.25" customHeight="1" x14ac:dyDescent="0.3">
      <c r="A465" s="3" t="s">
        <v>272</v>
      </c>
      <c r="B465" s="3" t="s">
        <v>300</v>
      </c>
      <c r="C465" s="3" t="s">
        <v>274</v>
      </c>
      <c r="D465" s="4" t="s">
        <v>301</v>
      </c>
      <c r="E465" s="3" t="s">
        <v>276</v>
      </c>
      <c r="F465" s="3" t="s">
        <v>41</v>
      </c>
      <c r="G465" s="5" t="s">
        <v>42</v>
      </c>
      <c r="H465" s="5" t="s">
        <v>43</v>
      </c>
      <c r="I465" s="5" t="s">
        <v>44</v>
      </c>
      <c r="J465" s="3" t="s">
        <v>45</v>
      </c>
      <c r="K465" s="3" t="s">
        <v>277</v>
      </c>
      <c r="L465" s="3" t="s">
        <v>278</v>
      </c>
      <c r="M465" s="3" t="s">
        <v>262</v>
      </c>
      <c r="N465" s="4" t="s">
        <v>299</v>
      </c>
      <c r="O465" s="67" t="s">
        <v>328</v>
      </c>
      <c r="P465" s="3" t="s">
        <v>50</v>
      </c>
      <c r="Q465" s="3" t="s">
        <v>51</v>
      </c>
      <c r="R465" s="6">
        <v>24</v>
      </c>
      <c r="S465" s="3" t="s">
        <v>280</v>
      </c>
      <c r="T465" s="3" t="s">
        <v>53</v>
      </c>
      <c r="U465" s="3" t="s">
        <v>54</v>
      </c>
      <c r="V465" s="7"/>
      <c r="W465" s="7"/>
      <c r="X465" s="7"/>
      <c r="Y465" s="7"/>
      <c r="Z465" s="3" t="s">
        <v>265</v>
      </c>
      <c r="AA465" s="3" t="s">
        <v>56</v>
      </c>
      <c r="AB465" s="3" t="s">
        <v>57</v>
      </c>
      <c r="AD465" s="8">
        <v>12.983000000000001</v>
      </c>
      <c r="AE465" s="8">
        <v>13.4</v>
      </c>
      <c r="AG465" s="8">
        <v>0.5</v>
      </c>
      <c r="AH465" s="11">
        <v>48</v>
      </c>
      <c r="AI465" s="8">
        <v>13.14</v>
      </c>
      <c r="AJ465" s="88">
        <v>41.582999999999998</v>
      </c>
      <c r="AK465" s="3" t="s">
        <v>58</v>
      </c>
      <c r="AL465" s="9">
        <f t="shared" si="11"/>
        <v>49.8996</v>
      </c>
      <c r="AN465" t="s">
        <v>5518</v>
      </c>
      <c r="AO465" s="74" t="s">
        <v>5637</v>
      </c>
    </row>
    <row r="466" spans="1:41" ht="14.25" customHeight="1" x14ac:dyDescent="0.3">
      <c r="A466" s="3" t="s">
        <v>272</v>
      </c>
      <c r="B466" s="3" t="s">
        <v>302</v>
      </c>
      <c r="C466" s="3" t="s">
        <v>274</v>
      </c>
      <c r="D466" s="4" t="s">
        <v>303</v>
      </c>
      <c r="E466" s="3" t="s">
        <v>276</v>
      </c>
      <c r="F466" s="3" t="s">
        <v>41</v>
      </c>
      <c r="G466" s="5" t="s">
        <v>42</v>
      </c>
      <c r="H466" s="5" t="s">
        <v>43</v>
      </c>
      <c r="I466" s="5" t="s">
        <v>44</v>
      </c>
      <c r="J466" s="3" t="s">
        <v>45</v>
      </c>
      <c r="K466" s="3" t="s">
        <v>277</v>
      </c>
      <c r="L466" s="3" t="s">
        <v>278</v>
      </c>
      <c r="M466" s="3" t="s">
        <v>262</v>
      </c>
      <c r="N466" s="4" t="s">
        <v>304</v>
      </c>
      <c r="O466" s="67" t="s">
        <v>1463</v>
      </c>
      <c r="P466" s="3" t="s">
        <v>50</v>
      </c>
      <c r="Q466" s="3" t="s">
        <v>51</v>
      </c>
      <c r="R466" s="6">
        <v>24</v>
      </c>
      <c r="S466" s="3" t="s">
        <v>280</v>
      </c>
      <c r="T466" s="3" t="s">
        <v>53</v>
      </c>
      <c r="U466" s="3" t="s">
        <v>281</v>
      </c>
      <c r="V466" s="7"/>
      <c r="W466" s="7"/>
      <c r="X466" s="7"/>
      <c r="Y466" s="7"/>
      <c r="Z466" s="3" t="s">
        <v>265</v>
      </c>
      <c r="AA466" s="3" t="s">
        <v>56</v>
      </c>
      <c r="AB466" s="3" t="s">
        <v>57</v>
      </c>
      <c r="AD466" s="8">
        <v>12.983000000000001</v>
      </c>
      <c r="AE466" s="8">
        <v>13.4</v>
      </c>
      <c r="AG466" s="8">
        <v>0.5</v>
      </c>
      <c r="AH466" s="11">
        <v>48</v>
      </c>
      <c r="AI466" s="8">
        <v>13.14</v>
      </c>
      <c r="AJ466" s="88">
        <v>41.582999999999998</v>
      </c>
      <c r="AK466" s="3" t="s">
        <v>58</v>
      </c>
      <c r="AL466" s="9">
        <f t="shared" si="11"/>
        <v>49.8996</v>
      </c>
      <c r="AN466" t="s">
        <v>5518</v>
      </c>
      <c r="AO466" s="74" t="s">
        <v>5637</v>
      </c>
    </row>
    <row r="467" spans="1:41" ht="14.25" customHeight="1" x14ac:dyDescent="0.3">
      <c r="A467" s="3" t="s">
        <v>272</v>
      </c>
      <c r="B467" s="3" t="s">
        <v>305</v>
      </c>
      <c r="C467" s="3" t="s">
        <v>274</v>
      </c>
      <c r="D467" s="4" t="s">
        <v>306</v>
      </c>
      <c r="E467" s="3" t="s">
        <v>276</v>
      </c>
      <c r="F467" s="3" t="s">
        <v>41</v>
      </c>
      <c r="G467" s="5" t="s">
        <v>42</v>
      </c>
      <c r="H467" s="5" t="s">
        <v>43</v>
      </c>
      <c r="I467" s="5" t="s">
        <v>44</v>
      </c>
      <c r="J467" s="3" t="s">
        <v>45</v>
      </c>
      <c r="K467" s="3" t="s">
        <v>277</v>
      </c>
      <c r="L467" s="3" t="s">
        <v>278</v>
      </c>
      <c r="M467" s="3" t="s">
        <v>262</v>
      </c>
      <c r="N467" s="4" t="s">
        <v>304</v>
      </c>
      <c r="O467" s="67" t="s">
        <v>1463</v>
      </c>
      <c r="P467" s="3" t="s">
        <v>50</v>
      </c>
      <c r="Q467" s="3" t="s">
        <v>51</v>
      </c>
      <c r="R467" s="6">
        <v>24</v>
      </c>
      <c r="S467" s="3" t="s">
        <v>280</v>
      </c>
      <c r="T467" s="3" t="s">
        <v>53</v>
      </c>
      <c r="U467" s="3" t="s">
        <v>54</v>
      </c>
      <c r="V467" s="7"/>
      <c r="W467" s="7"/>
      <c r="X467" s="7"/>
      <c r="Y467" s="7"/>
      <c r="Z467" s="3" t="s">
        <v>265</v>
      </c>
      <c r="AA467" s="3" t="s">
        <v>56</v>
      </c>
      <c r="AB467" s="3" t="s">
        <v>57</v>
      </c>
      <c r="AD467" s="8">
        <v>12.983000000000001</v>
      </c>
      <c r="AE467" s="8">
        <v>13.4</v>
      </c>
      <c r="AG467" s="8">
        <v>0.5</v>
      </c>
      <c r="AH467" s="11">
        <v>48</v>
      </c>
      <c r="AI467" s="8">
        <v>13.14</v>
      </c>
      <c r="AJ467" s="88">
        <v>41.582999999999998</v>
      </c>
      <c r="AK467" s="3" t="s">
        <v>58</v>
      </c>
      <c r="AL467" s="9">
        <f t="shared" si="11"/>
        <v>49.8996</v>
      </c>
      <c r="AN467" t="s">
        <v>5518</v>
      </c>
      <c r="AO467" s="74" t="s">
        <v>5637</v>
      </c>
    </row>
    <row r="468" spans="1:41" ht="14.25" customHeight="1" x14ac:dyDescent="0.3">
      <c r="A468" s="3" t="s">
        <v>272</v>
      </c>
      <c r="B468" s="3" t="s">
        <v>307</v>
      </c>
      <c r="C468" s="3" t="s">
        <v>274</v>
      </c>
      <c r="D468" s="4" t="s">
        <v>308</v>
      </c>
      <c r="E468" s="3" t="s">
        <v>276</v>
      </c>
      <c r="F468" s="3" t="s">
        <v>41</v>
      </c>
      <c r="G468" s="5" t="s">
        <v>42</v>
      </c>
      <c r="H468" s="5" t="s">
        <v>43</v>
      </c>
      <c r="I468" s="5" t="s">
        <v>44</v>
      </c>
      <c r="J468" s="3" t="s">
        <v>45</v>
      </c>
      <c r="K468" s="3" t="s">
        <v>277</v>
      </c>
      <c r="L468" s="3" t="s">
        <v>278</v>
      </c>
      <c r="M468" s="3" t="s">
        <v>262</v>
      </c>
      <c r="N468" s="4" t="s">
        <v>309</v>
      </c>
      <c r="O468" s="67" t="s">
        <v>599</v>
      </c>
      <c r="P468" s="3" t="s">
        <v>50</v>
      </c>
      <c r="Q468" s="3" t="s">
        <v>51</v>
      </c>
      <c r="R468" s="6">
        <v>24</v>
      </c>
      <c r="S468" s="3" t="s">
        <v>280</v>
      </c>
      <c r="T468" s="3" t="s">
        <v>53</v>
      </c>
      <c r="U468" s="3" t="s">
        <v>281</v>
      </c>
      <c r="V468" s="7"/>
      <c r="W468" s="7"/>
      <c r="X468" s="7"/>
      <c r="Y468" s="7"/>
      <c r="Z468" s="3" t="s">
        <v>265</v>
      </c>
      <c r="AA468" s="3" t="s">
        <v>56</v>
      </c>
      <c r="AB468" s="3" t="s">
        <v>57</v>
      </c>
      <c r="AD468" s="8">
        <v>10.387</v>
      </c>
      <c r="AE468" s="8">
        <v>10.72</v>
      </c>
      <c r="AG468" s="8">
        <v>0.5</v>
      </c>
      <c r="AH468" s="11">
        <v>48</v>
      </c>
      <c r="AI468" s="8">
        <v>13.14</v>
      </c>
      <c r="AJ468" s="88">
        <v>41.582999999999998</v>
      </c>
      <c r="AK468" s="3" t="s">
        <v>58</v>
      </c>
      <c r="AL468" s="9">
        <f t="shared" si="11"/>
        <v>49.8996</v>
      </c>
      <c r="AN468" t="s">
        <v>5518</v>
      </c>
      <c r="AO468" s="74" t="s">
        <v>5637</v>
      </c>
    </row>
    <row r="469" spans="1:41" ht="14.25" customHeight="1" x14ac:dyDescent="0.3">
      <c r="A469" s="3" t="s">
        <v>272</v>
      </c>
      <c r="B469" s="3" t="s">
        <v>310</v>
      </c>
      <c r="C469" s="3" t="s">
        <v>274</v>
      </c>
      <c r="D469" s="4" t="s">
        <v>311</v>
      </c>
      <c r="E469" s="3" t="s">
        <v>276</v>
      </c>
      <c r="F469" s="3" t="s">
        <v>41</v>
      </c>
      <c r="G469" s="5" t="s">
        <v>42</v>
      </c>
      <c r="H469" s="5" t="s">
        <v>43</v>
      </c>
      <c r="I469" s="5" t="s">
        <v>44</v>
      </c>
      <c r="J469" s="3" t="s">
        <v>45</v>
      </c>
      <c r="K469" s="3" t="s">
        <v>277</v>
      </c>
      <c r="L469" s="3" t="s">
        <v>278</v>
      </c>
      <c r="M469" s="3" t="s">
        <v>262</v>
      </c>
      <c r="N469" s="4" t="s">
        <v>309</v>
      </c>
      <c r="O469" s="67" t="s">
        <v>599</v>
      </c>
      <c r="P469" s="3" t="s">
        <v>50</v>
      </c>
      <c r="Q469" s="3" t="s">
        <v>51</v>
      </c>
      <c r="R469" s="6">
        <v>24</v>
      </c>
      <c r="S469" s="3" t="s">
        <v>280</v>
      </c>
      <c r="T469" s="3" t="s">
        <v>53</v>
      </c>
      <c r="U469" s="3" t="s">
        <v>54</v>
      </c>
      <c r="V469" s="7"/>
      <c r="W469" s="7"/>
      <c r="X469" s="7"/>
      <c r="Y469" s="7"/>
      <c r="Z469" s="3" t="s">
        <v>265</v>
      </c>
      <c r="AA469" s="3" t="s">
        <v>56</v>
      </c>
      <c r="AB469" s="3" t="s">
        <v>57</v>
      </c>
      <c r="AD469" s="8">
        <v>10.387</v>
      </c>
      <c r="AE469" s="8">
        <v>10.72</v>
      </c>
      <c r="AG469" s="8">
        <v>0.5</v>
      </c>
      <c r="AH469" s="11">
        <v>48</v>
      </c>
      <c r="AI469" s="8">
        <v>13.14</v>
      </c>
      <c r="AJ469" s="88">
        <v>41.582999999999998</v>
      </c>
      <c r="AK469" s="3" t="s">
        <v>58</v>
      </c>
      <c r="AL469" s="9">
        <f t="shared" si="11"/>
        <v>49.8996</v>
      </c>
      <c r="AN469" t="s">
        <v>5518</v>
      </c>
      <c r="AO469" s="74" t="s">
        <v>5637</v>
      </c>
    </row>
    <row r="470" spans="1:41" ht="14.25" customHeight="1" x14ac:dyDescent="0.3">
      <c r="A470" s="3" t="s">
        <v>272</v>
      </c>
      <c r="B470" s="3" t="s">
        <v>312</v>
      </c>
      <c r="C470" s="3" t="s">
        <v>274</v>
      </c>
      <c r="D470" s="4" t="s">
        <v>313</v>
      </c>
      <c r="E470" s="3" t="s">
        <v>276</v>
      </c>
      <c r="F470" s="3" t="s">
        <v>41</v>
      </c>
      <c r="G470" s="5" t="s">
        <v>42</v>
      </c>
      <c r="H470" s="5" t="s">
        <v>43</v>
      </c>
      <c r="I470" s="5" t="s">
        <v>44</v>
      </c>
      <c r="J470" s="3" t="s">
        <v>45</v>
      </c>
      <c r="K470" s="3" t="s">
        <v>277</v>
      </c>
      <c r="L470" s="3" t="s">
        <v>278</v>
      </c>
      <c r="M470" s="3" t="s">
        <v>262</v>
      </c>
      <c r="N470" s="4" t="s">
        <v>49</v>
      </c>
      <c r="O470" s="67" t="s">
        <v>49</v>
      </c>
      <c r="P470" s="3" t="s">
        <v>50</v>
      </c>
      <c r="Q470" s="3" t="s">
        <v>51</v>
      </c>
      <c r="R470" s="6">
        <v>24</v>
      </c>
      <c r="S470" s="3" t="s">
        <v>280</v>
      </c>
      <c r="T470" s="3" t="s">
        <v>53</v>
      </c>
      <c r="U470" s="3" t="s">
        <v>281</v>
      </c>
      <c r="V470" s="7"/>
      <c r="W470" s="7"/>
      <c r="X470" s="7"/>
      <c r="Y470" s="7"/>
      <c r="Z470" s="3" t="s">
        <v>265</v>
      </c>
      <c r="AA470" s="3" t="s">
        <v>56</v>
      </c>
      <c r="AB470" s="3" t="s">
        <v>57</v>
      </c>
      <c r="AD470" s="8">
        <v>12.983000000000001</v>
      </c>
      <c r="AE470" s="8">
        <v>13.4</v>
      </c>
      <c r="AG470" s="8">
        <v>0.5</v>
      </c>
      <c r="AH470" s="11">
        <v>48</v>
      </c>
      <c r="AI470" s="8">
        <v>13.14</v>
      </c>
      <c r="AJ470" s="88">
        <v>41.582999999999998</v>
      </c>
      <c r="AK470" s="3" t="s">
        <v>58</v>
      </c>
      <c r="AL470" s="9">
        <f t="shared" si="11"/>
        <v>49.8996</v>
      </c>
      <c r="AN470" t="s">
        <v>5518</v>
      </c>
      <c r="AO470" s="74" t="s">
        <v>5637</v>
      </c>
    </row>
    <row r="471" spans="1:41" ht="14.25" customHeight="1" x14ac:dyDescent="0.3">
      <c r="A471" s="3" t="s">
        <v>272</v>
      </c>
      <c r="B471" s="3" t="s">
        <v>314</v>
      </c>
      <c r="C471" s="3" t="s">
        <v>274</v>
      </c>
      <c r="D471" s="4" t="s">
        <v>315</v>
      </c>
      <c r="E471" s="3" t="s">
        <v>276</v>
      </c>
      <c r="F471" s="3" t="s">
        <v>41</v>
      </c>
      <c r="G471" s="5" t="s">
        <v>42</v>
      </c>
      <c r="H471" s="5" t="s">
        <v>43</v>
      </c>
      <c r="I471" s="5" t="s">
        <v>44</v>
      </c>
      <c r="J471" s="3" t="s">
        <v>45</v>
      </c>
      <c r="K471" s="3" t="s">
        <v>277</v>
      </c>
      <c r="L471" s="3" t="s">
        <v>278</v>
      </c>
      <c r="M471" s="3" t="s">
        <v>262</v>
      </c>
      <c r="N471" s="4" t="s">
        <v>49</v>
      </c>
      <c r="O471" s="67" t="s">
        <v>49</v>
      </c>
      <c r="P471" s="3" t="s">
        <v>50</v>
      </c>
      <c r="Q471" s="3" t="s">
        <v>51</v>
      </c>
      <c r="R471" s="6">
        <v>24</v>
      </c>
      <c r="S471" s="3" t="s">
        <v>280</v>
      </c>
      <c r="T471" s="3" t="s">
        <v>53</v>
      </c>
      <c r="U471" s="3" t="s">
        <v>54</v>
      </c>
      <c r="V471" s="7"/>
      <c r="W471" s="7"/>
      <c r="X471" s="7"/>
      <c r="Y471" s="7"/>
      <c r="Z471" s="3" t="s">
        <v>265</v>
      </c>
      <c r="AA471" s="3" t="s">
        <v>56</v>
      </c>
      <c r="AB471" s="3" t="s">
        <v>57</v>
      </c>
      <c r="AD471" s="8">
        <v>12.983000000000001</v>
      </c>
      <c r="AE471" s="8">
        <v>13.4</v>
      </c>
      <c r="AG471" s="8">
        <v>0.5</v>
      </c>
      <c r="AH471" s="11">
        <v>48</v>
      </c>
      <c r="AI471" s="8">
        <v>13.14</v>
      </c>
      <c r="AJ471" s="88">
        <v>41.582999999999998</v>
      </c>
      <c r="AK471" s="3" t="s">
        <v>58</v>
      </c>
      <c r="AL471" s="9">
        <f t="shared" si="11"/>
        <v>49.8996</v>
      </c>
      <c r="AN471" t="s">
        <v>5518</v>
      </c>
      <c r="AO471" s="74" t="s">
        <v>5637</v>
      </c>
    </row>
    <row r="472" spans="1:41" ht="14.25" customHeight="1" x14ac:dyDescent="0.3">
      <c r="A472" s="3" t="s">
        <v>1698</v>
      </c>
      <c r="B472" s="3" t="s">
        <v>1699</v>
      </c>
      <c r="C472" s="3" t="s">
        <v>1700</v>
      </c>
      <c r="D472" s="4" t="s">
        <v>1701</v>
      </c>
      <c r="E472" s="3" t="s">
        <v>1702</v>
      </c>
      <c r="F472" s="3" t="s">
        <v>41</v>
      </c>
      <c r="G472" s="5" t="s">
        <v>42</v>
      </c>
      <c r="H472" s="5" t="s">
        <v>43</v>
      </c>
      <c r="I472" s="5" t="s">
        <v>44</v>
      </c>
      <c r="J472" s="3" t="s">
        <v>45</v>
      </c>
      <c r="K472" s="3" t="s">
        <v>277</v>
      </c>
      <c r="L472" s="3" t="s">
        <v>1281</v>
      </c>
      <c r="M472" s="3" t="s">
        <v>262</v>
      </c>
      <c r="N472" s="4" t="s">
        <v>49</v>
      </c>
      <c r="O472" s="67" t="s">
        <v>49</v>
      </c>
      <c r="P472" s="3" t="s">
        <v>1703</v>
      </c>
      <c r="Q472" s="3" t="s">
        <v>68</v>
      </c>
      <c r="R472" s="6">
        <v>51</v>
      </c>
      <c r="S472" s="3" t="s">
        <v>280</v>
      </c>
      <c r="T472" s="3" t="s">
        <v>53</v>
      </c>
      <c r="U472" s="3" t="s">
        <v>281</v>
      </c>
      <c r="V472" s="7"/>
      <c r="W472" s="7"/>
      <c r="X472" s="7"/>
      <c r="Y472" s="7"/>
      <c r="Z472" s="3" t="s">
        <v>265</v>
      </c>
      <c r="AA472" s="3" t="s">
        <v>56</v>
      </c>
      <c r="AB472" s="3" t="s">
        <v>57</v>
      </c>
      <c r="AD472" s="8">
        <v>13.563000000000001</v>
      </c>
      <c r="AE472" s="8">
        <v>13.763</v>
      </c>
      <c r="AG472" s="8">
        <v>0.51</v>
      </c>
      <c r="AH472" s="11">
        <v>57.12</v>
      </c>
      <c r="AI472" s="8">
        <v>21.94</v>
      </c>
      <c r="AJ472" s="88">
        <v>58.25</v>
      </c>
      <c r="AK472" s="3" t="s">
        <v>58</v>
      </c>
      <c r="AL472" s="9">
        <f t="shared" si="11"/>
        <v>69.899999999999991</v>
      </c>
      <c r="AN472" t="s">
        <v>5518</v>
      </c>
      <c r="AO472" s="74" t="s">
        <v>5626</v>
      </c>
    </row>
    <row r="473" spans="1:41" ht="14.25" customHeight="1" x14ac:dyDescent="0.3">
      <c r="A473" s="3" t="s">
        <v>1698</v>
      </c>
      <c r="B473" s="3" t="s">
        <v>1704</v>
      </c>
      <c r="C473" s="3" t="s">
        <v>1700</v>
      </c>
      <c r="D473" s="4" t="s">
        <v>1705</v>
      </c>
      <c r="E473" s="3" t="s">
        <v>1702</v>
      </c>
      <c r="F473" s="3" t="s">
        <v>41</v>
      </c>
      <c r="G473" s="5" t="s">
        <v>42</v>
      </c>
      <c r="H473" s="5" t="s">
        <v>43</v>
      </c>
      <c r="I473" s="5" t="s">
        <v>44</v>
      </c>
      <c r="J473" s="3" t="s">
        <v>45</v>
      </c>
      <c r="K473" s="3" t="s">
        <v>277</v>
      </c>
      <c r="L473" s="3" t="s">
        <v>1281</v>
      </c>
      <c r="M473" s="3" t="s">
        <v>262</v>
      </c>
      <c r="N473" s="4" t="s">
        <v>64</v>
      </c>
      <c r="O473" s="67" t="s">
        <v>64</v>
      </c>
      <c r="P473" s="3" t="s">
        <v>1703</v>
      </c>
      <c r="Q473" s="3" t="s">
        <v>68</v>
      </c>
      <c r="R473" s="6">
        <v>51</v>
      </c>
      <c r="S473" s="3" t="s">
        <v>280</v>
      </c>
      <c r="T473" s="3" t="s">
        <v>53</v>
      </c>
      <c r="U473" s="3" t="s">
        <v>281</v>
      </c>
      <c r="V473" s="7"/>
      <c r="W473" s="7"/>
      <c r="X473" s="7"/>
      <c r="Y473" s="7"/>
      <c r="Z473" s="3" t="s">
        <v>265</v>
      </c>
      <c r="AA473" s="3" t="s">
        <v>56</v>
      </c>
      <c r="AB473" s="3" t="s">
        <v>57</v>
      </c>
      <c r="AD473" s="8">
        <v>13.563000000000001</v>
      </c>
      <c r="AE473" s="8">
        <v>13.763</v>
      </c>
      <c r="AG473" s="8">
        <v>0.51</v>
      </c>
      <c r="AH473" s="11">
        <v>57.12</v>
      </c>
      <c r="AI473" s="8">
        <v>21.94</v>
      </c>
      <c r="AJ473" s="88">
        <v>58.25</v>
      </c>
      <c r="AK473" s="3" t="s">
        <v>58</v>
      </c>
      <c r="AL473" s="9">
        <f t="shared" si="11"/>
        <v>69.899999999999991</v>
      </c>
      <c r="AN473" t="s">
        <v>5518</v>
      </c>
      <c r="AO473" s="74" t="s">
        <v>5626</v>
      </c>
    </row>
    <row r="474" spans="1:41" ht="14.25" customHeight="1" x14ac:dyDescent="0.3">
      <c r="A474" s="3" t="s">
        <v>1698</v>
      </c>
      <c r="B474" s="3" t="s">
        <v>1706</v>
      </c>
      <c r="C474" s="3" t="s">
        <v>1700</v>
      </c>
      <c r="D474" s="4" t="s">
        <v>1707</v>
      </c>
      <c r="E474" s="3" t="s">
        <v>1702</v>
      </c>
      <c r="F474" s="3" t="s">
        <v>41</v>
      </c>
      <c r="G474" s="5" t="s">
        <v>42</v>
      </c>
      <c r="H474" s="5" t="s">
        <v>43</v>
      </c>
      <c r="I474" s="5" t="s">
        <v>44</v>
      </c>
      <c r="J474" s="3" t="s">
        <v>45</v>
      </c>
      <c r="K474" s="3" t="s">
        <v>277</v>
      </c>
      <c r="L474" s="3" t="s">
        <v>1281</v>
      </c>
      <c r="M474" s="3" t="s">
        <v>262</v>
      </c>
      <c r="N474" s="4" t="s">
        <v>61</v>
      </c>
      <c r="O474" s="67" t="s">
        <v>61</v>
      </c>
      <c r="P474" s="3" t="s">
        <v>1703</v>
      </c>
      <c r="Q474" s="3" t="s">
        <v>68</v>
      </c>
      <c r="R474" s="6">
        <v>51</v>
      </c>
      <c r="S474" s="3" t="s">
        <v>280</v>
      </c>
      <c r="T474" s="3" t="s">
        <v>53</v>
      </c>
      <c r="U474" s="3" t="s">
        <v>281</v>
      </c>
      <c r="V474" s="7"/>
      <c r="W474" s="7"/>
      <c r="X474" s="7"/>
      <c r="Y474" s="7"/>
      <c r="Z474" s="3" t="s">
        <v>265</v>
      </c>
      <c r="AA474" s="3" t="s">
        <v>56</v>
      </c>
      <c r="AB474" s="3" t="s">
        <v>57</v>
      </c>
      <c r="AD474" s="8">
        <v>13.563000000000001</v>
      </c>
      <c r="AE474" s="8">
        <v>13.763</v>
      </c>
      <c r="AG474" s="8">
        <v>0.51</v>
      </c>
      <c r="AH474" s="11">
        <v>57.12</v>
      </c>
      <c r="AI474" s="8">
        <v>21.94</v>
      </c>
      <c r="AJ474" s="88">
        <v>58.25</v>
      </c>
      <c r="AK474" s="3" t="s">
        <v>58</v>
      </c>
      <c r="AL474" s="9">
        <f t="shared" si="11"/>
        <v>69.899999999999991</v>
      </c>
      <c r="AN474" t="s">
        <v>5518</v>
      </c>
      <c r="AO474" s="74" t="s">
        <v>5626</v>
      </c>
    </row>
    <row r="475" spans="1:41" ht="14.25" customHeight="1" x14ac:dyDescent="0.3">
      <c r="A475" s="3" t="s">
        <v>1698</v>
      </c>
      <c r="B475" s="3" t="s">
        <v>1708</v>
      </c>
      <c r="C475" s="3" t="s">
        <v>1700</v>
      </c>
      <c r="D475" s="4" t="s">
        <v>1709</v>
      </c>
      <c r="E475" s="3" t="s">
        <v>1702</v>
      </c>
      <c r="F475" s="3" t="s">
        <v>41</v>
      </c>
      <c r="G475" s="5" t="s">
        <v>42</v>
      </c>
      <c r="H475" s="5" t="s">
        <v>43</v>
      </c>
      <c r="I475" s="5" t="s">
        <v>44</v>
      </c>
      <c r="J475" s="3" t="s">
        <v>45</v>
      </c>
      <c r="K475" s="3" t="s">
        <v>277</v>
      </c>
      <c r="L475" s="3" t="s">
        <v>1281</v>
      </c>
      <c r="M475" s="3" t="s">
        <v>262</v>
      </c>
      <c r="N475" s="4" t="s">
        <v>1710</v>
      </c>
      <c r="O475" s="67" t="s">
        <v>1463</v>
      </c>
      <c r="P475" s="3" t="s">
        <v>1703</v>
      </c>
      <c r="Q475" s="3" t="s">
        <v>68</v>
      </c>
      <c r="R475" s="6">
        <v>51</v>
      </c>
      <c r="S475" s="3" t="s">
        <v>280</v>
      </c>
      <c r="T475" s="3" t="s">
        <v>53</v>
      </c>
      <c r="U475" s="3" t="s">
        <v>281</v>
      </c>
      <c r="V475" s="7"/>
      <c r="W475" s="7"/>
      <c r="X475" s="7"/>
      <c r="Y475" s="7"/>
      <c r="Z475" s="3" t="s">
        <v>265</v>
      </c>
      <c r="AA475" s="3" t="s">
        <v>56</v>
      </c>
      <c r="AB475" s="3" t="s">
        <v>57</v>
      </c>
      <c r="AD475" s="8">
        <v>13.563000000000001</v>
      </c>
      <c r="AE475" s="8">
        <v>13.763</v>
      </c>
      <c r="AG475" s="8">
        <v>0.51</v>
      </c>
      <c r="AH475" s="11">
        <v>57.12</v>
      </c>
      <c r="AI475" s="8">
        <v>21.94</v>
      </c>
      <c r="AJ475" s="88">
        <v>58.25</v>
      </c>
      <c r="AK475" s="3" t="s">
        <v>58</v>
      </c>
      <c r="AL475" s="9">
        <f t="shared" si="11"/>
        <v>69.899999999999991</v>
      </c>
      <c r="AN475" t="s">
        <v>5518</v>
      </c>
      <c r="AO475" s="74" t="s">
        <v>5626</v>
      </c>
    </row>
    <row r="476" spans="1:41" ht="14.25" customHeight="1" x14ac:dyDescent="0.3">
      <c r="A476" s="3" t="s">
        <v>1698</v>
      </c>
      <c r="B476" s="3" t="s">
        <v>1711</v>
      </c>
      <c r="C476" s="3" t="s">
        <v>1700</v>
      </c>
      <c r="D476" s="4" t="s">
        <v>1712</v>
      </c>
      <c r="E476" s="3" t="s">
        <v>1702</v>
      </c>
      <c r="F476" s="3" t="s">
        <v>41</v>
      </c>
      <c r="G476" s="5" t="s">
        <v>42</v>
      </c>
      <c r="H476" s="5" t="s">
        <v>43</v>
      </c>
      <c r="I476" s="5" t="s">
        <v>44</v>
      </c>
      <c r="J476" s="3" t="s">
        <v>45</v>
      </c>
      <c r="K476" s="3" t="s">
        <v>277</v>
      </c>
      <c r="L476" s="3" t="s">
        <v>1281</v>
      </c>
      <c r="M476" s="3" t="s">
        <v>262</v>
      </c>
      <c r="N476" s="4" t="s">
        <v>299</v>
      </c>
      <c r="O476" s="67" t="s">
        <v>1463</v>
      </c>
      <c r="P476" s="3" t="s">
        <v>1703</v>
      </c>
      <c r="Q476" s="3" t="s">
        <v>68</v>
      </c>
      <c r="R476" s="6">
        <v>51</v>
      </c>
      <c r="S476" s="3" t="s">
        <v>280</v>
      </c>
      <c r="T476" s="3" t="s">
        <v>53</v>
      </c>
      <c r="U476" s="3" t="s">
        <v>281</v>
      </c>
      <c r="V476" s="7"/>
      <c r="W476" s="7"/>
      <c r="X476" s="7"/>
      <c r="Y476" s="7"/>
      <c r="Z476" s="3" t="s">
        <v>265</v>
      </c>
      <c r="AA476" s="3" t="s">
        <v>56</v>
      </c>
      <c r="AB476" s="3" t="s">
        <v>57</v>
      </c>
      <c r="AD476" s="8">
        <v>13.563000000000001</v>
      </c>
      <c r="AE476" s="8">
        <v>13.763</v>
      </c>
      <c r="AG476" s="8">
        <v>0.51</v>
      </c>
      <c r="AH476" s="11">
        <v>57.12</v>
      </c>
      <c r="AI476" s="8">
        <v>21.94</v>
      </c>
      <c r="AJ476" s="88">
        <v>58.25</v>
      </c>
      <c r="AK476" s="3" t="s">
        <v>58</v>
      </c>
      <c r="AL476" s="9">
        <f t="shared" si="11"/>
        <v>69.899999999999991</v>
      </c>
      <c r="AN476" t="s">
        <v>5518</v>
      </c>
      <c r="AO476" s="74" t="s">
        <v>5626</v>
      </c>
    </row>
    <row r="477" spans="1:41" ht="14.25" customHeight="1" x14ac:dyDescent="0.3">
      <c r="A477" s="3" t="s">
        <v>1698</v>
      </c>
      <c r="B477" s="3" t="s">
        <v>1713</v>
      </c>
      <c r="C477" s="3" t="s">
        <v>1700</v>
      </c>
      <c r="D477" s="4" t="s">
        <v>1714</v>
      </c>
      <c r="E477" s="3" t="s">
        <v>1702</v>
      </c>
      <c r="F477" s="3" t="s">
        <v>41</v>
      </c>
      <c r="G477" s="5" t="s">
        <v>42</v>
      </c>
      <c r="H477" s="5" t="s">
        <v>43</v>
      </c>
      <c r="I477" s="5" t="s">
        <v>44</v>
      </c>
      <c r="J477" s="3" t="s">
        <v>45</v>
      </c>
      <c r="K477" s="3" t="s">
        <v>277</v>
      </c>
      <c r="L477" s="3" t="s">
        <v>1281</v>
      </c>
      <c r="M477" s="3" t="s">
        <v>262</v>
      </c>
      <c r="N477" s="4" t="s">
        <v>1715</v>
      </c>
      <c r="O477" s="67" t="s">
        <v>328</v>
      </c>
      <c r="P477" s="3" t="s">
        <v>1703</v>
      </c>
      <c r="Q477" s="3" t="s">
        <v>68</v>
      </c>
      <c r="R477" s="6">
        <v>51</v>
      </c>
      <c r="S477" s="3" t="s">
        <v>280</v>
      </c>
      <c r="T477" s="3" t="s">
        <v>53</v>
      </c>
      <c r="U477" s="3" t="s">
        <v>281</v>
      </c>
      <c r="V477" s="7"/>
      <c r="W477" s="7"/>
      <c r="X477" s="7"/>
      <c r="Y477" s="7"/>
      <c r="Z477" s="3" t="s">
        <v>265</v>
      </c>
      <c r="AA477" s="3" t="s">
        <v>56</v>
      </c>
      <c r="AB477" s="3" t="s">
        <v>57</v>
      </c>
      <c r="AD477" s="8">
        <v>13.563000000000001</v>
      </c>
      <c r="AE477" s="8">
        <v>13.763</v>
      </c>
      <c r="AG477" s="8">
        <v>0.51</v>
      </c>
      <c r="AH477" s="11">
        <v>57.12</v>
      </c>
      <c r="AI477" s="8">
        <v>21.94</v>
      </c>
      <c r="AJ477" s="88">
        <v>58.25</v>
      </c>
      <c r="AK477" s="3" t="s">
        <v>58</v>
      </c>
      <c r="AL477" s="9">
        <f t="shared" si="11"/>
        <v>69.899999999999991</v>
      </c>
      <c r="AN477" t="s">
        <v>5518</v>
      </c>
      <c r="AO477" s="74" t="s">
        <v>5626</v>
      </c>
    </row>
    <row r="478" spans="1:41" ht="14.25" customHeight="1" x14ac:dyDescent="0.3">
      <c r="A478" s="3" t="s">
        <v>1698</v>
      </c>
      <c r="B478" s="3" t="s">
        <v>1716</v>
      </c>
      <c r="C478" s="3" t="s">
        <v>1700</v>
      </c>
      <c r="D478" s="4" t="s">
        <v>1717</v>
      </c>
      <c r="E478" s="3" t="s">
        <v>1702</v>
      </c>
      <c r="F478" s="3" t="s">
        <v>41</v>
      </c>
      <c r="G478" s="5" t="s">
        <v>42</v>
      </c>
      <c r="H478" s="5" t="s">
        <v>43</v>
      </c>
      <c r="I478" s="5" t="s">
        <v>44</v>
      </c>
      <c r="J478" s="3" t="s">
        <v>45</v>
      </c>
      <c r="K478" s="3" t="s">
        <v>277</v>
      </c>
      <c r="L478" s="3" t="s">
        <v>1281</v>
      </c>
      <c r="M478" s="3" t="s">
        <v>262</v>
      </c>
      <c r="N478" s="4" t="s">
        <v>1718</v>
      </c>
      <c r="O478" s="67" t="s">
        <v>454</v>
      </c>
      <c r="P478" s="3" t="s">
        <v>1703</v>
      </c>
      <c r="Q478" s="3" t="s">
        <v>68</v>
      </c>
      <c r="R478" s="6">
        <v>51</v>
      </c>
      <c r="S478" s="3" t="s">
        <v>280</v>
      </c>
      <c r="T478" s="3" t="s">
        <v>53</v>
      </c>
      <c r="U478" s="3" t="s">
        <v>281</v>
      </c>
      <c r="V478" s="7"/>
      <c r="W478" s="7"/>
      <c r="X478" s="7"/>
      <c r="Y478" s="7"/>
      <c r="Z478" s="3" t="s">
        <v>265</v>
      </c>
      <c r="AA478" s="3" t="s">
        <v>56</v>
      </c>
      <c r="AB478" s="3" t="s">
        <v>57</v>
      </c>
      <c r="AD478" s="8">
        <v>13.563000000000001</v>
      </c>
      <c r="AE478" s="8">
        <v>13.763</v>
      </c>
      <c r="AG478" s="8">
        <v>0.51</v>
      </c>
      <c r="AH478" s="11">
        <v>57.12</v>
      </c>
      <c r="AI478" s="8">
        <v>21.94</v>
      </c>
      <c r="AJ478" s="88">
        <v>58.25</v>
      </c>
      <c r="AK478" s="3" t="s">
        <v>58</v>
      </c>
      <c r="AL478" s="9">
        <f t="shared" si="11"/>
        <v>69.899999999999991</v>
      </c>
      <c r="AN478" t="s">
        <v>5518</v>
      </c>
      <c r="AO478" s="74" t="s">
        <v>5626</v>
      </c>
    </row>
    <row r="479" spans="1:41" ht="14.25" customHeight="1" x14ac:dyDescent="0.3">
      <c r="A479" s="3" t="s">
        <v>1271</v>
      </c>
      <c r="B479" s="3" t="s">
        <v>1272</v>
      </c>
      <c r="C479" s="3" t="s">
        <v>1273</v>
      </c>
      <c r="D479" s="3" t="s">
        <v>1274</v>
      </c>
      <c r="E479" s="3" t="s">
        <v>1275</v>
      </c>
      <c r="F479" s="3" t="s">
        <v>41</v>
      </c>
      <c r="G479" s="5" t="s">
        <v>42</v>
      </c>
      <c r="H479" s="5" t="s">
        <v>43</v>
      </c>
      <c r="I479" s="5" t="s">
        <v>44</v>
      </c>
      <c r="J479" s="3" t="s">
        <v>45</v>
      </c>
      <c r="K479" s="3" t="s">
        <v>1276</v>
      </c>
      <c r="L479" s="3" t="s">
        <v>1277</v>
      </c>
      <c r="M479" s="3" t="s">
        <v>262</v>
      </c>
      <c r="N479" s="4" t="s">
        <v>1278</v>
      </c>
      <c r="O479" s="67" t="s">
        <v>580</v>
      </c>
      <c r="P479" s="3" t="s">
        <v>50</v>
      </c>
      <c r="Q479" s="3" t="s">
        <v>51</v>
      </c>
      <c r="R479" s="3">
        <v>38</v>
      </c>
      <c r="S479" s="3" t="s">
        <v>52</v>
      </c>
      <c r="T479" s="3" t="s">
        <v>53</v>
      </c>
      <c r="U479" s="3" t="s">
        <v>281</v>
      </c>
      <c r="V479" s="7"/>
      <c r="W479" s="7"/>
      <c r="X479" s="7"/>
      <c r="Y479" s="7"/>
      <c r="Z479" s="3" t="s">
        <v>265</v>
      </c>
      <c r="AA479" s="3" t="s">
        <v>88</v>
      </c>
      <c r="AB479" s="3" t="s">
        <v>57</v>
      </c>
      <c r="AD479" s="9">
        <v>0.20394736842105263</v>
      </c>
      <c r="AE479" s="9">
        <v>0.20394736842105299</v>
      </c>
      <c r="AG479" s="3">
        <v>0.5</v>
      </c>
      <c r="AH479" s="3">
        <v>60</v>
      </c>
      <c r="AI479" s="3">
        <v>20</v>
      </c>
      <c r="AJ479" s="89">
        <f t="shared" ref="AJ479:AJ504" si="12">59.9/1.2</f>
        <v>49.916666666666664</v>
      </c>
      <c r="AK479" s="3" t="s">
        <v>58</v>
      </c>
      <c r="AL479" s="3">
        <f t="shared" ref="AL479:AL542" si="13">AJ479*1.2</f>
        <v>59.899999999999991</v>
      </c>
      <c r="AN479" t="s">
        <v>5518</v>
      </c>
      <c r="AO479" s="74" t="s">
        <v>5631</v>
      </c>
    </row>
    <row r="480" spans="1:41" ht="14.25" customHeight="1" x14ac:dyDescent="0.3">
      <c r="A480" s="3" t="s">
        <v>1271</v>
      </c>
      <c r="B480" s="3" t="s">
        <v>1279</v>
      </c>
      <c r="C480" s="3" t="s">
        <v>1273</v>
      </c>
      <c r="D480" s="3" t="s">
        <v>1280</v>
      </c>
      <c r="E480" s="3" t="s">
        <v>1275</v>
      </c>
      <c r="F480" s="3" t="s">
        <v>41</v>
      </c>
      <c r="G480" s="5" t="s">
        <v>42</v>
      </c>
      <c r="H480" s="5" t="s">
        <v>43</v>
      </c>
      <c r="I480" s="5" t="s">
        <v>44</v>
      </c>
      <c r="J480" s="3" t="s">
        <v>45</v>
      </c>
      <c r="K480" s="3" t="s">
        <v>1276</v>
      </c>
      <c r="L480" s="3" t="s">
        <v>1281</v>
      </c>
      <c r="M480" s="3" t="s">
        <v>262</v>
      </c>
      <c r="N480" s="4" t="s">
        <v>1278</v>
      </c>
      <c r="O480" s="67" t="s">
        <v>580</v>
      </c>
      <c r="P480" s="3" t="s">
        <v>50</v>
      </c>
      <c r="Q480" s="3" t="s">
        <v>68</v>
      </c>
      <c r="R480" s="3">
        <v>50</v>
      </c>
      <c r="S480" s="3" t="s">
        <v>52</v>
      </c>
      <c r="T480" s="3" t="s">
        <v>53</v>
      </c>
      <c r="U480" s="3" t="s">
        <v>281</v>
      </c>
      <c r="V480" s="7"/>
      <c r="W480" s="7"/>
      <c r="X480" s="7"/>
      <c r="Y480" s="7"/>
      <c r="Z480" s="3" t="s">
        <v>265</v>
      </c>
      <c r="AA480" s="3" t="s">
        <v>88</v>
      </c>
      <c r="AB480" s="3" t="s">
        <v>57</v>
      </c>
      <c r="AD480" s="9">
        <v>0.14460000000000001</v>
      </c>
      <c r="AE480" s="9">
        <v>0.14460000000000001</v>
      </c>
      <c r="AG480" s="3">
        <v>0.5</v>
      </c>
      <c r="AH480" s="3">
        <v>60</v>
      </c>
      <c r="AI480" s="3">
        <v>20</v>
      </c>
      <c r="AJ480" s="89">
        <f t="shared" si="12"/>
        <v>49.916666666666664</v>
      </c>
      <c r="AK480" s="3" t="s">
        <v>58</v>
      </c>
      <c r="AL480" s="3">
        <f t="shared" si="13"/>
        <v>59.899999999999991</v>
      </c>
      <c r="AN480" t="s">
        <v>5518</v>
      </c>
      <c r="AO480" s="74" t="s">
        <v>5631</v>
      </c>
    </row>
    <row r="481" spans="1:41" ht="14.25" customHeight="1" x14ac:dyDescent="0.3">
      <c r="A481" s="3" t="s">
        <v>1271</v>
      </c>
      <c r="B481" s="3" t="s">
        <v>1285</v>
      </c>
      <c r="C481" s="3" t="s">
        <v>1273</v>
      </c>
      <c r="D481" s="3" t="s">
        <v>1286</v>
      </c>
      <c r="E481" s="3" t="s">
        <v>1275</v>
      </c>
      <c r="F481" s="3" t="s">
        <v>41</v>
      </c>
      <c r="G481" s="5" t="s">
        <v>42</v>
      </c>
      <c r="H481" s="5" t="s">
        <v>43</v>
      </c>
      <c r="I481" s="5" t="s">
        <v>44</v>
      </c>
      <c r="J481" s="3" t="s">
        <v>45</v>
      </c>
      <c r="K481" s="3" t="s">
        <v>1276</v>
      </c>
      <c r="L481" s="3" t="s">
        <v>1277</v>
      </c>
      <c r="M481" s="3" t="s">
        <v>262</v>
      </c>
      <c r="N481" s="4" t="s">
        <v>1287</v>
      </c>
      <c r="O481" s="67" t="s">
        <v>1287</v>
      </c>
      <c r="P481" s="3" t="s">
        <v>50</v>
      </c>
      <c r="Q481" s="3" t="s">
        <v>51</v>
      </c>
      <c r="R481" s="3">
        <v>38</v>
      </c>
      <c r="S481" s="3" t="s">
        <v>52</v>
      </c>
      <c r="T481" s="3" t="s">
        <v>53</v>
      </c>
      <c r="U481" s="3" t="s">
        <v>281</v>
      </c>
      <c r="V481" s="7"/>
      <c r="W481" s="7"/>
      <c r="X481" s="7"/>
      <c r="Y481" s="7"/>
      <c r="Z481" s="3" t="s">
        <v>265</v>
      </c>
      <c r="AA481" s="3" t="s">
        <v>88</v>
      </c>
      <c r="AB481" s="3" t="s">
        <v>57</v>
      </c>
      <c r="AD481" s="9">
        <v>0.20394736842105263</v>
      </c>
      <c r="AE481" s="9">
        <v>0.20394736842105263</v>
      </c>
      <c r="AG481" s="3">
        <v>0.5</v>
      </c>
      <c r="AH481" s="3">
        <v>60</v>
      </c>
      <c r="AI481" s="3">
        <v>20</v>
      </c>
      <c r="AJ481" s="89">
        <f t="shared" si="12"/>
        <v>49.916666666666664</v>
      </c>
      <c r="AK481" s="3" t="s">
        <v>58</v>
      </c>
      <c r="AL481" s="3">
        <f t="shared" si="13"/>
        <v>59.899999999999991</v>
      </c>
      <c r="AN481" t="s">
        <v>5518</v>
      </c>
      <c r="AO481" s="74" t="s">
        <v>5631</v>
      </c>
    </row>
    <row r="482" spans="1:41" ht="14.25" customHeight="1" x14ac:dyDescent="0.3">
      <c r="A482" s="3" t="s">
        <v>1271</v>
      </c>
      <c r="B482" s="3" t="s">
        <v>1288</v>
      </c>
      <c r="C482" s="3" t="s">
        <v>1273</v>
      </c>
      <c r="D482" s="3" t="s">
        <v>1289</v>
      </c>
      <c r="E482" s="3" t="s">
        <v>1275</v>
      </c>
      <c r="F482" s="3" t="s">
        <v>41</v>
      </c>
      <c r="G482" s="5" t="s">
        <v>42</v>
      </c>
      <c r="H482" s="5" t="s">
        <v>43</v>
      </c>
      <c r="I482" s="5" t="s">
        <v>44</v>
      </c>
      <c r="J482" s="3" t="s">
        <v>45</v>
      </c>
      <c r="K482" s="3" t="s">
        <v>1276</v>
      </c>
      <c r="L482" s="3" t="s">
        <v>1281</v>
      </c>
      <c r="M482" s="3" t="s">
        <v>262</v>
      </c>
      <c r="N482" s="4" t="s">
        <v>1287</v>
      </c>
      <c r="O482" s="67" t="s">
        <v>1287</v>
      </c>
      <c r="P482" s="3" t="s">
        <v>50</v>
      </c>
      <c r="Q482" s="3" t="s">
        <v>68</v>
      </c>
      <c r="R482" s="3">
        <v>50</v>
      </c>
      <c r="S482" s="3" t="s">
        <v>52</v>
      </c>
      <c r="T482" s="3" t="s">
        <v>53</v>
      </c>
      <c r="U482" s="3" t="s">
        <v>281</v>
      </c>
      <c r="V482" s="7"/>
      <c r="W482" s="7"/>
      <c r="X482" s="7"/>
      <c r="Y482" s="7"/>
      <c r="Z482" s="3" t="s">
        <v>265</v>
      </c>
      <c r="AA482" s="3" t="s">
        <v>88</v>
      </c>
      <c r="AB482" s="3" t="s">
        <v>57</v>
      </c>
      <c r="AD482" s="9">
        <v>0.14460000000000001</v>
      </c>
      <c r="AE482" s="9">
        <v>0.14460000000000001</v>
      </c>
      <c r="AG482" s="3">
        <v>0.5</v>
      </c>
      <c r="AH482" s="3">
        <v>60</v>
      </c>
      <c r="AI482" s="3">
        <v>20</v>
      </c>
      <c r="AJ482" s="89">
        <f t="shared" si="12"/>
        <v>49.916666666666664</v>
      </c>
      <c r="AK482" s="3" t="s">
        <v>58</v>
      </c>
      <c r="AL482" s="3">
        <f t="shared" si="13"/>
        <v>59.899999999999991</v>
      </c>
      <c r="AN482" t="s">
        <v>5518</v>
      </c>
      <c r="AO482" s="74" t="s">
        <v>5631</v>
      </c>
    </row>
    <row r="483" spans="1:41" ht="14.25" customHeight="1" x14ac:dyDescent="0.3">
      <c r="A483" s="3" t="s">
        <v>1271</v>
      </c>
      <c r="B483" s="3" t="s">
        <v>1292</v>
      </c>
      <c r="C483" s="3" t="s">
        <v>1273</v>
      </c>
      <c r="D483" s="3" t="s">
        <v>1293</v>
      </c>
      <c r="E483" s="3" t="s">
        <v>1275</v>
      </c>
      <c r="F483" s="3" t="s">
        <v>41</v>
      </c>
      <c r="G483" s="5" t="s">
        <v>42</v>
      </c>
      <c r="H483" s="5" t="s">
        <v>43</v>
      </c>
      <c r="I483" s="5" t="s">
        <v>44</v>
      </c>
      <c r="J483" s="3" t="s">
        <v>45</v>
      </c>
      <c r="K483" s="3" t="s">
        <v>1276</v>
      </c>
      <c r="L483" s="3" t="s">
        <v>1277</v>
      </c>
      <c r="M483" s="3" t="s">
        <v>262</v>
      </c>
      <c r="N483" s="4" t="s">
        <v>279</v>
      </c>
      <c r="O483" s="67" t="s">
        <v>279</v>
      </c>
      <c r="P483" s="3" t="s">
        <v>50</v>
      </c>
      <c r="Q483" s="3" t="s">
        <v>51</v>
      </c>
      <c r="R483" s="3">
        <v>38</v>
      </c>
      <c r="S483" s="3" t="s">
        <v>52</v>
      </c>
      <c r="T483" s="3" t="s">
        <v>53</v>
      </c>
      <c r="U483" s="3" t="s">
        <v>281</v>
      </c>
      <c r="V483" s="7"/>
      <c r="W483" s="7"/>
      <c r="X483" s="7"/>
      <c r="Y483" s="7"/>
      <c r="Z483" s="3" t="s">
        <v>265</v>
      </c>
      <c r="AA483" s="3" t="s">
        <v>88</v>
      </c>
      <c r="AB483" s="3" t="s">
        <v>57</v>
      </c>
      <c r="AD483" s="9">
        <v>0.20394736842105263</v>
      </c>
      <c r="AE483" s="9">
        <v>0.20394736842105263</v>
      </c>
      <c r="AG483" s="3">
        <v>0.5</v>
      </c>
      <c r="AH483" s="3">
        <v>60</v>
      </c>
      <c r="AI483" s="3">
        <v>20</v>
      </c>
      <c r="AJ483" s="89">
        <f t="shared" si="12"/>
        <v>49.916666666666664</v>
      </c>
      <c r="AK483" s="3" t="s">
        <v>58</v>
      </c>
      <c r="AL483" s="3">
        <f t="shared" si="13"/>
        <v>59.899999999999991</v>
      </c>
      <c r="AN483" t="s">
        <v>5518</v>
      </c>
      <c r="AO483" s="74" t="s">
        <v>5631</v>
      </c>
    </row>
    <row r="484" spans="1:41" ht="14.25" customHeight="1" x14ac:dyDescent="0.3">
      <c r="A484" s="3" t="s">
        <v>1271</v>
      </c>
      <c r="B484" s="3" t="s">
        <v>1294</v>
      </c>
      <c r="C484" s="3" t="s">
        <v>1273</v>
      </c>
      <c r="D484" s="3" t="s">
        <v>1295</v>
      </c>
      <c r="E484" s="3" t="s">
        <v>1275</v>
      </c>
      <c r="F484" s="3" t="s">
        <v>41</v>
      </c>
      <c r="G484" s="5" t="s">
        <v>42</v>
      </c>
      <c r="H484" s="5" t="s">
        <v>43</v>
      </c>
      <c r="I484" s="5" t="s">
        <v>44</v>
      </c>
      <c r="J484" s="3" t="s">
        <v>45</v>
      </c>
      <c r="K484" s="3" t="s">
        <v>1276</v>
      </c>
      <c r="L484" s="3" t="s">
        <v>1281</v>
      </c>
      <c r="M484" s="3" t="s">
        <v>262</v>
      </c>
      <c r="N484" s="4" t="s">
        <v>279</v>
      </c>
      <c r="O484" s="67" t="s">
        <v>279</v>
      </c>
      <c r="P484" s="3" t="s">
        <v>50</v>
      </c>
      <c r="Q484" s="3" t="s">
        <v>68</v>
      </c>
      <c r="R484" s="3">
        <v>50</v>
      </c>
      <c r="S484" s="3" t="s">
        <v>52</v>
      </c>
      <c r="T484" s="3" t="s">
        <v>53</v>
      </c>
      <c r="U484" s="3" t="s">
        <v>281</v>
      </c>
      <c r="V484" s="7"/>
      <c r="W484" s="7"/>
      <c r="X484" s="7"/>
      <c r="Y484" s="7"/>
      <c r="Z484" s="3" t="s">
        <v>265</v>
      </c>
      <c r="AA484" s="3" t="s">
        <v>88</v>
      </c>
      <c r="AB484" s="3" t="s">
        <v>57</v>
      </c>
      <c r="AD484" s="9">
        <v>0.14460000000000001</v>
      </c>
      <c r="AE484" s="9">
        <v>0.14460000000000001</v>
      </c>
      <c r="AG484" s="3">
        <v>0.5</v>
      </c>
      <c r="AH484" s="3">
        <v>60</v>
      </c>
      <c r="AI484" s="3">
        <v>20</v>
      </c>
      <c r="AJ484" s="89">
        <f t="shared" si="12"/>
        <v>49.916666666666664</v>
      </c>
      <c r="AK484" s="3" t="s">
        <v>58</v>
      </c>
      <c r="AL484" s="3">
        <f t="shared" si="13"/>
        <v>59.899999999999991</v>
      </c>
      <c r="AN484" t="s">
        <v>5518</v>
      </c>
      <c r="AO484" s="74" t="s">
        <v>5631</v>
      </c>
    </row>
    <row r="485" spans="1:41" ht="14.25" customHeight="1" x14ac:dyDescent="0.3">
      <c r="A485" s="3" t="s">
        <v>1271</v>
      </c>
      <c r="B485" s="3" t="s">
        <v>1298</v>
      </c>
      <c r="C485" s="3" t="s">
        <v>1273</v>
      </c>
      <c r="D485" s="3" t="s">
        <v>1299</v>
      </c>
      <c r="E485" s="3" t="s">
        <v>1275</v>
      </c>
      <c r="F485" s="3" t="s">
        <v>41</v>
      </c>
      <c r="G485" s="5" t="s">
        <v>42</v>
      </c>
      <c r="H485" s="5" t="s">
        <v>43</v>
      </c>
      <c r="I485" s="5" t="s">
        <v>44</v>
      </c>
      <c r="J485" s="3" t="s">
        <v>45</v>
      </c>
      <c r="K485" s="3" t="s">
        <v>1276</v>
      </c>
      <c r="L485" s="3" t="s">
        <v>1277</v>
      </c>
      <c r="M485" s="3" t="s">
        <v>262</v>
      </c>
      <c r="N485" s="4" t="s">
        <v>1300</v>
      </c>
      <c r="O485" s="67" t="s">
        <v>5618</v>
      </c>
      <c r="P485" s="3" t="s">
        <v>50</v>
      </c>
      <c r="Q485" s="3" t="s">
        <v>51</v>
      </c>
      <c r="R485" s="3">
        <v>38</v>
      </c>
      <c r="S485" s="3" t="s">
        <v>52</v>
      </c>
      <c r="T485" s="3" t="s">
        <v>53</v>
      </c>
      <c r="U485" s="3" t="s">
        <v>281</v>
      </c>
      <c r="V485" s="7"/>
      <c r="W485" s="7"/>
      <c r="X485" s="7"/>
      <c r="Y485" s="7"/>
      <c r="Z485" s="3" t="s">
        <v>265</v>
      </c>
      <c r="AA485" s="3" t="s">
        <v>88</v>
      </c>
      <c r="AB485" s="3" t="s">
        <v>57</v>
      </c>
      <c r="AD485" s="9">
        <v>0.20394736842105263</v>
      </c>
      <c r="AE485" s="9">
        <v>0.20394736842105263</v>
      </c>
      <c r="AG485" s="3">
        <v>0.5</v>
      </c>
      <c r="AH485" s="3">
        <v>60</v>
      </c>
      <c r="AI485" s="3">
        <v>20</v>
      </c>
      <c r="AJ485" s="89">
        <f t="shared" si="12"/>
        <v>49.916666666666664</v>
      </c>
      <c r="AK485" s="3" t="s">
        <v>58</v>
      </c>
      <c r="AL485" s="3">
        <f t="shared" si="13"/>
        <v>59.899999999999991</v>
      </c>
      <c r="AN485" t="s">
        <v>5518</v>
      </c>
      <c r="AO485" s="74" t="s">
        <v>5631</v>
      </c>
    </row>
    <row r="486" spans="1:41" ht="14.25" customHeight="1" x14ac:dyDescent="0.3">
      <c r="A486" s="3" t="s">
        <v>1271</v>
      </c>
      <c r="B486" s="3" t="s">
        <v>1301</v>
      </c>
      <c r="C486" s="3" t="s">
        <v>1273</v>
      </c>
      <c r="D486" s="3" t="s">
        <v>1302</v>
      </c>
      <c r="E486" s="3" t="s">
        <v>1275</v>
      </c>
      <c r="F486" s="3" t="s">
        <v>41</v>
      </c>
      <c r="G486" s="5" t="s">
        <v>42</v>
      </c>
      <c r="H486" s="5" t="s">
        <v>43</v>
      </c>
      <c r="I486" s="5" t="s">
        <v>44</v>
      </c>
      <c r="J486" s="3" t="s">
        <v>45</v>
      </c>
      <c r="K486" s="3" t="s">
        <v>1276</v>
      </c>
      <c r="L486" s="3" t="s">
        <v>1281</v>
      </c>
      <c r="M486" s="3" t="s">
        <v>262</v>
      </c>
      <c r="N486" s="4" t="s">
        <v>1300</v>
      </c>
      <c r="O486" s="67" t="s">
        <v>5618</v>
      </c>
      <c r="P486" s="3" t="s">
        <v>50</v>
      </c>
      <c r="Q486" s="3" t="s">
        <v>68</v>
      </c>
      <c r="R486" s="3">
        <v>50</v>
      </c>
      <c r="S486" s="3" t="s">
        <v>52</v>
      </c>
      <c r="T486" s="3" t="s">
        <v>53</v>
      </c>
      <c r="U486" s="3" t="s">
        <v>281</v>
      </c>
      <c r="V486" s="7"/>
      <c r="W486" s="7"/>
      <c r="X486" s="7"/>
      <c r="Y486" s="7"/>
      <c r="Z486" s="3" t="s">
        <v>265</v>
      </c>
      <c r="AA486" s="3" t="s">
        <v>88</v>
      </c>
      <c r="AB486" s="3" t="s">
        <v>57</v>
      </c>
      <c r="AD486" s="9">
        <v>0.14460000000000001</v>
      </c>
      <c r="AE486" s="9">
        <v>0.14460000000000001</v>
      </c>
      <c r="AG486" s="3">
        <v>0.5</v>
      </c>
      <c r="AH486" s="3">
        <v>60</v>
      </c>
      <c r="AI486" s="3">
        <v>20</v>
      </c>
      <c r="AJ486" s="89">
        <f t="shared" si="12"/>
        <v>49.916666666666664</v>
      </c>
      <c r="AK486" s="3" t="s">
        <v>58</v>
      </c>
      <c r="AL486" s="3">
        <f t="shared" si="13"/>
        <v>59.899999999999991</v>
      </c>
      <c r="AN486" t="s">
        <v>5518</v>
      </c>
      <c r="AO486" s="74" t="s">
        <v>5631</v>
      </c>
    </row>
    <row r="487" spans="1:41" ht="14.25" customHeight="1" x14ac:dyDescent="0.3">
      <c r="A487" s="3" t="s">
        <v>1271</v>
      </c>
      <c r="B487" s="3" t="s">
        <v>1305</v>
      </c>
      <c r="C487" s="3" t="s">
        <v>1273</v>
      </c>
      <c r="D487" s="3" t="s">
        <v>1306</v>
      </c>
      <c r="E487" s="3" t="s">
        <v>1275</v>
      </c>
      <c r="F487" s="3" t="s">
        <v>41</v>
      </c>
      <c r="G487" s="5" t="s">
        <v>42</v>
      </c>
      <c r="H487" s="5" t="s">
        <v>43</v>
      </c>
      <c r="I487" s="5" t="s">
        <v>44</v>
      </c>
      <c r="J487" s="3" t="s">
        <v>45</v>
      </c>
      <c r="K487" s="3" t="s">
        <v>1276</v>
      </c>
      <c r="L487" s="3" t="s">
        <v>1277</v>
      </c>
      <c r="M487" s="3" t="s">
        <v>262</v>
      </c>
      <c r="N487" s="4" t="s">
        <v>1307</v>
      </c>
      <c r="O487" s="67" t="s">
        <v>5621</v>
      </c>
      <c r="P487" s="3" t="s">
        <v>50</v>
      </c>
      <c r="Q487" s="3" t="s">
        <v>51</v>
      </c>
      <c r="R487" s="3">
        <v>38</v>
      </c>
      <c r="S487" s="3" t="s">
        <v>52</v>
      </c>
      <c r="T487" s="3" t="s">
        <v>53</v>
      </c>
      <c r="U487" s="3" t="s">
        <v>281</v>
      </c>
      <c r="V487" s="7"/>
      <c r="W487" s="7"/>
      <c r="X487" s="7"/>
      <c r="Y487" s="7"/>
      <c r="Z487" s="3" t="s">
        <v>265</v>
      </c>
      <c r="AA487" s="3" t="s">
        <v>88</v>
      </c>
      <c r="AB487" s="3" t="s">
        <v>57</v>
      </c>
      <c r="AD487" s="9">
        <v>0.20394736842105263</v>
      </c>
      <c r="AE487" s="9">
        <v>0.20394736842105263</v>
      </c>
      <c r="AG487" s="3">
        <v>0.5</v>
      </c>
      <c r="AH487" s="3">
        <v>60</v>
      </c>
      <c r="AI487" s="3">
        <v>20</v>
      </c>
      <c r="AJ487" s="89">
        <f t="shared" si="12"/>
        <v>49.916666666666664</v>
      </c>
      <c r="AK487" s="3" t="s">
        <v>58</v>
      </c>
      <c r="AL487" s="3">
        <f t="shared" si="13"/>
        <v>59.899999999999991</v>
      </c>
      <c r="AN487" t="s">
        <v>5518</v>
      </c>
      <c r="AO487" s="74" t="s">
        <v>5631</v>
      </c>
    </row>
    <row r="488" spans="1:41" ht="14.25" customHeight="1" x14ac:dyDescent="0.3">
      <c r="A488" s="3" t="s">
        <v>1271</v>
      </c>
      <c r="B488" s="3" t="s">
        <v>1308</v>
      </c>
      <c r="C488" s="3" t="s">
        <v>1273</v>
      </c>
      <c r="D488" s="3" t="s">
        <v>1309</v>
      </c>
      <c r="E488" s="3" t="s">
        <v>1275</v>
      </c>
      <c r="F488" s="3" t="s">
        <v>41</v>
      </c>
      <c r="G488" s="5" t="s">
        <v>42</v>
      </c>
      <c r="H488" s="5" t="s">
        <v>43</v>
      </c>
      <c r="I488" s="5" t="s">
        <v>44</v>
      </c>
      <c r="J488" s="3" t="s">
        <v>45</v>
      </c>
      <c r="K488" s="3" t="s">
        <v>1276</v>
      </c>
      <c r="L488" s="3" t="s">
        <v>1281</v>
      </c>
      <c r="M488" s="3" t="s">
        <v>262</v>
      </c>
      <c r="N488" s="4" t="s">
        <v>1307</v>
      </c>
      <c r="O488" s="67" t="s">
        <v>5621</v>
      </c>
      <c r="P488" s="3" t="s">
        <v>50</v>
      </c>
      <c r="Q488" s="3" t="s">
        <v>68</v>
      </c>
      <c r="R488" s="3">
        <v>50</v>
      </c>
      <c r="S488" s="3" t="s">
        <v>52</v>
      </c>
      <c r="T488" s="3" t="s">
        <v>53</v>
      </c>
      <c r="U488" s="3" t="s">
        <v>281</v>
      </c>
      <c r="V488" s="7"/>
      <c r="W488" s="7"/>
      <c r="X488" s="7"/>
      <c r="Y488" s="7"/>
      <c r="Z488" s="3" t="s">
        <v>265</v>
      </c>
      <c r="AA488" s="3" t="s">
        <v>88</v>
      </c>
      <c r="AB488" s="3" t="s">
        <v>57</v>
      </c>
      <c r="AD488" s="9">
        <v>0.14460000000000001</v>
      </c>
      <c r="AE488" s="9">
        <v>0.14460000000000001</v>
      </c>
      <c r="AG488" s="3">
        <v>0.5</v>
      </c>
      <c r="AH488" s="3">
        <v>60</v>
      </c>
      <c r="AI488" s="3">
        <v>20</v>
      </c>
      <c r="AJ488" s="89">
        <f t="shared" si="12"/>
        <v>49.916666666666664</v>
      </c>
      <c r="AK488" s="3" t="s">
        <v>58</v>
      </c>
      <c r="AL488" s="3">
        <f t="shared" si="13"/>
        <v>59.899999999999991</v>
      </c>
      <c r="AN488" t="s">
        <v>5518</v>
      </c>
      <c r="AO488" s="74" t="s">
        <v>5631</v>
      </c>
    </row>
    <row r="489" spans="1:41" ht="14.25" customHeight="1" x14ac:dyDescent="0.3">
      <c r="A489" s="3" t="s">
        <v>1271</v>
      </c>
      <c r="B489" s="3" t="s">
        <v>1312</v>
      </c>
      <c r="C489" s="3" t="s">
        <v>1273</v>
      </c>
      <c r="D489" s="15">
        <v>8055061302268</v>
      </c>
      <c r="E489" s="3" t="s">
        <v>1275</v>
      </c>
      <c r="F489" s="3" t="s">
        <v>41</v>
      </c>
      <c r="G489" s="5" t="s">
        <v>42</v>
      </c>
      <c r="H489" s="5" t="s">
        <v>43</v>
      </c>
      <c r="I489" s="5" t="s">
        <v>44</v>
      </c>
      <c r="J489" s="3" t="s">
        <v>45</v>
      </c>
      <c r="K489" s="3" t="s">
        <v>1276</v>
      </c>
      <c r="L489" s="3" t="s">
        <v>1284</v>
      </c>
      <c r="M489" s="3" t="s">
        <v>262</v>
      </c>
      <c r="N489" s="4" t="s">
        <v>61</v>
      </c>
      <c r="O489" s="67" t="s">
        <v>61</v>
      </c>
      <c r="P489" s="3" t="s">
        <v>50</v>
      </c>
      <c r="Q489" s="3" t="s">
        <v>51</v>
      </c>
      <c r="R489" s="3">
        <v>66</v>
      </c>
      <c r="S489" s="3" t="s">
        <v>52</v>
      </c>
      <c r="T489" s="3" t="s">
        <v>53</v>
      </c>
      <c r="U489" s="3" t="s">
        <v>281</v>
      </c>
      <c r="V489" s="7"/>
      <c r="W489" s="7"/>
      <c r="X489" s="7"/>
      <c r="Y489" s="7"/>
      <c r="Z489" s="3" t="s">
        <v>265</v>
      </c>
      <c r="AA489" s="3" t="s">
        <v>88</v>
      </c>
      <c r="AB489" s="3" t="s">
        <v>57</v>
      </c>
      <c r="AD489" s="9">
        <v>0.12045454545454545</v>
      </c>
      <c r="AE489" s="9">
        <v>0.12045454545454545</v>
      </c>
      <c r="AG489" s="3">
        <v>0.54</v>
      </c>
      <c r="AH489" s="3">
        <v>64.8</v>
      </c>
      <c r="AI489" s="3">
        <v>20</v>
      </c>
      <c r="AJ489" s="89">
        <f t="shared" si="12"/>
        <v>49.916666666666664</v>
      </c>
      <c r="AK489" s="3" t="s">
        <v>58</v>
      </c>
      <c r="AL489" s="3">
        <f t="shared" si="13"/>
        <v>59.899999999999991</v>
      </c>
      <c r="AN489" t="s">
        <v>5518</v>
      </c>
      <c r="AO489" s="74" t="s">
        <v>5631</v>
      </c>
    </row>
    <row r="490" spans="1:41" ht="14.25" customHeight="1" x14ac:dyDescent="0.3">
      <c r="A490" s="3" t="s">
        <v>1271</v>
      </c>
      <c r="B490" s="3" t="s">
        <v>1313</v>
      </c>
      <c r="C490" s="3" t="s">
        <v>1273</v>
      </c>
      <c r="D490" s="15">
        <v>8055061302251</v>
      </c>
      <c r="E490" s="3" t="s">
        <v>1275</v>
      </c>
      <c r="F490" s="3" t="s">
        <v>41</v>
      </c>
      <c r="G490" s="5" t="s">
        <v>42</v>
      </c>
      <c r="H490" s="5" t="s">
        <v>43</v>
      </c>
      <c r="I490" s="5" t="s">
        <v>44</v>
      </c>
      <c r="J490" s="3" t="s">
        <v>45</v>
      </c>
      <c r="K490" s="3" t="s">
        <v>1276</v>
      </c>
      <c r="L490" s="3" t="s">
        <v>1277</v>
      </c>
      <c r="M490" s="3" t="s">
        <v>262</v>
      </c>
      <c r="N490" s="4" t="s">
        <v>61</v>
      </c>
      <c r="O490" s="67" t="s">
        <v>61</v>
      </c>
      <c r="P490" s="3" t="s">
        <v>50</v>
      </c>
      <c r="Q490" s="3" t="s">
        <v>51</v>
      </c>
      <c r="R490" s="3">
        <v>38</v>
      </c>
      <c r="S490" s="3" t="s">
        <v>52</v>
      </c>
      <c r="T490" s="3" t="s">
        <v>53</v>
      </c>
      <c r="U490" s="3" t="s">
        <v>281</v>
      </c>
      <c r="V490" s="7"/>
      <c r="W490" s="7"/>
      <c r="X490" s="7"/>
      <c r="Y490" s="7"/>
      <c r="Z490" s="3" t="s">
        <v>265</v>
      </c>
      <c r="AA490" s="3" t="s">
        <v>88</v>
      </c>
      <c r="AB490" s="3" t="s">
        <v>57</v>
      </c>
      <c r="AD490" s="9">
        <v>0.20394736842105263</v>
      </c>
      <c r="AE490" s="9">
        <v>0.20394736842105263</v>
      </c>
      <c r="AG490" s="3">
        <v>0.5</v>
      </c>
      <c r="AH490" s="3">
        <v>60</v>
      </c>
      <c r="AI490" s="3">
        <v>20</v>
      </c>
      <c r="AJ490" s="89">
        <f t="shared" si="12"/>
        <v>49.916666666666664</v>
      </c>
      <c r="AK490" s="3" t="s">
        <v>58</v>
      </c>
      <c r="AL490" s="3">
        <f t="shared" si="13"/>
        <v>59.899999999999991</v>
      </c>
      <c r="AN490" t="s">
        <v>5518</v>
      </c>
      <c r="AO490" s="74" t="s">
        <v>5631</v>
      </c>
    </row>
    <row r="491" spans="1:41" ht="14.25" customHeight="1" x14ac:dyDescent="0.3">
      <c r="A491" s="3" t="s">
        <v>1271</v>
      </c>
      <c r="B491" s="3" t="s">
        <v>1316</v>
      </c>
      <c r="C491" s="3" t="s">
        <v>1273</v>
      </c>
      <c r="D491" s="3" t="s">
        <v>1317</v>
      </c>
      <c r="E491" s="3" t="s">
        <v>1275</v>
      </c>
      <c r="F491" s="3" t="s">
        <v>41</v>
      </c>
      <c r="G491" s="5" t="s">
        <v>42</v>
      </c>
      <c r="H491" s="5" t="s">
        <v>43</v>
      </c>
      <c r="I491" s="5" t="s">
        <v>44</v>
      </c>
      <c r="J491" s="3" t="s">
        <v>45</v>
      </c>
      <c r="K491" s="3" t="s">
        <v>1276</v>
      </c>
      <c r="L491" s="3" t="s">
        <v>1277</v>
      </c>
      <c r="M491" s="3" t="s">
        <v>262</v>
      </c>
      <c r="N491" s="4" t="s">
        <v>1318</v>
      </c>
      <c r="O491" s="67" t="s">
        <v>1463</v>
      </c>
      <c r="P491" s="3" t="s">
        <v>50</v>
      </c>
      <c r="Q491" s="3" t="s">
        <v>51</v>
      </c>
      <c r="R491" s="3">
        <v>38</v>
      </c>
      <c r="S491" s="3" t="s">
        <v>52</v>
      </c>
      <c r="T491" s="3" t="s">
        <v>53</v>
      </c>
      <c r="U491" s="3" t="s">
        <v>281</v>
      </c>
      <c r="V491" s="7"/>
      <c r="W491" s="7"/>
      <c r="X491" s="7"/>
      <c r="Y491" s="7"/>
      <c r="Z491" s="3" t="s">
        <v>265</v>
      </c>
      <c r="AA491" s="3" t="s">
        <v>88</v>
      </c>
      <c r="AB491" s="3" t="s">
        <v>57</v>
      </c>
      <c r="AD491" s="9">
        <v>0.20394736842105263</v>
      </c>
      <c r="AE491" s="9">
        <v>0.20394736842105263</v>
      </c>
      <c r="AG491" s="3">
        <v>0.5</v>
      </c>
      <c r="AH491" s="3">
        <v>60</v>
      </c>
      <c r="AI491" s="3">
        <v>20</v>
      </c>
      <c r="AJ491" s="89">
        <f t="shared" si="12"/>
        <v>49.916666666666664</v>
      </c>
      <c r="AK491" s="3" t="s">
        <v>58</v>
      </c>
      <c r="AL491" s="3">
        <f t="shared" si="13"/>
        <v>59.899999999999991</v>
      </c>
      <c r="AN491" t="s">
        <v>5518</v>
      </c>
      <c r="AO491" s="74" t="s">
        <v>5631</v>
      </c>
    </row>
    <row r="492" spans="1:41" ht="14.25" customHeight="1" x14ac:dyDescent="0.3">
      <c r="A492" s="3" t="s">
        <v>1271</v>
      </c>
      <c r="B492" s="3" t="s">
        <v>1319</v>
      </c>
      <c r="C492" s="3" t="s">
        <v>1273</v>
      </c>
      <c r="D492" s="3" t="s">
        <v>1320</v>
      </c>
      <c r="E492" s="3" t="s">
        <v>1275</v>
      </c>
      <c r="F492" s="3" t="s">
        <v>41</v>
      </c>
      <c r="G492" s="5" t="s">
        <v>42</v>
      </c>
      <c r="H492" s="5" t="s">
        <v>43</v>
      </c>
      <c r="I492" s="5" t="s">
        <v>44</v>
      </c>
      <c r="J492" s="3" t="s">
        <v>45</v>
      </c>
      <c r="K492" s="3" t="s">
        <v>1276</v>
      </c>
      <c r="L492" s="3" t="s">
        <v>1281</v>
      </c>
      <c r="M492" s="3" t="s">
        <v>262</v>
      </c>
      <c r="N492" s="4" t="s">
        <v>1318</v>
      </c>
      <c r="O492" s="67" t="s">
        <v>1463</v>
      </c>
      <c r="P492" s="3" t="s">
        <v>50</v>
      </c>
      <c r="Q492" s="3" t="s">
        <v>68</v>
      </c>
      <c r="R492" s="3">
        <v>50</v>
      </c>
      <c r="S492" s="3" t="s">
        <v>52</v>
      </c>
      <c r="T492" s="3" t="s">
        <v>53</v>
      </c>
      <c r="U492" s="3" t="s">
        <v>281</v>
      </c>
      <c r="V492" s="7"/>
      <c r="W492" s="7"/>
      <c r="X492" s="7"/>
      <c r="Y492" s="7"/>
      <c r="Z492" s="3" t="s">
        <v>265</v>
      </c>
      <c r="AA492" s="3" t="s">
        <v>88</v>
      </c>
      <c r="AB492" s="3" t="s">
        <v>57</v>
      </c>
      <c r="AD492" s="9">
        <v>0.14460000000000001</v>
      </c>
      <c r="AE492" s="9">
        <v>0.14460000000000001</v>
      </c>
      <c r="AG492" s="3">
        <v>0.5</v>
      </c>
      <c r="AH492" s="3">
        <v>60</v>
      </c>
      <c r="AI492" s="3">
        <v>20</v>
      </c>
      <c r="AJ492" s="89">
        <f t="shared" si="12"/>
        <v>49.916666666666664</v>
      </c>
      <c r="AK492" s="3" t="s">
        <v>58</v>
      </c>
      <c r="AL492" s="3">
        <f t="shared" si="13"/>
        <v>59.899999999999991</v>
      </c>
      <c r="AN492" t="s">
        <v>5518</v>
      </c>
      <c r="AO492" s="74" t="s">
        <v>5631</v>
      </c>
    </row>
    <row r="493" spans="1:41" ht="14.25" customHeight="1" x14ac:dyDescent="0.3">
      <c r="A493" s="3" t="s">
        <v>1271</v>
      </c>
      <c r="B493" s="3" t="s">
        <v>1323</v>
      </c>
      <c r="C493" s="3" t="s">
        <v>1273</v>
      </c>
      <c r="D493" s="3" t="s">
        <v>1324</v>
      </c>
      <c r="E493" s="3" t="s">
        <v>1275</v>
      </c>
      <c r="F493" s="3" t="s">
        <v>41</v>
      </c>
      <c r="G493" s="5" t="s">
        <v>42</v>
      </c>
      <c r="H493" s="5" t="s">
        <v>43</v>
      </c>
      <c r="I493" s="5" t="s">
        <v>44</v>
      </c>
      <c r="J493" s="3" t="s">
        <v>45</v>
      </c>
      <c r="K493" s="3" t="s">
        <v>1276</v>
      </c>
      <c r="L493" s="3" t="s">
        <v>1277</v>
      </c>
      <c r="M493" s="3" t="s">
        <v>262</v>
      </c>
      <c r="N493" s="4" t="s">
        <v>443</v>
      </c>
      <c r="O493" s="67" t="s">
        <v>1463</v>
      </c>
      <c r="P493" s="3" t="s">
        <v>50</v>
      </c>
      <c r="Q493" s="3" t="s">
        <v>51</v>
      </c>
      <c r="R493" s="3">
        <v>38</v>
      </c>
      <c r="S493" s="3" t="s">
        <v>52</v>
      </c>
      <c r="T493" s="3" t="s">
        <v>53</v>
      </c>
      <c r="U493" s="3" t="s">
        <v>281</v>
      </c>
      <c r="V493" s="7"/>
      <c r="W493" s="7"/>
      <c r="X493" s="7"/>
      <c r="Y493" s="7"/>
      <c r="Z493" s="3" t="s">
        <v>265</v>
      </c>
      <c r="AA493" s="3" t="s">
        <v>88</v>
      </c>
      <c r="AB493" s="3" t="s">
        <v>57</v>
      </c>
      <c r="AD493" s="9">
        <v>0.20394736842105263</v>
      </c>
      <c r="AE493" s="9">
        <v>0.20394736842105263</v>
      </c>
      <c r="AG493" s="3">
        <v>0.5</v>
      </c>
      <c r="AH493" s="3">
        <v>60</v>
      </c>
      <c r="AI493" s="3">
        <v>20</v>
      </c>
      <c r="AJ493" s="89">
        <f t="shared" si="12"/>
        <v>49.916666666666664</v>
      </c>
      <c r="AK493" s="3" t="s">
        <v>58</v>
      </c>
      <c r="AL493" s="3">
        <f t="shared" si="13"/>
        <v>59.899999999999991</v>
      </c>
      <c r="AN493" t="s">
        <v>5518</v>
      </c>
      <c r="AO493" s="74" t="s">
        <v>5631</v>
      </c>
    </row>
    <row r="494" spans="1:41" ht="14.25" customHeight="1" x14ac:dyDescent="0.3">
      <c r="A494" s="3" t="s">
        <v>1271</v>
      </c>
      <c r="B494" s="3" t="s">
        <v>1325</v>
      </c>
      <c r="C494" s="3" t="s">
        <v>1273</v>
      </c>
      <c r="D494" s="3" t="s">
        <v>1326</v>
      </c>
      <c r="E494" s="3" t="s">
        <v>1275</v>
      </c>
      <c r="F494" s="3" t="s">
        <v>41</v>
      </c>
      <c r="G494" s="5" t="s">
        <v>42</v>
      </c>
      <c r="H494" s="5" t="s">
        <v>43</v>
      </c>
      <c r="I494" s="5" t="s">
        <v>44</v>
      </c>
      <c r="J494" s="3" t="s">
        <v>45</v>
      </c>
      <c r="K494" s="3" t="s">
        <v>1276</v>
      </c>
      <c r="L494" s="3" t="s">
        <v>1281</v>
      </c>
      <c r="M494" s="3" t="s">
        <v>262</v>
      </c>
      <c r="N494" s="4" t="s">
        <v>443</v>
      </c>
      <c r="O494" s="67" t="s">
        <v>1463</v>
      </c>
      <c r="P494" s="3" t="s">
        <v>50</v>
      </c>
      <c r="Q494" s="3" t="s">
        <v>68</v>
      </c>
      <c r="R494" s="3">
        <v>50</v>
      </c>
      <c r="S494" s="3" t="s">
        <v>52</v>
      </c>
      <c r="T494" s="3" t="s">
        <v>53</v>
      </c>
      <c r="U494" s="3" t="s">
        <v>281</v>
      </c>
      <c r="V494" s="7"/>
      <c r="W494" s="7"/>
      <c r="X494" s="7"/>
      <c r="Y494" s="7"/>
      <c r="Z494" s="3" t="s">
        <v>265</v>
      </c>
      <c r="AA494" s="3" t="s">
        <v>88</v>
      </c>
      <c r="AB494" s="3" t="s">
        <v>57</v>
      </c>
      <c r="AD494" s="9">
        <v>0.14460000000000001</v>
      </c>
      <c r="AE494" s="9">
        <v>0.14460000000000001</v>
      </c>
      <c r="AG494" s="3">
        <v>0.5</v>
      </c>
      <c r="AH494" s="3">
        <v>60</v>
      </c>
      <c r="AI494" s="3">
        <v>20</v>
      </c>
      <c r="AJ494" s="89">
        <f t="shared" si="12"/>
        <v>49.916666666666664</v>
      </c>
      <c r="AK494" s="3" t="s">
        <v>58</v>
      </c>
      <c r="AL494" s="3">
        <f t="shared" si="13"/>
        <v>59.899999999999991</v>
      </c>
      <c r="AN494" t="s">
        <v>5518</v>
      </c>
      <c r="AO494" s="74" t="s">
        <v>5631</v>
      </c>
    </row>
    <row r="495" spans="1:41" ht="14.25" customHeight="1" x14ac:dyDescent="0.3">
      <c r="A495" s="3" t="s">
        <v>1271</v>
      </c>
      <c r="B495" s="3" t="s">
        <v>1329</v>
      </c>
      <c r="C495" s="3" t="s">
        <v>1273</v>
      </c>
      <c r="D495" s="3" t="s">
        <v>1330</v>
      </c>
      <c r="E495" s="3" t="s">
        <v>1275</v>
      </c>
      <c r="F495" s="3" t="s">
        <v>41</v>
      </c>
      <c r="G495" s="5" t="s">
        <v>42</v>
      </c>
      <c r="H495" s="5" t="s">
        <v>43</v>
      </c>
      <c r="I495" s="5" t="s">
        <v>44</v>
      </c>
      <c r="J495" s="3" t="s">
        <v>45</v>
      </c>
      <c r="K495" s="3" t="s">
        <v>1276</v>
      </c>
      <c r="L495" s="3" t="s">
        <v>1277</v>
      </c>
      <c r="M495" s="3" t="s">
        <v>262</v>
      </c>
      <c r="N495" s="4" t="s">
        <v>1331</v>
      </c>
      <c r="O495" s="67" t="s">
        <v>5620</v>
      </c>
      <c r="P495" s="3" t="s">
        <v>50</v>
      </c>
      <c r="Q495" s="3" t="s">
        <v>51</v>
      </c>
      <c r="R495" s="3">
        <v>38</v>
      </c>
      <c r="S495" s="3" t="s">
        <v>52</v>
      </c>
      <c r="T495" s="3" t="s">
        <v>53</v>
      </c>
      <c r="U495" s="3" t="s">
        <v>281</v>
      </c>
      <c r="V495" s="7"/>
      <c r="W495" s="7"/>
      <c r="X495" s="7"/>
      <c r="Y495" s="7"/>
      <c r="Z495" s="3" t="s">
        <v>265</v>
      </c>
      <c r="AA495" s="3" t="s">
        <v>88</v>
      </c>
      <c r="AB495" s="3" t="s">
        <v>57</v>
      </c>
      <c r="AD495" s="9">
        <v>0.20394736842105263</v>
      </c>
      <c r="AE495" s="9">
        <v>0.20394736842105263</v>
      </c>
      <c r="AG495" s="3">
        <v>0.5</v>
      </c>
      <c r="AH495" s="3">
        <v>60</v>
      </c>
      <c r="AI495" s="3">
        <v>20</v>
      </c>
      <c r="AJ495" s="89">
        <f t="shared" si="12"/>
        <v>49.916666666666664</v>
      </c>
      <c r="AK495" s="3" t="s">
        <v>58</v>
      </c>
      <c r="AL495" s="3">
        <f t="shared" si="13"/>
        <v>59.899999999999991</v>
      </c>
      <c r="AN495" t="s">
        <v>5518</v>
      </c>
      <c r="AO495" s="74" t="s">
        <v>5631</v>
      </c>
    </row>
    <row r="496" spans="1:41" ht="14.25" customHeight="1" x14ac:dyDescent="0.3">
      <c r="A496" s="3" t="s">
        <v>1271</v>
      </c>
      <c r="B496" s="3" t="s">
        <v>1332</v>
      </c>
      <c r="C496" s="3" t="s">
        <v>1273</v>
      </c>
      <c r="D496" s="3" t="s">
        <v>1333</v>
      </c>
      <c r="E496" s="3" t="s">
        <v>1275</v>
      </c>
      <c r="F496" s="3" t="s">
        <v>41</v>
      </c>
      <c r="G496" s="5" t="s">
        <v>42</v>
      </c>
      <c r="H496" s="5" t="s">
        <v>43</v>
      </c>
      <c r="I496" s="5" t="s">
        <v>44</v>
      </c>
      <c r="J496" s="3" t="s">
        <v>45</v>
      </c>
      <c r="K496" s="3" t="s">
        <v>1276</v>
      </c>
      <c r="L496" s="3" t="s">
        <v>1281</v>
      </c>
      <c r="M496" s="3" t="s">
        <v>262</v>
      </c>
      <c r="N496" s="4" t="s">
        <v>1331</v>
      </c>
      <c r="O496" s="67" t="s">
        <v>5620</v>
      </c>
      <c r="P496" s="3" t="s">
        <v>50</v>
      </c>
      <c r="Q496" s="3" t="s">
        <v>68</v>
      </c>
      <c r="R496" s="3">
        <v>50</v>
      </c>
      <c r="S496" s="3" t="s">
        <v>52</v>
      </c>
      <c r="T496" s="3" t="s">
        <v>53</v>
      </c>
      <c r="U496" s="3" t="s">
        <v>281</v>
      </c>
      <c r="V496" s="7"/>
      <c r="W496" s="7"/>
      <c r="X496" s="7"/>
      <c r="Y496" s="7"/>
      <c r="Z496" s="3" t="s">
        <v>265</v>
      </c>
      <c r="AA496" s="3" t="s">
        <v>88</v>
      </c>
      <c r="AB496" s="3" t="s">
        <v>57</v>
      </c>
      <c r="AD496" s="9">
        <v>0.14460000000000001</v>
      </c>
      <c r="AE496" s="9">
        <v>0.14460000000000001</v>
      </c>
      <c r="AG496" s="3">
        <v>0.5</v>
      </c>
      <c r="AH496" s="3">
        <v>60</v>
      </c>
      <c r="AI496" s="3">
        <v>20</v>
      </c>
      <c r="AJ496" s="89">
        <f t="shared" si="12"/>
        <v>49.916666666666664</v>
      </c>
      <c r="AK496" s="3" t="s">
        <v>58</v>
      </c>
      <c r="AL496" s="3">
        <f t="shared" si="13"/>
        <v>59.899999999999991</v>
      </c>
      <c r="AN496" t="s">
        <v>5518</v>
      </c>
      <c r="AO496" s="74" t="s">
        <v>5631</v>
      </c>
    </row>
    <row r="497" spans="1:41" ht="14.25" customHeight="1" x14ac:dyDescent="0.3">
      <c r="A497" s="3" t="s">
        <v>1271</v>
      </c>
      <c r="B497" s="3" t="s">
        <v>1336</v>
      </c>
      <c r="C497" s="3" t="s">
        <v>1273</v>
      </c>
      <c r="D497" s="3" t="s">
        <v>1337</v>
      </c>
      <c r="E497" s="3" t="s">
        <v>1275</v>
      </c>
      <c r="F497" s="3" t="s">
        <v>41</v>
      </c>
      <c r="G497" s="5" t="s">
        <v>42</v>
      </c>
      <c r="H497" s="5" t="s">
        <v>43</v>
      </c>
      <c r="I497" s="5" t="s">
        <v>44</v>
      </c>
      <c r="J497" s="3" t="s">
        <v>45</v>
      </c>
      <c r="K497" s="3" t="s">
        <v>1276</v>
      </c>
      <c r="L497" s="3" t="s">
        <v>1277</v>
      </c>
      <c r="M497" s="3" t="s">
        <v>262</v>
      </c>
      <c r="N497" s="4" t="s">
        <v>1338</v>
      </c>
      <c r="O497" s="67" t="s">
        <v>5619</v>
      </c>
      <c r="P497" s="3" t="s">
        <v>50</v>
      </c>
      <c r="Q497" s="3" t="s">
        <v>51</v>
      </c>
      <c r="R497" s="3">
        <v>38</v>
      </c>
      <c r="S497" s="3" t="s">
        <v>52</v>
      </c>
      <c r="T497" s="3" t="s">
        <v>53</v>
      </c>
      <c r="U497" s="3" t="s">
        <v>281</v>
      </c>
      <c r="V497" s="7"/>
      <c r="W497" s="7"/>
      <c r="X497" s="7"/>
      <c r="Y497" s="7"/>
      <c r="Z497" s="3" t="s">
        <v>265</v>
      </c>
      <c r="AA497" s="3" t="s">
        <v>88</v>
      </c>
      <c r="AB497" s="3" t="s">
        <v>57</v>
      </c>
      <c r="AD497" s="9">
        <v>0.20394736842105263</v>
      </c>
      <c r="AE497" s="9">
        <v>0.20394736842105263</v>
      </c>
      <c r="AG497" s="3">
        <v>0.5</v>
      </c>
      <c r="AH497" s="3">
        <v>60</v>
      </c>
      <c r="AI497" s="3">
        <v>20</v>
      </c>
      <c r="AJ497" s="89">
        <f t="shared" si="12"/>
        <v>49.916666666666664</v>
      </c>
      <c r="AK497" s="3" t="s">
        <v>58</v>
      </c>
      <c r="AL497" s="3">
        <f t="shared" si="13"/>
        <v>59.899999999999991</v>
      </c>
      <c r="AN497" t="s">
        <v>5518</v>
      </c>
      <c r="AO497" s="74" t="s">
        <v>5631</v>
      </c>
    </row>
    <row r="498" spans="1:41" ht="14.25" customHeight="1" x14ac:dyDescent="0.3">
      <c r="A498" s="3" t="s">
        <v>1271</v>
      </c>
      <c r="B498" s="3" t="s">
        <v>1339</v>
      </c>
      <c r="C498" s="3" t="s">
        <v>1273</v>
      </c>
      <c r="D498" s="3" t="s">
        <v>1340</v>
      </c>
      <c r="E498" s="3" t="s">
        <v>1275</v>
      </c>
      <c r="F498" s="3" t="s">
        <v>41</v>
      </c>
      <c r="G498" s="5" t="s">
        <v>42</v>
      </c>
      <c r="H498" s="5" t="s">
        <v>43</v>
      </c>
      <c r="I498" s="5" t="s">
        <v>44</v>
      </c>
      <c r="J498" s="3" t="s">
        <v>45</v>
      </c>
      <c r="K498" s="3" t="s">
        <v>1276</v>
      </c>
      <c r="L498" s="3" t="s">
        <v>1281</v>
      </c>
      <c r="M498" s="3" t="s">
        <v>262</v>
      </c>
      <c r="N498" s="4" t="s">
        <v>1338</v>
      </c>
      <c r="O498" s="67" t="s">
        <v>5619</v>
      </c>
      <c r="P498" s="3" t="s">
        <v>50</v>
      </c>
      <c r="Q498" s="3" t="s">
        <v>68</v>
      </c>
      <c r="R498" s="3">
        <v>50</v>
      </c>
      <c r="S498" s="3" t="s">
        <v>52</v>
      </c>
      <c r="T498" s="3" t="s">
        <v>53</v>
      </c>
      <c r="U498" s="3" t="s">
        <v>281</v>
      </c>
      <c r="V498" s="7"/>
      <c r="W498" s="7"/>
      <c r="X498" s="7"/>
      <c r="Y498" s="7"/>
      <c r="Z498" s="3" t="s">
        <v>265</v>
      </c>
      <c r="AA498" s="3" t="s">
        <v>88</v>
      </c>
      <c r="AB498" s="3" t="s">
        <v>57</v>
      </c>
      <c r="AD498" s="9">
        <v>0.14460000000000001</v>
      </c>
      <c r="AE498" s="9">
        <v>0.14460000000000001</v>
      </c>
      <c r="AG498" s="3">
        <v>0.5</v>
      </c>
      <c r="AH498" s="3">
        <v>60</v>
      </c>
      <c r="AI498" s="3">
        <v>20</v>
      </c>
      <c r="AJ498" s="89">
        <f t="shared" si="12"/>
        <v>49.916666666666664</v>
      </c>
      <c r="AK498" s="3" t="s">
        <v>58</v>
      </c>
      <c r="AL498" s="3">
        <f t="shared" si="13"/>
        <v>59.899999999999991</v>
      </c>
      <c r="AN498" t="s">
        <v>5518</v>
      </c>
      <c r="AO498" s="74" t="s">
        <v>5631</v>
      </c>
    </row>
    <row r="499" spans="1:41" ht="14.25" customHeight="1" x14ac:dyDescent="0.3">
      <c r="A499" s="3" t="s">
        <v>1271</v>
      </c>
      <c r="B499" s="3" t="s">
        <v>1343</v>
      </c>
      <c r="C499" s="3" t="s">
        <v>1273</v>
      </c>
      <c r="D499" s="3" t="s">
        <v>1344</v>
      </c>
      <c r="E499" s="3" t="s">
        <v>1275</v>
      </c>
      <c r="F499" s="3" t="s">
        <v>41</v>
      </c>
      <c r="G499" s="5" t="s">
        <v>42</v>
      </c>
      <c r="H499" s="5" t="s">
        <v>43</v>
      </c>
      <c r="I499" s="5" t="s">
        <v>44</v>
      </c>
      <c r="J499" s="3" t="s">
        <v>45</v>
      </c>
      <c r="K499" s="3" t="s">
        <v>1276</v>
      </c>
      <c r="L499" s="3" t="s">
        <v>1277</v>
      </c>
      <c r="M499" s="3" t="s">
        <v>262</v>
      </c>
      <c r="N499" s="4" t="s">
        <v>1345</v>
      </c>
      <c r="O499" s="67" t="s">
        <v>5618</v>
      </c>
      <c r="P499" s="3" t="s">
        <v>50</v>
      </c>
      <c r="Q499" s="3" t="s">
        <v>51</v>
      </c>
      <c r="R499" s="3">
        <v>38</v>
      </c>
      <c r="S499" s="3" t="s">
        <v>52</v>
      </c>
      <c r="T499" s="3" t="s">
        <v>53</v>
      </c>
      <c r="U499" s="3" t="s">
        <v>281</v>
      </c>
      <c r="V499" s="7"/>
      <c r="W499" s="7"/>
      <c r="X499" s="7"/>
      <c r="Y499" s="7"/>
      <c r="Z499" s="3" t="s">
        <v>265</v>
      </c>
      <c r="AA499" s="3" t="s">
        <v>88</v>
      </c>
      <c r="AB499" s="3" t="s">
        <v>57</v>
      </c>
      <c r="AD499" s="9">
        <v>0.20394736842105263</v>
      </c>
      <c r="AE499" s="9">
        <v>0.20394736842105263</v>
      </c>
      <c r="AG499" s="3">
        <v>0.5</v>
      </c>
      <c r="AH499" s="3">
        <v>60</v>
      </c>
      <c r="AI499" s="3">
        <v>20</v>
      </c>
      <c r="AJ499" s="89">
        <f t="shared" si="12"/>
        <v>49.916666666666664</v>
      </c>
      <c r="AK499" s="3" t="s">
        <v>58</v>
      </c>
      <c r="AL499" s="3">
        <f t="shared" si="13"/>
        <v>59.899999999999991</v>
      </c>
      <c r="AN499" t="s">
        <v>5518</v>
      </c>
      <c r="AO499" s="74" t="s">
        <v>5631</v>
      </c>
    </row>
    <row r="500" spans="1:41" ht="14.25" customHeight="1" x14ac:dyDescent="0.3">
      <c r="A500" s="3" t="s">
        <v>1271</v>
      </c>
      <c r="B500" s="3" t="s">
        <v>1346</v>
      </c>
      <c r="C500" s="3" t="s">
        <v>1273</v>
      </c>
      <c r="D500" s="3" t="s">
        <v>1347</v>
      </c>
      <c r="E500" s="3" t="s">
        <v>1275</v>
      </c>
      <c r="F500" s="3" t="s">
        <v>41</v>
      </c>
      <c r="G500" s="5" t="s">
        <v>42</v>
      </c>
      <c r="H500" s="5" t="s">
        <v>43</v>
      </c>
      <c r="I500" s="5" t="s">
        <v>44</v>
      </c>
      <c r="J500" s="3" t="s">
        <v>45</v>
      </c>
      <c r="K500" s="3" t="s">
        <v>1276</v>
      </c>
      <c r="L500" s="3" t="s">
        <v>1281</v>
      </c>
      <c r="M500" s="3" t="s">
        <v>262</v>
      </c>
      <c r="N500" s="4" t="s">
        <v>1345</v>
      </c>
      <c r="O500" s="67" t="s">
        <v>5618</v>
      </c>
      <c r="P500" s="3" t="s">
        <v>50</v>
      </c>
      <c r="Q500" s="3" t="s">
        <v>68</v>
      </c>
      <c r="R500" s="3">
        <v>50</v>
      </c>
      <c r="S500" s="3" t="s">
        <v>52</v>
      </c>
      <c r="T500" s="3" t="s">
        <v>53</v>
      </c>
      <c r="U500" s="3" t="s">
        <v>281</v>
      </c>
      <c r="V500" s="7"/>
      <c r="W500" s="7"/>
      <c r="X500" s="7"/>
      <c r="Y500" s="7"/>
      <c r="Z500" s="3" t="s">
        <v>265</v>
      </c>
      <c r="AA500" s="3" t="s">
        <v>88</v>
      </c>
      <c r="AB500" s="3" t="s">
        <v>57</v>
      </c>
      <c r="AD500" s="9">
        <v>0.14460000000000001</v>
      </c>
      <c r="AE500" s="9">
        <v>0.14460000000000001</v>
      </c>
      <c r="AG500" s="3">
        <v>0.5</v>
      </c>
      <c r="AH500" s="3">
        <v>60</v>
      </c>
      <c r="AI500" s="3">
        <v>20</v>
      </c>
      <c r="AJ500" s="89">
        <f t="shared" si="12"/>
        <v>49.916666666666664</v>
      </c>
      <c r="AK500" s="3" t="s">
        <v>58</v>
      </c>
      <c r="AL500" s="3">
        <f t="shared" si="13"/>
        <v>59.899999999999991</v>
      </c>
      <c r="AN500" t="s">
        <v>5518</v>
      </c>
      <c r="AO500" s="74" t="s">
        <v>5631</v>
      </c>
    </row>
    <row r="501" spans="1:41" ht="14.25" customHeight="1" x14ac:dyDescent="0.3">
      <c r="A501" s="3" t="s">
        <v>1271</v>
      </c>
      <c r="B501" s="3" t="s">
        <v>1350</v>
      </c>
      <c r="C501" s="3" t="s">
        <v>1273</v>
      </c>
      <c r="D501" s="3" t="s">
        <v>1351</v>
      </c>
      <c r="E501" s="3" t="s">
        <v>1275</v>
      </c>
      <c r="F501" s="3" t="s">
        <v>41</v>
      </c>
      <c r="G501" s="5" t="s">
        <v>42</v>
      </c>
      <c r="H501" s="5" t="s">
        <v>43</v>
      </c>
      <c r="I501" s="5" t="s">
        <v>44</v>
      </c>
      <c r="J501" s="3" t="s">
        <v>45</v>
      </c>
      <c r="K501" s="3" t="s">
        <v>1276</v>
      </c>
      <c r="L501" s="3" t="s">
        <v>1277</v>
      </c>
      <c r="M501" s="3" t="s">
        <v>262</v>
      </c>
      <c r="N501" s="4" t="s">
        <v>1352</v>
      </c>
      <c r="O501" s="67" t="s">
        <v>5618</v>
      </c>
      <c r="P501" s="3" t="s">
        <v>50</v>
      </c>
      <c r="Q501" s="3" t="s">
        <v>51</v>
      </c>
      <c r="R501" s="3">
        <v>38</v>
      </c>
      <c r="S501" s="3" t="s">
        <v>52</v>
      </c>
      <c r="T501" s="3" t="s">
        <v>53</v>
      </c>
      <c r="U501" s="3" t="s">
        <v>281</v>
      </c>
      <c r="V501" s="7"/>
      <c r="W501" s="7"/>
      <c r="X501" s="7"/>
      <c r="Y501" s="7"/>
      <c r="Z501" s="3" t="s">
        <v>265</v>
      </c>
      <c r="AA501" s="3" t="s">
        <v>88</v>
      </c>
      <c r="AB501" s="3" t="s">
        <v>57</v>
      </c>
      <c r="AD501" s="9">
        <v>0.20394736842105263</v>
      </c>
      <c r="AE501" s="9">
        <v>0.20394736842105263</v>
      </c>
      <c r="AG501" s="3">
        <v>0.5</v>
      </c>
      <c r="AH501" s="3">
        <v>60</v>
      </c>
      <c r="AI501" s="3">
        <v>20</v>
      </c>
      <c r="AJ501" s="89">
        <f t="shared" si="12"/>
        <v>49.916666666666664</v>
      </c>
      <c r="AK501" s="3" t="s">
        <v>58</v>
      </c>
      <c r="AL501" s="3">
        <f t="shared" si="13"/>
        <v>59.899999999999991</v>
      </c>
      <c r="AN501" t="s">
        <v>5518</v>
      </c>
      <c r="AO501" s="74" t="s">
        <v>5631</v>
      </c>
    </row>
    <row r="502" spans="1:41" ht="14.25" customHeight="1" x14ac:dyDescent="0.3">
      <c r="A502" s="3" t="s">
        <v>1271</v>
      </c>
      <c r="B502" s="3" t="s">
        <v>1353</v>
      </c>
      <c r="C502" s="3" t="s">
        <v>1273</v>
      </c>
      <c r="D502" s="3" t="s">
        <v>1354</v>
      </c>
      <c r="E502" s="3" t="s">
        <v>1275</v>
      </c>
      <c r="F502" s="3" t="s">
        <v>41</v>
      </c>
      <c r="G502" s="5" t="s">
        <v>42</v>
      </c>
      <c r="H502" s="5" t="s">
        <v>43</v>
      </c>
      <c r="I502" s="5" t="s">
        <v>44</v>
      </c>
      <c r="J502" s="3" t="s">
        <v>45</v>
      </c>
      <c r="K502" s="3" t="s">
        <v>1276</v>
      </c>
      <c r="L502" s="3" t="s">
        <v>1281</v>
      </c>
      <c r="M502" s="3" t="s">
        <v>262</v>
      </c>
      <c r="N502" s="4" t="s">
        <v>1352</v>
      </c>
      <c r="O502" s="67" t="s">
        <v>5618</v>
      </c>
      <c r="P502" s="3" t="s">
        <v>50</v>
      </c>
      <c r="Q502" s="3" t="s">
        <v>68</v>
      </c>
      <c r="R502" s="3">
        <v>50</v>
      </c>
      <c r="S502" s="3" t="s">
        <v>52</v>
      </c>
      <c r="T502" s="3" t="s">
        <v>53</v>
      </c>
      <c r="U502" s="3" t="s">
        <v>281</v>
      </c>
      <c r="V502" s="7"/>
      <c r="W502" s="7"/>
      <c r="X502" s="7"/>
      <c r="Y502" s="7"/>
      <c r="Z502" s="3" t="s">
        <v>265</v>
      </c>
      <c r="AA502" s="3" t="s">
        <v>88</v>
      </c>
      <c r="AB502" s="3" t="s">
        <v>57</v>
      </c>
      <c r="AD502" s="9">
        <v>0.14460000000000001</v>
      </c>
      <c r="AE502" s="9">
        <v>0.14460000000000001</v>
      </c>
      <c r="AG502" s="3">
        <v>0.5</v>
      </c>
      <c r="AH502" s="3">
        <v>60</v>
      </c>
      <c r="AI502" s="3">
        <v>20</v>
      </c>
      <c r="AJ502" s="89">
        <f t="shared" si="12"/>
        <v>49.916666666666664</v>
      </c>
      <c r="AK502" s="3" t="s">
        <v>58</v>
      </c>
      <c r="AL502" s="3">
        <f t="shared" si="13"/>
        <v>59.899999999999991</v>
      </c>
      <c r="AN502" t="s">
        <v>5518</v>
      </c>
      <c r="AO502" s="74" t="s">
        <v>5631</v>
      </c>
    </row>
    <row r="503" spans="1:41" ht="14.25" customHeight="1" x14ac:dyDescent="0.3">
      <c r="A503" s="3" t="s">
        <v>1271</v>
      </c>
      <c r="B503" s="3" t="s">
        <v>1357</v>
      </c>
      <c r="C503" s="3" t="s">
        <v>1273</v>
      </c>
      <c r="D503" s="3" t="s">
        <v>1358</v>
      </c>
      <c r="E503" s="3" t="s">
        <v>1275</v>
      </c>
      <c r="F503" s="3" t="s">
        <v>41</v>
      </c>
      <c r="G503" s="5" t="s">
        <v>42</v>
      </c>
      <c r="H503" s="5" t="s">
        <v>43</v>
      </c>
      <c r="I503" s="5" t="s">
        <v>44</v>
      </c>
      <c r="J503" s="3" t="s">
        <v>45</v>
      </c>
      <c r="K503" s="3" t="s">
        <v>1276</v>
      </c>
      <c r="L503" s="3" t="s">
        <v>1277</v>
      </c>
      <c r="M503" s="3" t="s">
        <v>262</v>
      </c>
      <c r="N503" s="4" t="s">
        <v>49</v>
      </c>
      <c r="O503" s="67" t="s">
        <v>49</v>
      </c>
      <c r="P503" s="3" t="s">
        <v>50</v>
      </c>
      <c r="Q503" s="3" t="s">
        <v>51</v>
      </c>
      <c r="R503" s="3">
        <v>38</v>
      </c>
      <c r="S503" s="3" t="s">
        <v>52</v>
      </c>
      <c r="T503" s="3" t="s">
        <v>53</v>
      </c>
      <c r="U503" s="3" t="s">
        <v>281</v>
      </c>
      <c r="V503" s="7"/>
      <c r="W503" s="7"/>
      <c r="X503" s="7"/>
      <c r="Y503" s="7"/>
      <c r="Z503" s="3" t="s">
        <v>265</v>
      </c>
      <c r="AA503" s="3" t="s">
        <v>88</v>
      </c>
      <c r="AB503" s="3" t="s">
        <v>57</v>
      </c>
      <c r="AD503" s="9">
        <v>0.20394736842105263</v>
      </c>
      <c r="AE503" s="9">
        <v>0.20394736842105263</v>
      </c>
      <c r="AG503" s="3">
        <v>0.5</v>
      </c>
      <c r="AH503" s="3">
        <v>60</v>
      </c>
      <c r="AI503" s="3">
        <v>20</v>
      </c>
      <c r="AJ503" s="89">
        <f t="shared" si="12"/>
        <v>49.916666666666664</v>
      </c>
      <c r="AK503" s="3" t="s">
        <v>58</v>
      </c>
      <c r="AL503" s="3">
        <f t="shared" si="13"/>
        <v>59.899999999999991</v>
      </c>
      <c r="AN503" t="s">
        <v>5518</v>
      </c>
      <c r="AO503" s="74" t="s">
        <v>5631</v>
      </c>
    </row>
    <row r="504" spans="1:41" ht="14.25" customHeight="1" x14ac:dyDescent="0.3">
      <c r="A504" s="3" t="s">
        <v>1271</v>
      </c>
      <c r="B504" s="3" t="s">
        <v>1359</v>
      </c>
      <c r="C504" s="3" t="s">
        <v>1273</v>
      </c>
      <c r="D504" s="3" t="s">
        <v>1360</v>
      </c>
      <c r="E504" s="3" t="s">
        <v>1275</v>
      </c>
      <c r="F504" s="3" t="s">
        <v>41</v>
      </c>
      <c r="G504" s="5" t="s">
        <v>42</v>
      </c>
      <c r="H504" s="5" t="s">
        <v>43</v>
      </c>
      <c r="I504" s="5" t="s">
        <v>44</v>
      </c>
      <c r="J504" s="3" t="s">
        <v>45</v>
      </c>
      <c r="K504" s="3" t="s">
        <v>1276</v>
      </c>
      <c r="L504" s="3" t="s">
        <v>1281</v>
      </c>
      <c r="M504" s="3" t="s">
        <v>262</v>
      </c>
      <c r="N504" s="4" t="s">
        <v>49</v>
      </c>
      <c r="O504" s="67" t="s">
        <v>49</v>
      </c>
      <c r="P504" s="3" t="s">
        <v>50</v>
      </c>
      <c r="Q504" s="3" t="s">
        <v>68</v>
      </c>
      <c r="R504" s="3">
        <v>50</v>
      </c>
      <c r="S504" s="3" t="s">
        <v>52</v>
      </c>
      <c r="T504" s="3" t="s">
        <v>53</v>
      </c>
      <c r="U504" s="3" t="s">
        <v>281</v>
      </c>
      <c r="V504" s="7"/>
      <c r="W504" s="7"/>
      <c r="X504" s="7"/>
      <c r="Y504" s="7"/>
      <c r="Z504" s="3" t="s">
        <v>265</v>
      </c>
      <c r="AA504" s="3" t="s">
        <v>88</v>
      </c>
      <c r="AB504" s="3" t="s">
        <v>57</v>
      </c>
      <c r="AD504" s="9">
        <v>0.15359999999999999</v>
      </c>
      <c r="AE504" s="9">
        <v>0.15359999999999999</v>
      </c>
      <c r="AG504" s="3">
        <v>0.5</v>
      </c>
      <c r="AH504" s="3">
        <v>60</v>
      </c>
      <c r="AI504" s="3">
        <v>20</v>
      </c>
      <c r="AJ504" s="89">
        <f t="shared" si="12"/>
        <v>49.916666666666664</v>
      </c>
      <c r="AK504" s="3" t="s">
        <v>58</v>
      </c>
      <c r="AL504" s="3">
        <f t="shared" si="13"/>
        <v>59.899999999999991</v>
      </c>
      <c r="AN504" t="s">
        <v>5518</v>
      </c>
      <c r="AO504" s="74" t="s">
        <v>5631</v>
      </c>
    </row>
    <row r="505" spans="1:41" ht="14.25" customHeight="1" x14ac:dyDescent="0.3">
      <c r="A505" s="3" t="s">
        <v>1271</v>
      </c>
      <c r="B505" s="3" t="s">
        <v>1282</v>
      </c>
      <c r="C505" s="3" t="s">
        <v>1273</v>
      </c>
      <c r="D505" s="3" t="s">
        <v>1283</v>
      </c>
      <c r="E505" s="3" t="s">
        <v>1275</v>
      </c>
      <c r="F505" s="3" t="s">
        <v>41</v>
      </c>
      <c r="G505" s="5" t="s">
        <v>42</v>
      </c>
      <c r="H505" s="5" t="s">
        <v>43</v>
      </c>
      <c r="I505" s="5" t="s">
        <v>44</v>
      </c>
      <c r="J505" s="3" t="s">
        <v>45</v>
      </c>
      <c r="K505" s="3" t="s">
        <v>1276</v>
      </c>
      <c r="L505" s="3" t="s">
        <v>1284</v>
      </c>
      <c r="M505" s="3" t="s">
        <v>262</v>
      </c>
      <c r="N505" s="4" t="s">
        <v>1278</v>
      </c>
      <c r="O505" s="67" t="s">
        <v>580</v>
      </c>
      <c r="P505" s="3" t="s">
        <v>50</v>
      </c>
      <c r="Q505" s="3" t="s">
        <v>51</v>
      </c>
      <c r="R505" s="3">
        <v>66</v>
      </c>
      <c r="S505" s="3" t="s">
        <v>52</v>
      </c>
      <c r="T505" s="3" t="s">
        <v>53</v>
      </c>
      <c r="U505" s="3" t="s">
        <v>281</v>
      </c>
      <c r="V505" s="7"/>
      <c r="W505" s="7"/>
      <c r="X505" s="7"/>
      <c r="Y505" s="7"/>
      <c r="Z505" s="3" t="s">
        <v>265</v>
      </c>
      <c r="AA505" s="3" t="s">
        <v>88</v>
      </c>
      <c r="AB505" s="3" t="s">
        <v>57</v>
      </c>
      <c r="AD505" s="9">
        <v>0.12045454545454545</v>
      </c>
      <c r="AE505" s="9">
        <v>0.12045454545454545</v>
      </c>
      <c r="AG505" s="3">
        <v>0.54</v>
      </c>
      <c r="AH505" s="3">
        <v>64.8</v>
      </c>
      <c r="AI505" s="3">
        <v>31</v>
      </c>
      <c r="AJ505" s="89">
        <f t="shared" ref="AJ505:AJ517" si="14">69.9/1.2</f>
        <v>58.250000000000007</v>
      </c>
      <c r="AK505" s="3" t="s">
        <v>58</v>
      </c>
      <c r="AL505" s="3">
        <f t="shared" si="13"/>
        <v>69.900000000000006</v>
      </c>
      <c r="AN505" t="s">
        <v>5518</v>
      </c>
      <c r="AO505" s="74" t="s">
        <v>5631</v>
      </c>
    </row>
    <row r="506" spans="1:41" ht="14.25" customHeight="1" x14ac:dyDescent="0.3">
      <c r="A506" s="3" t="s">
        <v>1271</v>
      </c>
      <c r="B506" s="3" t="s">
        <v>1290</v>
      </c>
      <c r="C506" s="3" t="s">
        <v>1273</v>
      </c>
      <c r="D506" s="3" t="s">
        <v>1291</v>
      </c>
      <c r="E506" s="3" t="s">
        <v>1275</v>
      </c>
      <c r="F506" s="3" t="s">
        <v>41</v>
      </c>
      <c r="G506" s="5" t="s">
        <v>42</v>
      </c>
      <c r="H506" s="5" t="s">
        <v>43</v>
      </c>
      <c r="I506" s="5" t="s">
        <v>44</v>
      </c>
      <c r="J506" s="3" t="s">
        <v>45</v>
      </c>
      <c r="K506" s="3" t="s">
        <v>1276</v>
      </c>
      <c r="L506" s="3" t="s">
        <v>1284</v>
      </c>
      <c r="M506" s="3" t="s">
        <v>262</v>
      </c>
      <c r="N506" s="4" t="s">
        <v>1287</v>
      </c>
      <c r="O506" s="67" t="s">
        <v>1287</v>
      </c>
      <c r="P506" s="3" t="s">
        <v>50</v>
      </c>
      <c r="Q506" s="3" t="s">
        <v>51</v>
      </c>
      <c r="R506" s="3">
        <v>66</v>
      </c>
      <c r="S506" s="3" t="s">
        <v>52</v>
      </c>
      <c r="T506" s="3" t="s">
        <v>53</v>
      </c>
      <c r="U506" s="3" t="s">
        <v>281</v>
      </c>
      <c r="V506" s="7"/>
      <c r="W506" s="7"/>
      <c r="X506" s="7"/>
      <c r="Y506" s="7"/>
      <c r="Z506" s="3" t="s">
        <v>265</v>
      </c>
      <c r="AA506" s="3" t="s">
        <v>88</v>
      </c>
      <c r="AB506" s="3" t="s">
        <v>57</v>
      </c>
      <c r="AD506" s="9">
        <v>0.12045454545454545</v>
      </c>
      <c r="AE506" s="9">
        <v>0.12045454545454545</v>
      </c>
      <c r="AG506" s="3">
        <v>0.54</v>
      </c>
      <c r="AH506" s="3">
        <v>64.8</v>
      </c>
      <c r="AI506" s="3">
        <v>31</v>
      </c>
      <c r="AJ506" s="89">
        <f t="shared" si="14"/>
        <v>58.250000000000007</v>
      </c>
      <c r="AK506" s="3" t="s">
        <v>58</v>
      </c>
      <c r="AL506" s="3">
        <f t="shared" si="13"/>
        <v>69.900000000000006</v>
      </c>
      <c r="AN506" t="s">
        <v>5518</v>
      </c>
      <c r="AO506" s="74" t="s">
        <v>5631</v>
      </c>
    </row>
    <row r="507" spans="1:41" ht="14.25" customHeight="1" x14ac:dyDescent="0.3">
      <c r="A507" s="3" t="s">
        <v>1271</v>
      </c>
      <c r="B507" s="3" t="s">
        <v>1296</v>
      </c>
      <c r="C507" s="3" t="s">
        <v>1273</v>
      </c>
      <c r="D507" s="3" t="s">
        <v>1297</v>
      </c>
      <c r="E507" s="3" t="s">
        <v>1275</v>
      </c>
      <c r="F507" s="3" t="s">
        <v>41</v>
      </c>
      <c r="G507" s="5" t="s">
        <v>42</v>
      </c>
      <c r="H507" s="5" t="s">
        <v>43</v>
      </c>
      <c r="I507" s="5" t="s">
        <v>44</v>
      </c>
      <c r="J507" s="3" t="s">
        <v>45</v>
      </c>
      <c r="K507" s="3" t="s">
        <v>1276</v>
      </c>
      <c r="L507" s="3" t="s">
        <v>1284</v>
      </c>
      <c r="M507" s="3" t="s">
        <v>262</v>
      </c>
      <c r="N507" s="4" t="s">
        <v>279</v>
      </c>
      <c r="O507" s="67" t="s">
        <v>279</v>
      </c>
      <c r="P507" s="3" t="s">
        <v>50</v>
      </c>
      <c r="Q507" s="3" t="s">
        <v>51</v>
      </c>
      <c r="R507" s="3">
        <v>66</v>
      </c>
      <c r="S507" s="3" t="s">
        <v>52</v>
      </c>
      <c r="T507" s="3" t="s">
        <v>53</v>
      </c>
      <c r="U507" s="3" t="s">
        <v>281</v>
      </c>
      <c r="V507" s="7"/>
      <c r="W507" s="7"/>
      <c r="X507" s="7"/>
      <c r="Y507" s="7"/>
      <c r="Z507" s="3" t="s">
        <v>265</v>
      </c>
      <c r="AA507" s="3" t="s">
        <v>88</v>
      </c>
      <c r="AB507" s="3" t="s">
        <v>57</v>
      </c>
      <c r="AD507" s="9">
        <v>0.12045454545454545</v>
      </c>
      <c r="AE507" s="9">
        <v>0.12045454545454545</v>
      </c>
      <c r="AG507" s="3">
        <v>0.54</v>
      </c>
      <c r="AH507" s="3">
        <v>64.8</v>
      </c>
      <c r="AI507" s="3">
        <v>31</v>
      </c>
      <c r="AJ507" s="89">
        <f t="shared" si="14"/>
        <v>58.250000000000007</v>
      </c>
      <c r="AK507" s="3" t="s">
        <v>58</v>
      </c>
      <c r="AL507" s="3">
        <f t="shared" si="13"/>
        <v>69.900000000000006</v>
      </c>
      <c r="AN507" t="s">
        <v>5518</v>
      </c>
      <c r="AO507" s="74" t="s">
        <v>5631</v>
      </c>
    </row>
    <row r="508" spans="1:41" ht="14.25" customHeight="1" x14ac:dyDescent="0.3">
      <c r="A508" s="3" t="s">
        <v>1271</v>
      </c>
      <c r="B508" s="3" t="s">
        <v>1303</v>
      </c>
      <c r="C508" s="3" t="s">
        <v>1273</v>
      </c>
      <c r="D508" s="3" t="s">
        <v>1304</v>
      </c>
      <c r="E508" s="3" t="s">
        <v>1275</v>
      </c>
      <c r="F508" s="3" t="s">
        <v>41</v>
      </c>
      <c r="G508" s="5" t="s">
        <v>42</v>
      </c>
      <c r="H508" s="5" t="s">
        <v>43</v>
      </c>
      <c r="I508" s="5" t="s">
        <v>44</v>
      </c>
      <c r="J508" s="3" t="s">
        <v>45</v>
      </c>
      <c r="K508" s="3" t="s">
        <v>1276</v>
      </c>
      <c r="L508" s="3" t="s">
        <v>1284</v>
      </c>
      <c r="M508" s="3" t="s">
        <v>262</v>
      </c>
      <c r="N508" s="4" t="s">
        <v>1300</v>
      </c>
      <c r="O508" s="67" t="s">
        <v>5618</v>
      </c>
      <c r="P508" s="3" t="s">
        <v>50</v>
      </c>
      <c r="Q508" s="3" t="s">
        <v>51</v>
      </c>
      <c r="R508" s="3">
        <v>66</v>
      </c>
      <c r="S508" s="3" t="s">
        <v>52</v>
      </c>
      <c r="T508" s="3" t="s">
        <v>53</v>
      </c>
      <c r="U508" s="3" t="s">
        <v>281</v>
      </c>
      <c r="V508" s="7"/>
      <c r="W508" s="7"/>
      <c r="X508" s="7"/>
      <c r="Y508" s="7"/>
      <c r="Z508" s="3" t="s">
        <v>265</v>
      </c>
      <c r="AA508" s="3" t="s">
        <v>88</v>
      </c>
      <c r="AB508" s="3" t="s">
        <v>57</v>
      </c>
      <c r="AD508" s="9">
        <v>0.12045454545454545</v>
      </c>
      <c r="AE508" s="9">
        <v>0.12045454545454545</v>
      </c>
      <c r="AG508" s="3">
        <v>0.54</v>
      </c>
      <c r="AH508" s="3">
        <v>64.8</v>
      </c>
      <c r="AI508" s="3">
        <v>31</v>
      </c>
      <c r="AJ508" s="89">
        <f t="shared" si="14"/>
        <v>58.250000000000007</v>
      </c>
      <c r="AK508" s="3" t="s">
        <v>58</v>
      </c>
      <c r="AL508" s="3">
        <f t="shared" si="13"/>
        <v>69.900000000000006</v>
      </c>
      <c r="AN508" t="s">
        <v>5518</v>
      </c>
      <c r="AO508" s="74" t="s">
        <v>5631</v>
      </c>
    </row>
    <row r="509" spans="1:41" ht="14.25" customHeight="1" x14ac:dyDescent="0.3">
      <c r="A509" s="3" t="s">
        <v>1271</v>
      </c>
      <c r="B509" s="3" t="s">
        <v>1310</v>
      </c>
      <c r="C509" s="3" t="s">
        <v>1273</v>
      </c>
      <c r="D509" s="3" t="s">
        <v>1311</v>
      </c>
      <c r="E509" s="3" t="s">
        <v>1275</v>
      </c>
      <c r="F509" s="3" t="s">
        <v>41</v>
      </c>
      <c r="G509" s="5" t="s">
        <v>42</v>
      </c>
      <c r="H509" s="5" t="s">
        <v>43</v>
      </c>
      <c r="I509" s="5" t="s">
        <v>44</v>
      </c>
      <c r="J509" s="3" t="s">
        <v>45</v>
      </c>
      <c r="K509" s="3" t="s">
        <v>1276</v>
      </c>
      <c r="L509" s="3" t="s">
        <v>1284</v>
      </c>
      <c r="M509" s="3" t="s">
        <v>262</v>
      </c>
      <c r="N509" s="4" t="s">
        <v>1307</v>
      </c>
      <c r="O509" s="67" t="s">
        <v>5621</v>
      </c>
      <c r="P509" s="3" t="s">
        <v>50</v>
      </c>
      <c r="Q509" s="3" t="s">
        <v>51</v>
      </c>
      <c r="R509" s="3">
        <v>66</v>
      </c>
      <c r="S509" s="3" t="s">
        <v>52</v>
      </c>
      <c r="T509" s="3" t="s">
        <v>53</v>
      </c>
      <c r="U509" s="3" t="s">
        <v>281</v>
      </c>
      <c r="V509" s="7"/>
      <c r="W509" s="7"/>
      <c r="X509" s="7"/>
      <c r="Y509" s="7"/>
      <c r="Z509" s="3" t="s">
        <v>265</v>
      </c>
      <c r="AA509" s="3" t="s">
        <v>88</v>
      </c>
      <c r="AB509" s="3" t="s">
        <v>57</v>
      </c>
      <c r="AD509" s="9">
        <v>0.12045454545454545</v>
      </c>
      <c r="AE509" s="9">
        <v>0.12045454545454545</v>
      </c>
      <c r="AG509" s="3">
        <v>0.54</v>
      </c>
      <c r="AH509" s="3">
        <v>64.8</v>
      </c>
      <c r="AI509" s="3">
        <v>31</v>
      </c>
      <c r="AJ509" s="89">
        <f t="shared" si="14"/>
        <v>58.250000000000007</v>
      </c>
      <c r="AK509" s="3" t="s">
        <v>58</v>
      </c>
      <c r="AL509" s="3">
        <f t="shared" si="13"/>
        <v>69.900000000000006</v>
      </c>
      <c r="AN509" t="s">
        <v>5518</v>
      </c>
      <c r="AO509" s="74" t="s">
        <v>5631</v>
      </c>
    </row>
    <row r="510" spans="1:41" ht="14.25" customHeight="1" x14ac:dyDescent="0.3">
      <c r="A510" s="3" t="s">
        <v>1271</v>
      </c>
      <c r="B510" s="3" t="s">
        <v>1314</v>
      </c>
      <c r="C510" s="3" t="s">
        <v>1273</v>
      </c>
      <c r="D510" s="3" t="s">
        <v>1315</v>
      </c>
      <c r="E510" s="3" t="s">
        <v>1275</v>
      </c>
      <c r="F510" s="3" t="s">
        <v>41</v>
      </c>
      <c r="G510" s="5" t="s">
        <v>42</v>
      </c>
      <c r="H510" s="5" t="s">
        <v>43</v>
      </c>
      <c r="I510" s="5" t="s">
        <v>44</v>
      </c>
      <c r="J510" s="3" t="s">
        <v>45</v>
      </c>
      <c r="K510" s="3" t="s">
        <v>1276</v>
      </c>
      <c r="L510" s="3" t="s">
        <v>1281</v>
      </c>
      <c r="M510" s="3" t="s">
        <v>262</v>
      </c>
      <c r="N510" s="4" t="s">
        <v>61</v>
      </c>
      <c r="O510" s="67" t="s">
        <v>61</v>
      </c>
      <c r="P510" s="3" t="s">
        <v>50</v>
      </c>
      <c r="Q510" s="3" t="s">
        <v>68</v>
      </c>
      <c r="R510" s="3">
        <v>50</v>
      </c>
      <c r="S510" s="3" t="s">
        <v>52</v>
      </c>
      <c r="T510" s="3" t="s">
        <v>53</v>
      </c>
      <c r="U510" s="3" t="s">
        <v>281</v>
      </c>
      <c r="V510" s="7"/>
      <c r="W510" s="7"/>
      <c r="X510" s="7"/>
      <c r="Y510" s="7"/>
      <c r="Z510" s="3" t="s">
        <v>265</v>
      </c>
      <c r="AA510" s="3" t="s">
        <v>88</v>
      </c>
      <c r="AB510" s="3" t="s">
        <v>57</v>
      </c>
      <c r="AD510" s="9">
        <v>0.14460000000000001</v>
      </c>
      <c r="AE510" s="9">
        <v>0.14460000000000001</v>
      </c>
      <c r="AG510" s="3">
        <v>0.5</v>
      </c>
      <c r="AH510" s="3">
        <v>60</v>
      </c>
      <c r="AI510" s="3">
        <v>31</v>
      </c>
      <c r="AJ510" s="89">
        <f t="shared" si="14"/>
        <v>58.250000000000007</v>
      </c>
      <c r="AK510" s="3" t="s">
        <v>58</v>
      </c>
      <c r="AL510" s="3">
        <f t="shared" si="13"/>
        <v>69.900000000000006</v>
      </c>
      <c r="AN510" t="s">
        <v>5518</v>
      </c>
      <c r="AO510" s="74" t="s">
        <v>5631</v>
      </c>
    </row>
    <row r="511" spans="1:41" ht="14.25" customHeight="1" x14ac:dyDescent="0.3">
      <c r="A511" s="3" t="s">
        <v>1271</v>
      </c>
      <c r="B511" s="3" t="s">
        <v>1321</v>
      </c>
      <c r="C511" s="3" t="s">
        <v>1273</v>
      </c>
      <c r="D511" s="3" t="s">
        <v>1322</v>
      </c>
      <c r="E511" s="3" t="s">
        <v>1275</v>
      </c>
      <c r="F511" s="3" t="s">
        <v>41</v>
      </c>
      <c r="G511" s="5" t="s">
        <v>42</v>
      </c>
      <c r="H511" s="5" t="s">
        <v>43</v>
      </c>
      <c r="I511" s="5" t="s">
        <v>44</v>
      </c>
      <c r="J511" s="3" t="s">
        <v>45</v>
      </c>
      <c r="K511" s="3" t="s">
        <v>1276</v>
      </c>
      <c r="L511" s="3" t="s">
        <v>1284</v>
      </c>
      <c r="M511" s="3" t="s">
        <v>262</v>
      </c>
      <c r="N511" s="4" t="s">
        <v>1318</v>
      </c>
      <c r="O511" s="67" t="s">
        <v>1463</v>
      </c>
      <c r="P511" s="3" t="s">
        <v>50</v>
      </c>
      <c r="Q511" s="3" t="s">
        <v>51</v>
      </c>
      <c r="R511" s="3">
        <v>66</v>
      </c>
      <c r="S511" s="3" t="s">
        <v>52</v>
      </c>
      <c r="T511" s="3" t="s">
        <v>53</v>
      </c>
      <c r="U511" s="3" t="s">
        <v>281</v>
      </c>
      <c r="V511" s="7"/>
      <c r="W511" s="7"/>
      <c r="X511" s="7"/>
      <c r="Y511" s="7"/>
      <c r="Z511" s="3" t="s">
        <v>265</v>
      </c>
      <c r="AA511" s="3" t="s">
        <v>88</v>
      </c>
      <c r="AB511" s="3" t="s">
        <v>57</v>
      </c>
      <c r="AD511" s="9">
        <v>0.12045454545454545</v>
      </c>
      <c r="AE511" s="9">
        <v>0.12045454545454545</v>
      </c>
      <c r="AG511" s="3">
        <v>0.54</v>
      </c>
      <c r="AH511" s="3">
        <v>64.8</v>
      </c>
      <c r="AI511" s="3">
        <v>31</v>
      </c>
      <c r="AJ511" s="89">
        <f t="shared" si="14"/>
        <v>58.250000000000007</v>
      </c>
      <c r="AK511" s="3" t="s">
        <v>58</v>
      </c>
      <c r="AL511" s="3">
        <f t="shared" si="13"/>
        <v>69.900000000000006</v>
      </c>
      <c r="AN511" t="s">
        <v>5518</v>
      </c>
      <c r="AO511" s="74" t="s">
        <v>5631</v>
      </c>
    </row>
    <row r="512" spans="1:41" ht="14.25" customHeight="1" x14ac:dyDescent="0.3">
      <c r="A512" s="3" t="s">
        <v>1271</v>
      </c>
      <c r="B512" s="3" t="s">
        <v>1327</v>
      </c>
      <c r="C512" s="3" t="s">
        <v>1273</v>
      </c>
      <c r="D512" s="3" t="s">
        <v>1328</v>
      </c>
      <c r="E512" s="3" t="s">
        <v>1275</v>
      </c>
      <c r="F512" s="3" t="s">
        <v>41</v>
      </c>
      <c r="G512" s="5" t="s">
        <v>42</v>
      </c>
      <c r="H512" s="5" t="s">
        <v>43</v>
      </c>
      <c r="I512" s="5" t="s">
        <v>44</v>
      </c>
      <c r="J512" s="3" t="s">
        <v>45</v>
      </c>
      <c r="K512" s="3" t="s">
        <v>1276</v>
      </c>
      <c r="L512" s="3" t="s">
        <v>1284</v>
      </c>
      <c r="M512" s="3" t="s">
        <v>262</v>
      </c>
      <c r="N512" s="4" t="s">
        <v>443</v>
      </c>
      <c r="O512" s="67" t="s">
        <v>1463</v>
      </c>
      <c r="P512" s="3" t="s">
        <v>50</v>
      </c>
      <c r="Q512" s="3" t="s">
        <v>51</v>
      </c>
      <c r="R512" s="3">
        <v>66</v>
      </c>
      <c r="S512" s="3" t="s">
        <v>52</v>
      </c>
      <c r="T512" s="3" t="s">
        <v>53</v>
      </c>
      <c r="U512" s="3" t="s">
        <v>281</v>
      </c>
      <c r="V512" s="7"/>
      <c r="W512" s="7"/>
      <c r="X512" s="7"/>
      <c r="Y512" s="7"/>
      <c r="Z512" s="3" t="s">
        <v>265</v>
      </c>
      <c r="AA512" s="3" t="s">
        <v>88</v>
      </c>
      <c r="AB512" s="3" t="s">
        <v>57</v>
      </c>
      <c r="AD512" s="9">
        <v>0.12045454545454545</v>
      </c>
      <c r="AE512" s="9">
        <v>0.12045454545454545</v>
      </c>
      <c r="AG512" s="3">
        <v>0.54</v>
      </c>
      <c r="AH512" s="3">
        <v>64.8</v>
      </c>
      <c r="AI512" s="3">
        <v>31</v>
      </c>
      <c r="AJ512" s="89">
        <f t="shared" si="14"/>
        <v>58.250000000000007</v>
      </c>
      <c r="AK512" s="3" t="s">
        <v>58</v>
      </c>
      <c r="AL512" s="3">
        <f t="shared" si="13"/>
        <v>69.900000000000006</v>
      </c>
      <c r="AN512" t="s">
        <v>5518</v>
      </c>
      <c r="AO512" s="74" t="s">
        <v>5631</v>
      </c>
    </row>
    <row r="513" spans="1:41" ht="14.25" customHeight="1" x14ac:dyDescent="0.3">
      <c r="A513" s="3" t="s">
        <v>1271</v>
      </c>
      <c r="B513" s="3" t="s">
        <v>1334</v>
      </c>
      <c r="C513" s="3" t="s">
        <v>1273</v>
      </c>
      <c r="D513" s="3" t="s">
        <v>1335</v>
      </c>
      <c r="E513" s="3" t="s">
        <v>1275</v>
      </c>
      <c r="F513" s="3" t="s">
        <v>41</v>
      </c>
      <c r="G513" s="5" t="s">
        <v>42</v>
      </c>
      <c r="H513" s="5" t="s">
        <v>43</v>
      </c>
      <c r="I513" s="5" t="s">
        <v>44</v>
      </c>
      <c r="J513" s="3" t="s">
        <v>45</v>
      </c>
      <c r="K513" s="3" t="s">
        <v>1276</v>
      </c>
      <c r="L513" s="3" t="s">
        <v>1284</v>
      </c>
      <c r="M513" s="3" t="s">
        <v>262</v>
      </c>
      <c r="N513" s="4" t="s">
        <v>1331</v>
      </c>
      <c r="O513" s="67" t="s">
        <v>5620</v>
      </c>
      <c r="P513" s="3" t="s">
        <v>50</v>
      </c>
      <c r="Q513" s="3" t="s">
        <v>51</v>
      </c>
      <c r="R513" s="3">
        <v>66</v>
      </c>
      <c r="S513" s="3" t="s">
        <v>52</v>
      </c>
      <c r="T513" s="3" t="s">
        <v>53</v>
      </c>
      <c r="U513" s="3" t="s">
        <v>281</v>
      </c>
      <c r="V513" s="7"/>
      <c r="W513" s="7"/>
      <c r="X513" s="7"/>
      <c r="Y513" s="7"/>
      <c r="Z513" s="3" t="s">
        <v>265</v>
      </c>
      <c r="AA513" s="3" t="s">
        <v>88</v>
      </c>
      <c r="AB513" s="3" t="s">
        <v>57</v>
      </c>
      <c r="AD513" s="9">
        <v>0.12045454545454545</v>
      </c>
      <c r="AE513" s="9">
        <v>0.12045454545454545</v>
      </c>
      <c r="AG513" s="3">
        <v>0.54</v>
      </c>
      <c r="AH513" s="3">
        <v>64.8</v>
      </c>
      <c r="AI513" s="3">
        <v>31</v>
      </c>
      <c r="AJ513" s="89">
        <f t="shared" si="14"/>
        <v>58.250000000000007</v>
      </c>
      <c r="AK513" s="3" t="s">
        <v>58</v>
      </c>
      <c r="AL513" s="3">
        <f t="shared" si="13"/>
        <v>69.900000000000006</v>
      </c>
      <c r="AN513" t="s">
        <v>5518</v>
      </c>
      <c r="AO513" s="74" t="s">
        <v>5631</v>
      </c>
    </row>
    <row r="514" spans="1:41" ht="14.25" customHeight="1" x14ac:dyDescent="0.3">
      <c r="A514" s="3" t="s">
        <v>1271</v>
      </c>
      <c r="B514" s="3" t="s">
        <v>1341</v>
      </c>
      <c r="C514" s="3" t="s">
        <v>1273</v>
      </c>
      <c r="D514" s="3" t="s">
        <v>1342</v>
      </c>
      <c r="E514" s="3" t="s">
        <v>1275</v>
      </c>
      <c r="F514" s="3" t="s">
        <v>41</v>
      </c>
      <c r="G514" s="5" t="s">
        <v>42</v>
      </c>
      <c r="H514" s="5" t="s">
        <v>43</v>
      </c>
      <c r="I514" s="5" t="s">
        <v>44</v>
      </c>
      <c r="J514" s="3" t="s">
        <v>45</v>
      </c>
      <c r="K514" s="3" t="s">
        <v>1276</v>
      </c>
      <c r="L514" s="3" t="s">
        <v>1284</v>
      </c>
      <c r="M514" s="3" t="s">
        <v>262</v>
      </c>
      <c r="N514" s="4" t="s">
        <v>1338</v>
      </c>
      <c r="O514" s="67" t="s">
        <v>5619</v>
      </c>
      <c r="P514" s="3" t="s">
        <v>50</v>
      </c>
      <c r="Q514" s="3" t="s">
        <v>51</v>
      </c>
      <c r="R514" s="3">
        <v>66</v>
      </c>
      <c r="S514" s="3" t="s">
        <v>52</v>
      </c>
      <c r="T514" s="3" t="s">
        <v>53</v>
      </c>
      <c r="U514" s="3" t="s">
        <v>281</v>
      </c>
      <c r="V514" s="7"/>
      <c r="W514" s="7"/>
      <c r="X514" s="7"/>
      <c r="Y514" s="7"/>
      <c r="Z514" s="3" t="s">
        <v>265</v>
      </c>
      <c r="AA514" s="3" t="s">
        <v>88</v>
      </c>
      <c r="AB514" s="3" t="s">
        <v>57</v>
      </c>
      <c r="AD514" s="9">
        <v>0.12045454545454545</v>
      </c>
      <c r="AE514" s="9">
        <v>0.12045454545454545</v>
      </c>
      <c r="AG514" s="3">
        <v>0.54</v>
      </c>
      <c r="AH514" s="3">
        <v>64.8</v>
      </c>
      <c r="AI514" s="3">
        <v>31</v>
      </c>
      <c r="AJ514" s="89">
        <f t="shared" si="14"/>
        <v>58.250000000000007</v>
      </c>
      <c r="AK514" s="3" t="s">
        <v>58</v>
      </c>
      <c r="AL514" s="3">
        <f t="shared" si="13"/>
        <v>69.900000000000006</v>
      </c>
      <c r="AN514" t="s">
        <v>5518</v>
      </c>
      <c r="AO514" s="74" t="s">
        <v>5631</v>
      </c>
    </row>
    <row r="515" spans="1:41" ht="14.25" customHeight="1" x14ac:dyDescent="0.3">
      <c r="A515" s="3" t="s">
        <v>1271</v>
      </c>
      <c r="B515" s="3" t="s">
        <v>1348</v>
      </c>
      <c r="C515" s="3" t="s">
        <v>1273</v>
      </c>
      <c r="D515" s="3" t="s">
        <v>1349</v>
      </c>
      <c r="E515" s="3" t="s">
        <v>1275</v>
      </c>
      <c r="F515" s="3" t="s">
        <v>41</v>
      </c>
      <c r="G515" s="5" t="s">
        <v>42</v>
      </c>
      <c r="H515" s="5" t="s">
        <v>43</v>
      </c>
      <c r="I515" s="5" t="s">
        <v>44</v>
      </c>
      <c r="J515" s="3" t="s">
        <v>45</v>
      </c>
      <c r="K515" s="3" t="s">
        <v>1276</v>
      </c>
      <c r="L515" s="3" t="s">
        <v>1284</v>
      </c>
      <c r="M515" s="3" t="s">
        <v>262</v>
      </c>
      <c r="N515" s="4" t="s">
        <v>1345</v>
      </c>
      <c r="O515" s="67" t="s">
        <v>5618</v>
      </c>
      <c r="P515" s="3" t="s">
        <v>50</v>
      </c>
      <c r="Q515" s="3" t="s">
        <v>51</v>
      </c>
      <c r="R515" s="3">
        <v>66</v>
      </c>
      <c r="S515" s="3" t="s">
        <v>52</v>
      </c>
      <c r="T515" s="3" t="s">
        <v>53</v>
      </c>
      <c r="U515" s="3" t="s">
        <v>281</v>
      </c>
      <c r="V515" s="7"/>
      <c r="W515" s="7"/>
      <c r="X515" s="7"/>
      <c r="Y515" s="7"/>
      <c r="Z515" s="3" t="s">
        <v>265</v>
      </c>
      <c r="AA515" s="3" t="s">
        <v>88</v>
      </c>
      <c r="AB515" s="3" t="s">
        <v>57</v>
      </c>
      <c r="AD515" s="9">
        <v>0.12045454545454545</v>
      </c>
      <c r="AE515" s="9">
        <v>0.12045454545454545</v>
      </c>
      <c r="AG515" s="3">
        <v>0.54</v>
      </c>
      <c r="AH515" s="3">
        <v>64.8</v>
      </c>
      <c r="AI515" s="3">
        <v>31</v>
      </c>
      <c r="AJ515" s="89">
        <f t="shared" si="14"/>
        <v>58.250000000000007</v>
      </c>
      <c r="AK515" s="3" t="s">
        <v>58</v>
      </c>
      <c r="AL515" s="3">
        <f t="shared" si="13"/>
        <v>69.900000000000006</v>
      </c>
      <c r="AN515" t="s">
        <v>5518</v>
      </c>
      <c r="AO515" s="74" t="s">
        <v>5631</v>
      </c>
    </row>
    <row r="516" spans="1:41" ht="14.25" customHeight="1" x14ac:dyDescent="0.3">
      <c r="A516" s="3" t="s">
        <v>1271</v>
      </c>
      <c r="B516" s="3" t="s">
        <v>1355</v>
      </c>
      <c r="C516" s="3" t="s">
        <v>1273</v>
      </c>
      <c r="D516" s="3" t="s">
        <v>1356</v>
      </c>
      <c r="E516" s="3" t="s">
        <v>1275</v>
      </c>
      <c r="F516" s="3" t="s">
        <v>41</v>
      </c>
      <c r="G516" s="5" t="s">
        <v>42</v>
      </c>
      <c r="H516" s="5" t="s">
        <v>43</v>
      </c>
      <c r="I516" s="5" t="s">
        <v>44</v>
      </c>
      <c r="J516" s="3" t="s">
        <v>45</v>
      </c>
      <c r="K516" s="3" t="s">
        <v>1276</v>
      </c>
      <c r="L516" s="3" t="s">
        <v>1284</v>
      </c>
      <c r="M516" s="3" t="s">
        <v>262</v>
      </c>
      <c r="N516" s="4" t="s">
        <v>1352</v>
      </c>
      <c r="O516" s="67" t="s">
        <v>5618</v>
      </c>
      <c r="P516" s="3" t="s">
        <v>50</v>
      </c>
      <c r="Q516" s="3" t="s">
        <v>51</v>
      </c>
      <c r="R516" s="3">
        <v>66</v>
      </c>
      <c r="S516" s="3" t="s">
        <v>52</v>
      </c>
      <c r="T516" s="3" t="s">
        <v>53</v>
      </c>
      <c r="U516" s="3" t="s">
        <v>281</v>
      </c>
      <c r="V516" s="7"/>
      <c r="W516" s="7"/>
      <c r="X516" s="7"/>
      <c r="Y516" s="7"/>
      <c r="Z516" s="3" t="s">
        <v>265</v>
      </c>
      <c r="AA516" s="3" t="s">
        <v>88</v>
      </c>
      <c r="AB516" s="3" t="s">
        <v>57</v>
      </c>
      <c r="AD516" s="9">
        <v>0.12045454545454545</v>
      </c>
      <c r="AE516" s="9">
        <v>0.12045454545454545</v>
      </c>
      <c r="AG516" s="3">
        <v>0.54</v>
      </c>
      <c r="AH516" s="3">
        <v>64.8</v>
      </c>
      <c r="AI516" s="3">
        <v>31</v>
      </c>
      <c r="AJ516" s="89">
        <f t="shared" si="14"/>
        <v>58.250000000000007</v>
      </c>
      <c r="AK516" s="3" t="s">
        <v>58</v>
      </c>
      <c r="AL516" s="3">
        <f t="shared" si="13"/>
        <v>69.900000000000006</v>
      </c>
      <c r="AN516" t="s">
        <v>5518</v>
      </c>
      <c r="AO516" s="74" t="s">
        <v>5631</v>
      </c>
    </row>
    <row r="517" spans="1:41" ht="14.25" customHeight="1" x14ac:dyDescent="0.3">
      <c r="A517" s="3" t="s">
        <v>1271</v>
      </c>
      <c r="B517" s="3" t="s">
        <v>1361</v>
      </c>
      <c r="C517" s="3" t="s">
        <v>1273</v>
      </c>
      <c r="D517" s="3" t="s">
        <v>1362</v>
      </c>
      <c r="E517" s="3" t="s">
        <v>1275</v>
      </c>
      <c r="F517" s="3" t="s">
        <v>41</v>
      </c>
      <c r="G517" s="5" t="s">
        <v>42</v>
      </c>
      <c r="H517" s="5" t="s">
        <v>43</v>
      </c>
      <c r="I517" s="5" t="s">
        <v>44</v>
      </c>
      <c r="J517" s="3" t="s">
        <v>45</v>
      </c>
      <c r="K517" s="3" t="s">
        <v>1276</v>
      </c>
      <c r="L517" s="3" t="s">
        <v>1284</v>
      </c>
      <c r="M517" s="3" t="s">
        <v>262</v>
      </c>
      <c r="N517" s="4" t="s">
        <v>49</v>
      </c>
      <c r="O517" s="67" t="s">
        <v>49</v>
      </c>
      <c r="P517" s="3" t="s">
        <v>50</v>
      </c>
      <c r="Q517" s="3" t="s">
        <v>51</v>
      </c>
      <c r="R517" s="3">
        <v>66</v>
      </c>
      <c r="S517" s="3" t="s">
        <v>52</v>
      </c>
      <c r="T517" s="3" t="s">
        <v>53</v>
      </c>
      <c r="U517" s="3" t="s">
        <v>281</v>
      </c>
      <c r="V517" s="7"/>
      <c r="W517" s="7"/>
      <c r="X517" s="7"/>
      <c r="Y517" s="7"/>
      <c r="Z517" s="3" t="s">
        <v>265</v>
      </c>
      <c r="AA517" s="3" t="s">
        <v>88</v>
      </c>
      <c r="AB517" s="3" t="s">
        <v>57</v>
      </c>
      <c r="AD517" s="9">
        <v>0.12045454545454545</v>
      </c>
      <c r="AE517" s="9">
        <v>0.12045454545454545</v>
      </c>
      <c r="AG517" s="3">
        <v>0.54</v>
      </c>
      <c r="AH517" s="3">
        <v>64.8</v>
      </c>
      <c r="AI517" s="3">
        <v>31</v>
      </c>
      <c r="AJ517" s="89">
        <f t="shared" si="14"/>
        <v>58.250000000000007</v>
      </c>
      <c r="AK517" s="3" t="s">
        <v>58</v>
      </c>
      <c r="AL517" s="3">
        <f t="shared" si="13"/>
        <v>69.900000000000006</v>
      </c>
      <c r="AN517" t="s">
        <v>5518</v>
      </c>
      <c r="AO517" s="74" t="s">
        <v>5631</v>
      </c>
    </row>
    <row r="518" spans="1:41" ht="14.25" customHeight="1" x14ac:dyDescent="0.3">
      <c r="A518" s="3" t="s">
        <v>573</v>
      </c>
      <c r="B518" s="3" t="s">
        <v>583</v>
      </c>
      <c r="C518" s="3" t="s">
        <v>575</v>
      </c>
      <c r="D518" s="3" t="s">
        <v>584</v>
      </c>
      <c r="E518" s="3" t="s">
        <v>577</v>
      </c>
      <c r="F518" s="3" t="s">
        <v>41</v>
      </c>
      <c r="G518" s="5" t="s">
        <v>42</v>
      </c>
      <c r="H518" s="5" t="s">
        <v>43</v>
      </c>
      <c r="I518" s="5" t="s">
        <v>44</v>
      </c>
      <c r="J518" s="3" t="s">
        <v>45</v>
      </c>
      <c r="K518" s="3" t="s">
        <v>578</v>
      </c>
      <c r="L518" s="3" t="s">
        <v>585</v>
      </c>
      <c r="M518" s="3" t="s">
        <v>262</v>
      </c>
      <c r="N518" s="4" t="s">
        <v>586</v>
      </c>
      <c r="O518" s="67" t="s">
        <v>586</v>
      </c>
      <c r="P518" s="3" t="s">
        <v>50</v>
      </c>
      <c r="Q518" s="3" t="s">
        <v>51</v>
      </c>
      <c r="R518" s="3">
        <v>5</v>
      </c>
      <c r="S518" s="3" t="s">
        <v>52</v>
      </c>
      <c r="T518" s="3" t="s">
        <v>53</v>
      </c>
      <c r="U518" s="3" t="s">
        <v>54</v>
      </c>
      <c r="V518" s="7"/>
      <c r="W518" s="7"/>
      <c r="X518" s="7"/>
      <c r="Y518" s="7"/>
      <c r="Z518" s="3" t="s">
        <v>265</v>
      </c>
      <c r="AA518" s="3" t="s">
        <v>56</v>
      </c>
      <c r="AB518" s="3" t="s">
        <v>57</v>
      </c>
      <c r="AD518" s="3">
        <v>4.84</v>
      </c>
      <c r="AE518" s="3">
        <v>4.84</v>
      </c>
      <c r="AF518" s="12" t="s">
        <v>587</v>
      </c>
      <c r="AG518" s="12" t="s">
        <v>588</v>
      </c>
      <c r="AH518" s="3">
        <v>69.7</v>
      </c>
      <c r="AI518" s="3">
        <v>15.72</v>
      </c>
      <c r="AJ518" s="89">
        <f t="shared" ref="AJ518:AJ526" si="15">39.9/1.2</f>
        <v>33.25</v>
      </c>
      <c r="AK518" s="3" t="s">
        <v>58</v>
      </c>
      <c r="AL518" s="3">
        <f t="shared" si="13"/>
        <v>39.9</v>
      </c>
      <c r="AN518" t="s">
        <v>5518</v>
      </c>
      <c r="AO518" s="82" t="s">
        <v>5642</v>
      </c>
    </row>
    <row r="519" spans="1:41" ht="14.25" customHeight="1" x14ac:dyDescent="0.3">
      <c r="A519" s="3" t="s">
        <v>573</v>
      </c>
      <c r="B519" s="3" t="s">
        <v>589</v>
      </c>
      <c r="C519" s="3" t="s">
        <v>575</v>
      </c>
      <c r="D519" s="3" t="s">
        <v>590</v>
      </c>
      <c r="E519" s="3" t="s">
        <v>577</v>
      </c>
      <c r="F519" s="3" t="s">
        <v>41</v>
      </c>
      <c r="G519" s="5" t="s">
        <v>42</v>
      </c>
      <c r="H519" s="5" t="s">
        <v>43</v>
      </c>
      <c r="I519" s="5" t="s">
        <v>44</v>
      </c>
      <c r="J519" s="3" t="s">
        <v>45</v>
      </c>
      <c r="K519" s="3" t="s">
        <v>578</v>
      </c>
      <c r="L519" s="3" t="s">
        <v>585</v>
      </c>
      <c r="M519" s="3" t="s">
        <v>262</v>
      </c>
      <c r="N519" s="4" t="s">
        <v>61</v>
      </c>
      <c r="O519" s="67" t="s">
        <v>61</v>
      </c>
      <c r="P519" s="3" t="s">
        <v>50</v>
      </c>
      <c r="Q519" s="3" t="s">
        <v>51</v>
      </c>
      <c r="R519" s="3">
        <v>5</v>
      </c>
      <c r="S519" s="3" t="s">
        <v>52</v>
      </c>
      <c r="T519" s="3" t="s">
        <v>53</v>
      </c>
      <c r="U519" s="3" t="s">
        <v>54</v>
      </c>
      <c r="V519" s="7"/>
      <c r="W519" s="7"/>
      <c r="X519" s="7"/>
      <c r="Y519" s="7"/>
      <c r="Z519" s="3" t="s">
        <v>265</v>
      </c>
      <c r="AA519" s="3" t="s">
        <v>56</v>
      </c>
      <c r="AB519" s="3" t="s">
        <v>57</v>
      </c>
      <c r="AD519" s="3">
        <v>4.84</v>
      </c>
      <c r="AE519" s="3">
        <v>4.84</v>
      </c>
      <c r="AF519" s="12" t="s">
        <v>587</v>
      </c>
      <c r="AG519" s="12" t="s">
        <v>588</v>
      </c>
      <c r="AH519" s="3">
        <v>69.7</v>
      </c>
      <c r="AI519" s="3">
        <v>15.72</v>
      </c>
      <c r="AJ519" s="89">
        <f t="shared" si="15"/>
        <v>33.25</v>
      </c>
      <c r="AK519" s="3" t="s">
        <v>58</v>
      </c>
      <c r="AL519" s="3">
        <f t="shared" si="13"/>
        <v>39.9</v>
      </c>
      <c r="AN519" t="s">
        <v>5518</v>
      </c>
      <c r="AO519" s="82" t="s">
        <v>5642</v>
      </c>
    </row>
    <row r="520" spans="1:41" ht="14.25" customHeight="1" x14ac:dyDescent="0.3">
      <c r="A520" s="3" t="s">
        <v>573</v>
      </c>
      <c r="B520" s="3" t="s">
        <v>591</v>
      </c>
      <c r="C520" s="3" t="s">
        <v>575</v>
      </c>
      <c r="D520" s="3" t="s">
        <v>592</v>
      </c>
      <c r="E520" s="3" t="s">
        <v>577</v>
      </c>
      <c r="F520" s="3" t="s">
        <v>41</v>
      </c>
      <c r="G520" s="5" t="s">
        <v>42</v>
      </c>
      <c r="H520" s="5" t="s">
        <v>43</v>
      </c>
      <c r="I520" s="5" t="s">
        <v>44</v>
      </c>
      <c r="J520" s="3" t="s">
        <v>45</v>
      </c>
      <c r="K520" s="3" t="s">
        <v>578</v>
      </c>
      <c r="L520" s="3" t="s">
        <v>585</v>
      </c>
      <c r="M520" s="3" t="s">
        <v>262</v>
      </c>
      <c r="N520" s="4" t="s">
        <v>49</v>
      </c>
      <c r="O520" s="67" t="s">
        <v>49</v>
      </c>
      <c r="P520" s="3" t="s">
        <v>50</v>
      </c>
      <c r="Q520" s="3" t="s">
        <v>51</v>
      </c>
      <c r="R520" s="3">
        <v>5</v>
      </c>
      <c r="S520" s="3" t="s">
        <v>52</v>
      </c>
      <c r="T520" s="3" t="s">
        <v>53</v>
      </c>
      <c r="U520" s="3" t="s">
        <v>54</v>
      </c>
      <c r="V520" s="7"/>
      <c r="W520" s="7"/>
      <c r="X520" s="7"/>
      <c r="Y520" s="7"/>
      <c r="Z520" s="3" t="s">
        <v>265</v>
      </c>
      <c r="AA520" s="3" t="s">
        <v>56</v>
      </c>
      <c r="AB520" s="3" t="s">
        <v>57</v>
      </c>
      <c r="AD520" s="3">
        <v>4.84</v>
      </c>
      <c r="AE520" s="3">
        <v>4.84</v>
      </c>
      <c r="AF520" s="12" t="s">
        <v>587</v>
      </c>
      <c r="AG520" s="12" t="s">
        <v>588</v>
      </c>
      <c r="AH520" s="3">
        <v>69.7</v>
      </c>
      <c r="AI520" s="3">
        <v>15.72</v>
      </c>
      <c r="AJ520" s="89">
        <f t="shared" si="15"/>
        <v>33.25</v>
      </c>
      <c r="AK520" s="3" t="s">
        <v>58</v>
      </c>
      <c r="AL520" s="3">
        <f t="shared" si="13"/>
        <v>39.9</v>
      </c>
      <c r="AN520" t="s">
        <v>5518</v>
      </c>
      <c r="AO520" s="82" t="s">
        <v>5642</v>
      </c>
    </row>
    <row r="521" spans="1:41" ht="14.25" customHeight="1" x14ac:dyDescent="0.3">
      <c r="A521" s="3" t="s">
        <v>573</v>
      </c>
      <c r="B521" s="3" t="s">
        <v>593</v>
      </c>
      <c r="C521" s="3" t="s">
        <v>575</v>
      </c>
      <c r="D521" s="3" t="s">
        <v>594</v>
      </c>
      <c r="E521" s="3" t="s">
        <v>577</v>
      </c>
      <c r="F521" s="3" t="s">
        <v>41</v>
      </c>
      <c r="G521" s="5" t="s">
        <v>42</v>
      </c>
      <c r="H521" s="5" t="s">
        <v>43</v>
      </c>
      <c r="I521" s="5" t="s">
        <v>44</v>
      </c>
      <c r="J521" s="3" t="s">
        <v>45</v>
      </c>
      <c r="K521" s="3" t="s">
        <v>578</v>
      </c>
      <c r="L521" s="3" t="s">
        <v>585</v>
      </c>
      <c r="M521" s="3" t="s">
        <v>262</v>
      </c>
      <c r="N521" s="4" t="s">
        <v>586</v>
      </c>
      <c r="O521" s="67" t="s">
        <v>586</v>
      </c>
      <c r="P521" s="3" t="s">
        <v>50</v>
      </c>
      <c r="Q521" s="3" t="s">
        <v>51</v>
      </c>
      <c r="R521" s="3">
        <v>5</v>
      </c>
      <c r="S521" s="3" t="s">
        <v>52</v>
      </c>
      <c r="T521" s="3" t="s">
        <v>53</v>
      </c>
      <c r="U521" s="3" t="s">
        <v>54</v>
      </c>
      <c r="V521" s="7"/>
      <c r="W521" s="7"/>
      <c r="X521" s="7"/>
      <c r="Y521" s="7"/>
      <c r="Z521" s="3" t="s">
        <v>265</v>
      </c>
      <c r="AA521" s="3" t="s">
        <v>56</v>
      </c>
      <c r="AB521" s="3" t="s">
        <v>57</v>
      </c>
      <c r="AD521" s="3">
        <v>4.84</v>
      </c>
      <c r="AE521" s="3">
        <v>4.84</v>
      </c>
      <c r="AF521" s="12" t="s">
        <v>587</v>
      </c>
      <c r="AG521" s="12" t="s">
        <v>588</v>
      </c>
      <c r="AH521" s="3">
        <v>69.7</v>
      </c>
      <c r="AI521" s="3">
        <v>15.72</v>
      </c>
      <c r="AJ521" s="89">
        <f t="shared" si="15"/>
        <v>33.25</v>
      </c>
      <c r="AK521" s="3" t="s">
        <v>58</v>
      </c>
      <c r="AL521" s="3">
        <f t="shared" si="13"/>
        <v>39.9</v>
      </c>
      <c r="AN521" t="s">
        <v>5518</v>
      </c>
      <c r="AO521" s="82" t="s">
        <v>5642</v>
      </c>
    </row>
    <row r="522" spans="1:41" ht="14.25" customHeight="1" x14ac:dyDescent="0.3">
      <c r="A522" s="3" t="s">
        <v>573</v>
      </c>
      <c r="B522" s="3" t="s">
        <v>595</v>
      </c>
      <c r="C522" s="3" t="s">
        <v>575</v>
      </c>
      <c r="D522" s="3" t="s">
        <v>596</v>
      </c>
      <c r="E522" s="3" t="s">
        <v>577</v>
      </c>
      <c r="F522" s="3" t="s">
        <v>41</v>
      </c>
      <c r="G522" s="5" t="s">
        <v>42</v>
      </c>
      <c r="H522" s="5" t="s">
        <v>43</v>
      </c>
      <c r="I522" s="5" t="s">
        <v>44</v>
      </c>
      <c r="J522" s="3" t="s">
        <v>45</v>
      </c>
      <c r="K522" s="3" t="s">
        <v>578</v>
      </c>
      <c r="L522" s="3" t="s">
        <v>585</v>
      </c>
      <c r="M522" s="3" t="s">
        <v>262</v>
      </c>
      <c r="N522" s="4" t="s">
        <v>61</v>
      </c>
      <c r="O522" s="67" t="s">
        <v>61</v>
      </c>
      <c r="P522" s="3" t="s">
        <v>50</v>
      </c>
      <c r="Q522" s="3" t="s">
        <v>51</v>
      </c>
      <c r="R522" s="3">
        <v>5</v>
      </c>
      <c r="S522" s="3" t="s">
        <v>52</v>
      </c>
      <c r="T522" s="3" t="s">
        <v>53</v>
      </c>
      <c r="U522" s="3" t="s">
        <v>54</v>
      </c>
      <c r="V522" s="7"/>
      <c r="W522" s="7"/>
      <c r="X522" s="7"/>
      <c r="Y522" s="7"/>
      <c r="Z522" s="3" t="s">
        <v>265</v>
      </c>
      <c r="AA522" s="3" t="s">
        <v>56</v>
      </c>
      <c r="AB522" s="3" t="s">
        <v>57</v>
      </c>
      <c r="AD522" s="3">
        <v>4.84</v>
      </c>
      <c r="AE522" s="3">
        <v>4.84</v>
      </c>
      <c r="AF522" s="12" t="s">
        <v>587</v>
      </c>
      <c r="AG522" s="12" t="s">
        <v>588</v>
      </c>
      <c r="AH522" s="3">
        <v>69.7</v>
      </c>
      <c r="AI522" s="3">
        <v>15.72</v>
      </c>
      <c r="AJ522" s="89">
        <f t="shared" si="15"/>
        <v>33.25</v>
      </c>
      <c r="AK522" s="3" t="s">
        <v>58</v>
      </c>
      <c r="AL522" s="3">
        <f t="shared" si="13"/>
        <v>39.9</v>
      </c>
      <c r="AN522" t="s">
        <v>5518</v>
      </c>
      <c r="AO522" s="82" t="s">
        <v>5642</v>
      </c>
    </row>
    <row r="523" spans="1:41" ht="14.25" customHeight="1" x14ac:dyDescent="0.3">
      <c r="A523" s="3" t="s">
        <v>573</v>
      </c>
      <c r="B523" s="3" t="s">
        <v>597</v>
      </c>
      <c r="C523" s="3" t="s">
        <v>575</v>
      </c>
      <c r="D523" s="3" t="s">
        <v>598</v>
      </c>
      <c r="E523" s="3" t="s">
        <v>577</v>
      </c>
      <c r="F523" s="3" t="s">
        <v>41</v>
      </c>
      <c r="G523" s="5" t="s">
        <v>42</v>
      </c>
      <c r="H523" s="5" t="s">
        <v>43</v>
      </c>
      <c r="I523" s="5" t="s">
        <v>44</v>
      </c>
      <c r="J523" s="3" t="s">
        <v>45</v>
      </c>
      <c r="K523" s="3" t="s">
        <v>578</v>
      </c>
      <c r="L523" s="3" t="s">
        <v>585</v>
      </c>
      <c r="M523" s="3" t="s">
        <v>262</v>
      </c>
      <c r="N523" s="4" t="s">
        <v>599</v>
      </c>
      <c r="O523" s="67" t="s">
        <v>599</v>
      </c>
      <c r="P523" s="3" t="s">
        <v>50</v>
      </c>
      <c r="Q523" s="3" t="s">
        <v>51</v>
      </c>
      <c r="R523" s="3">
        <v>5</v>
      </c>
      <c r="S523" s="3" t="s">
        <v>52</v>
      </c>
      <c r="T523" s="3" t="s">
        <v>53</v>
      </c>
      <c r="U523" s="3" t="s">
        <v>54</v>
      </c>
      <c r="V523" s="7"/>
      <c r="W523" s="7"/>
      <c r="X523" s="7"/>
      <c r="Y523" s="7"/>
      <c r="Z523" s="3" t="s">
        <v>265</v>
      </c>
      <c r="AA523" s="3" t="s">
        <v>56</v>
      </c>
      <c r="AB523" s="3" t="s">
        <v>57</v>
      </c>
      <c r="AD523" s="3">
        <v>4.84</v>
      </c>
      <c r="AE523" s="3">
        <v>4.84</v>
      </c>
      <c r="AF523" s="12" t="s">
        <v>587</v>
      </c>
      <c r="AG523" s="12" t="s">
        <v>588</v>
      </c>
      <c r="AH523" s="3">
        <v>69.7</v>
      </c>
      <c r="AI523" s="3">
        <v>15.72</v>
      </c>
      <c r="AJ523" s="89">
        <f t="shared" si="15"/>
        <v>33.25</v>
      </c>
      <c r="AK523" s="3" t="s">
        <v>58</v>
      </c>
      <c r="AL523" s="3">
        <f t="shared" si="13"/>
        <v>39.9</v>
      </c>
      <c r="AN523" t="s">
        <v>5518</v>
      </c>
      <c r="AO523" s="82" t="s">
        <v>5642</v>
      </c>
    </row>
    <row r="524" spans="1:41" ht="14.25" customHeight="1" x14ac:dyDescent="0.3">
      <c r="A524" s="3" t="s">
        <v>573</v>
      </c>
      <c r="B524" s="3" t="s">
        <v>600</v>
      </c>
      <c r="C524" s="3" t="s">
        <v>575</v>
      </c>
      <c r="D524" s="3" t="s">
        <v>601</v>
      </c>
      <c r="E524" s="3" t="s">
        <v>577</v>
      </c>
      <c r="F524" s="3" t="s">
        <v>41</v>
      </c>
      <c r="G524" s="5" t="s">
        <v>42</v>
      </c>
      <c r="H524" s="5" t="s">
        <v>43</v>
      </c>
      <c r="I524" s="5" t="s">
        <v>44</v>
      </c>
      <c r="J524" s="3" t="s">
        <v>45</v>
      </c>
      <c r="K524" s="3" t="s">
        <v>578</v>
      </c>
      <c r="L524" s="3" t="s">
        <v>585</v>
      </c>
      <c r="M524" s="3" t="s">
        <v>262</v>
      </c>
      <c r="N524" s="4" t="s">
        <v>49</v>
      </c>
      <c r="O524" s="67" t="s">
        <v>49</v>
      </c>
      <c r="P524" s="3" t="s">
        <v>50</v>
      </c>
      <c r="Q524" s="3" t="s">
        <v>51</v>
      </c>
      <c r="R524" s="3">
        <v>5</v>
      </c>
      <c r="S524" s="3" t="s">
        <v>52</v>
      </c>
      <c r="T524" s="3" t="s">
        <v>53</v>
      </c>
      <c r="U524" s="3" t="s">
        <v>54</v>
      </c>
      <c r="V524" s="7"/>
      <c r="W524" s="7"/>
      <c r="X524" s="7"/>
      <c r="Y524" s="7"/>
      <c r="Z524" s="3" t="s">
        <v>265</v>
      </c>
      <c r="AA524" s="3" t="s">
        <v>56</v>
      </c>
      <c r="AB524" s="3" t="s">
        <v>57</v>
      </c>
      <c r="AD524" s="3">
        <v>4.84</v>
      </c>
      <c r="AE524" s="3">
        <v>4.84</v>
      </c>
      <c r="AF524" s="12" t="s">
        <v>587</v>
      </c>
      <c r="AG524" s="12" t="s">
        <v>588</v>
      </c>
      <c r="AH524" s="3">
        <v>69.7</v>
      </c>
      <c r="AI524" s="3">
        <v>15.72</v>
      </c>
      <c r="AJ524" s="89">
        <f t="shared" si="15"/>
        <v>33.25</v>
      </c>
      <c r="AK524" s="3" t="s">
        <v>58</v>
      </c>
      <c r="AL524" s="3">
        <f t="shared" si="13"/>
        <v>39.9</v>
      </c>
      <c r="AN524" t="s">
        <v>5518</v>
      </c>
      <c r="AO524" s="82" t="s">
        <v>5642</v>
      </c>
    </row>
    <row r="525" spans="1:41" ht="14.25" customHeight="1" x14ac:dyDescent="0.3">
      <c r="A525" s="3" t="s">
        <v>573</v>
      </c>
      <c r="B525" s="3" t="s">
        <v>602</v>
      </c>
      <c r="C525" s="3" t="s">
        <v>575</v>
      </c>
      <c r="D525" s="3" t="s">
        <v>603</v>
      </c>
      <c r="E525" s="3" t="s">
        <v>577</v>
      </c>
      <c r="F525" s="3" t="s">
        <v>41</v>
      </c>
      <c r="G525" s="5" t="s">
        <v>42</v>
      </c>
      <c r="H525" s="5" t="s">
        <v>43</v>
      </c>
      <c r="I525" s="5" t="s">
        <v>44</v>
      </c>
      <c r="J525" s="3" t="s">
        <v>45</v>
      </c>
      <c r="K525" s="3" t="s">
        <v>578</v>
      </c>
      <c r="L525" s="3" t="s">
        <v>585</v>
      </c>
      <c r="M525" s="3" t="s">
        <v>262</v>
      </c>
      <c r="N525" s="4" t="s">
        <v>580</v>
      </c>
      <c r="O525" s="67" t="s">
        <v>580</v>
      </c>
      <c r="P525" s="3" t="s">
        <v>50</v>
      </c>
      <c r="Q525" s="3" t="s">
        <v>51</v>
      </c>
      <c r="R525" s="3">
        <v>5</v>
      </c>
      <c r="S525" s="3" t="s">
        <v>52</v>
      </c>
      <c r="T525" s="3" t="s">
        <v>53</v>
      </c>
      <c r="U525" s="3" t="s">
        <v>54</v>
      </c>
      <c r="V525" s="7"/>
      <c r="W525" s="7"/>
      <c r="X525" s="7"/>
      <c r="Y525" s="7"/>
      <c r="Z525" s="3" t="s">
        <v>265</v>
      </c>
      <c r="AA525" s="3" t="s">
        <v>56</v>
      </c>
      <c r="AB525" s="3" t="s">
        <v>57</v>
      </c>
      <c r="AD525" s="3">
        <v>4.84</v>
      </c>
      <c r="AE525" s="3">
        <v>4.84</v>
      </c>
      <c r="AF525" s="12" t="s">
        <v>587</v>
      </c>
      <c r="AG525" s="12" t="s">
        <v>588</v>
      </c>
      <c r="AH525" s="3">
        <v>69.7</v>
      </c>
      <c r="AI525" s="3">
        <v>15.72</v>
      </c>
      <c r="AJ525" s="89">
        <f t="shared" si="15"/>
        <v>33.25</v>
      </c>
      <c r="AK525" s="3" t="s">
        <v>58</v>
      </c>
      <c r="AL525" s="3">
        <f t="shared" si="13"/>
        <v>39.9</v>
      </c>
      <c r="AN525" t="s">
        <v>5518</v>
      </c>
      <c r="AO525" s="82" t="s">
        <v>5642</v>
      </c>
    </row>
    <row r="526" spans="1:41" ht="14.25" customHeight="1" x14ac:dyDescent="0.3">
      <c r="A526" s="3" t="s">
        <v>573</v>
      </c>
      <c r="B526" s="3" t="s">
        <v>604</v>
      </c>
      <c r="C526" s="3" t="s">
        <v>575</v>
      </c>
      <c r="D526" s="3" t="s">
        <v>605</v>
      </c>
      <c r="E526" s="3" t="s">
        <v>577</v>
      </c>
      <c r="F526" s="3" t="s">
        <v>41</v>
      </c>
      <c r="G526" s="5" t="s">
        <v>42</v>
      </c>
      <c r="H526" s="5" t="s">
        <v>43</v>
      </c>
      <c r="I526" s="5" t="s">
        <v>44</v>
      </c>
      <c r="J526" s="3" t="s">
        <v>45</v>
      </c>
      <c r="K526" s="3" t="s">
        <v>578</v>
      </c>
      <c r="L526" s="3" t="s">
        <v>585</v>
      </c>
      <c r="M526" s="3" t="s">
        <v>262</v>
      </c>
      <c r="N526" s="4" t="s">
        <v>580</v>
      </c>
      <c r="O526" s="67" t="s">
        <v>580</v>
      </c>
      <c r="P526" s="3" t="s">
        <v>50</v>
      </c>
      <c r="Q526" s="3" t="s">
        <v>51</v>
      </c>
      <c r="R526" s="3">
        <v>5</v>
      </c>
      <c r="S526" s="3" t="s">
        <v>52</v>
      </c>
      <c r="T526" s="3" t="s">
        <v>53</v>
      </c>
      <c r="U526" s="3" t="s">
        <v>54</v>
      </c>
      <c r="V526" s="7"/>
      <c r="W526" s="7"/>
      <c r="X526" s="7"/>
      <c r="Y526" s="7"/>
      <c r="Z526" s="3" t="s">
        <v>265</v>
      </c>
      <c r="AA526" s="3" t="s">
        <v>56</v>
      </c>
      <c r="AB526" s="3" t="s">
        <v>57</v>
      </c>
      <c r="AD526" s="3">
        <v>4.84</v>
      </c>
      <c r="AE526" s="3">
        <v>4.84</v>
      </c>
      <c r="AF526" s="12" t="s">
        <v>587</v>
      </c>
      <c r="AG526" s="12" t="s">
        <v>588</v>
      </c>
      <c r="AH526" s="3">
        <v>69.7</v>
      </c>
      <c r="AI526" s="3">
        <v>15.72</v>
      </c>
      <c r="AJ526" s="89">
        <f t="shared" si="15"/>
        <v>33.25</v>
      </c>
      <c r="AK526" s="3" t="s">
        <v>58</v>
      </c>
      <c r="AL526" s="3">
        <f t="shared" si="13"/>
        <v>39.9</v>
      </c>
      <c r="AN526" t="s">
        <v>5518</v>
      </c>
      <c r="AO526" s="82" t="s">
        <v>5642</v>
      </c>
    </row>
    <row r="527" spans="1:41" ht="14.25" customHeight="1" x14ac:dyDescent="0.3">
      <c r="A527" s="3" t="s">
        <v>573</v>
      </c>
      <c r="B527" s="3" t="s">
        <v>606</v>
      </c>
      <c r="C527" s="3" t="s">
        <v>575</v>
      </c>
      <c r="D527" s="3" t="s">
        <v>607</v>
      </c>
      <c r="E527" s="3" t="s">
        <v>577</v>
      </c>
      <c r="F527" s="3" t="s">
        <v>41</v>
      </c>
      <c r="G527" s="5" t="s">
        <v>42</v>
      </c>
      <c r="H527" s="5" t="s">
        <v>43</v>
      </c>
      <c r="I527" s="5" t="s">
        <v>44</v>
      </c>
      <c r="J527" s="3" t="s">
        <v>45</v>
      </c>
      <c r="K527" s="3" t="s">
        <v>578</v>
      </c>
      <c r="L527" s="3" t="s">
        <v>608</v>
      </c>
      <c r="M527" s="3" t="s">
        <v>262</v>
      </c>
      <c r="N527" s="4" t="s">
        <v>586</v>
      </c>
      <c r="O527" s="67" t="s">
        <v>586</v>
      </c>
      <c r="P527" s="3" t="s">
        <v>50</v>
      </c>
      <c r="Q527" s="3" t="s">
        <v>51</v>
      </c>
      <c r="R527" s="3">
        <v>2</v>
      </c>
      <c r="S527" s="3" t="s">
        <v>52</v>
      </c>
      <c r="T527" s="3" t="s">
        <v>53</v>
      </c>
      <c r="U527" s="3" t="s">
        <v>54</v>
      </c>
      <c r="V527" s="7"/>
      <c r="W527" s="7"/>
      <c r="X527" s="7"/>
      <c r="Y527" s="7"/>
      <c r="Z527" s="3" t="s">
        <v>265</v>
      </c>
      <c r="AA527" s="3" t="s">
        <v>56</v>
      </c>
      <c r="AB527" s="3" t="s">
        <v>57</v>
      </c>
      <c r="AD527" s="3">
        <v>10.5</v>
      </c>
      <c r="AE527" s="3">
        <v>10.5</v>
      </c>
      <c r="AF527" s="12" t="s">
        <v>609</v>
      </c>
      <c r="AG527" s="12" t="s">
        <v>610</v>
      </c>
      <c r="AH527" s="3">
        <v>37.799999999999997</v>
      </c>
      <c r="AI527" s="3">
        <v>17.73</v>
      </c>
      <c r="AJ527" s="89">
        <f t="shared" ref="AJ527:AJ541" si="16">49.9/1.2</f>
        <v>41.583333333333336</v>
      </c>
      <c r="AK527" s="3" t="s">
        <v>58</v>
      </c>
      <c r="AL527" s="3">
        <f t="shared" si="13"/>
        <v>49.9</v>
      </c>
      <c r="AN527" t="s">
        <v>5518</v>
      </c>
      <c r="AO527" s="82" t="s">
        <v>5642</v>
      </c>
    </row>
    <row r="528" spans="1:41" ht="14.25" customHeight="1" x14ac:dyDescent="0.3">
      <c r="A528" s="3" t="s">
        <v>573</v>
      </c>
      <c r="B528" s="3" t="s">
        <v>611</v>
      </c>
      <c r="C528" s="3" t="s">
        <v>575</v>
      </c>
      <c r="D528" s="3" t="s">
        <v>612</v>
      </c>
      <c r="E528" s="3" t="s">
        <v>577</v>
      </c>
      <c r="F528" s="3" t="s">
        <v>41</v>
      </c>
      <c r="G528" s="5" t="s">
        <v>42</v>
      </c>
      <c r="H528" s="5" t="s">
        <v>43</v>
      </c>
      <c r="I528" s="5" t="s">
        <v>44</v>
      </c>
      <c r="J528" s="3" t="s">
        <v>45</v>
      </c>
      <c r="K528" s="3" t="s">
        <v>578</v>
      </c>
      <c r="L528" s="3" t="s">
        <v>608</v>
      </c>
      <c r="M528" s="3" t="s">
        <v>262</v>
      </c>
      <c r="N528" s="4" t="s">
        <v>49</v>
      </c>
      <c r="O528" s="67" t="s">
        <v>49</v>
      </c>
      <c r="P528" s="3" t="s">
        <v>50</v>
      </c>
      <c r="Q528" s="3" t="s">
        <v>51</v>
      </c>
      <c r="R528" s="3">
        <v>2</v>
      </c>
      <c r="S528" s="3" t="s">
        <v>52</v>
      </c>
      <c r="T528" s="3" t="s">
        <v>53</v>
      </c>
      <c r="U528" s="3" t="s">
        <v>54</v>
      </c>
      <c r="V528" s="7"/>
      <c r="W528" s="7"/>
      <c r="X528" s="7"/>
      <c r="Y528" s="7"/>
      <c r="Z528" s="3" t="s">
        <v>265</v>
      </c>
      <c r="AA528" s="3" t="s">
        <v>56</v>
      </c>
      <c r="AB528" s="3" t="s">
        <v>57</v>
      </c>
      <c r="AD528" s="3">
        <v>10.5</v>
      </c>
      <c r="AE528" s="3">
        <v>10.5</v>
      </c>
      <c r="AF528" s="12" t="s">
        <v>609</v>
      </c>
      <c r="AG528" s="12" t="s">
        <v>610</v>
      </c>
      <c r="AH528" s="3">
        <v>37.799999999999997</v>
      </c>
      <c r="AI528" s="3">
        <v>17.73</v>
      </c>
      <c r="AJ528" s="89">
        <f t="shared" si="16"/>
        <v>41.583333333333336</v>
      </c>
      <c r="AK528" s="3" t="s">
        <v>58</v>
      </c>
      <c r="AL528" s="3">
        <f t="shared" si="13"/>
        <v>49.9</v>
      </c>
      <c r="AN528" t="s">
        <v>5518</v>
      </c>
      <c r="AO528" s="82" t="s">
        <v>5642</v>
      </c>
    </row>
    <row r="529" spans="1:41" ht="14.25" customHeight="1" x14ac:dyDescent="0.3">
      <c r="A529" s="3" t="s">
        <v>573</v>
      </c>
      <c r="B529" s="3" t="s">
        <v>613</v>
      </c>
      <c r="C529" s="3" t="s">
        <v>575</v>
      </c>
      <c r="D529" s="3" t="s">
        <v>614</v>
      </c>
      <c r="E529" s="3" t="s">
        <v>577</v>
      </c>
      <c r="F529" s="3" t="s">
        <v>41</v>
      </c>
      <c r="G529" s="5" t="s">
        <v>42</v>
      </c>
      <c r="H529" s="5" t="s">
        <v>43</v>
      </c>
      <c r="I529" s="5" t="s">
        <v>44</v>
      </c>
      <c r="J529" s="3" t="s">
        <v>45</v>
      </c>
      <c r="K529" s="3" t="s">
        <v>578</v>
      </c>
      <c r="L529" s="3" t="s">
        <v>608</v>
      </c>
      <c r="M529" s="3" t="s">
        <v>262</v>
      </c>
      <c r="N529" s="4" t="s">
        <v>61</v>
      </c>
      <c r="O529" s="67" t="s">
        <v>61</v>
      </c>
      <c r="P529" s="3" t="s">
        <v>50</v>
      </c>
      <c r="Q529" s="3" t="s">
        <v>51</v>
      </c>
      <c r="R529" s="3">
        <v>2</v>
      </c>
      <c r="S529" s="3" t="s">
        <v>52</v>
      </c>
      <c r="T529" s="3" t="s">
        <v>53</v>
      </c>
      <c r="U529" s="3" t="s">
        <v>54</v>
      </c>
      <c r="V529" s="7"/>
      <c r="W529" s="7"/>
      <c r="X529" s="7"/>
      <c r="Y529" s="7"/>
      <c r="Z529" s="3" t="s">
        <v>265</v>
      </c>
      <c r="AA529" s="3" t="s">
        <v>56</v>
      </c>
      <c r="AB529" s="3" t="s">
        <v>57</v>
      </c>
      <c r="AD529" s="3">
        <v>10.5</v>
      </c>
      <c r="AE529" s="3">
        <v>10.5</v>
      </c>
      <c r="AF529" s="12" t="s">
        <v>609</v>
      </c>
      <c r="AG529" s="12" t="s">
        <v>610</v>
      </c>
      <c r="AH529" s="3">
        <v>37.799999999999997</v>
      </c>
      <c r="AI529" s="3">
        <v>17.73</v>
      </c>
      <c r="AJ529" s="89">
        <f t="shared" si="16"/>
        <v>41.583333333333336</v>
      </c>
      <c r="AK529" s="3" t="s">
        <v>58</v>
      </c>
      <c r="AL529" s="3">
        <f t="shared" si="13"/>
        <v>49.9</v>
      </c>
      <c r="AN529" t="s">
        <v>5518</v>
      </c>
      <c r="AO529" s="82" t="s">
        <v>5642</v>
      </c>
    </row>
    <row r="530" spans="1:41" ht="14.25" customHeight="1" x14ac:dyDescent="0.3">
      <c r="A530" s="3" t="s">
        <v>573</v>
      </c>
      <c r="B530" s="3" t="s">
        <v>615</v>
      </c>
      <c r="C530" s="3" t="s">
        <v>575</v>
      </c>
      <c r="D530" s="3" t="s">
        <v>616</v>
      </c>
      <c r="E530" s="3" t="s">
        <v>577</v>
      </c>
      <c r="F530" s="3" t="s">
        <v>41</v>
      </c>
      <c r="G530" s="5" t="s">
        <v>42</v>
      </c>
      <c r="H530" s="5" t="s">
        <v>43</v>
      </c>
      <c r="I530" s="5" t="s">
        <v>44</v>
      </c>
      <c r="J530" s="3" t="s">
        <v>45</v>
      </c>
      <c r="K530" s="3" t="s">
        <v>578</v>
      </c>
      <c r="L530" s="3" t="s">
        <v>608</v>
      </c>
      <c r="M530" s="3" t="s">
        <v>262</v>
      </c>
      <c r="N530" s="4" t="s">
        <v>599</v>
      </c>
      <c r="O530" s="67" t="s">
        <v>599</v>
      </c>
      <c r="P530" s="3" t="s">
        <v>50</v>
      </c>
      <c r="Q530" s="3" t="s">
        <v>51</v>
      </c>
      <c r="R530" s="3">
        <v>2</v>
      </c>
      <c r="S530" s="3" t="s">
        <v>52</v>
      </c>
      <c r="T530" s="3" t="s">
        <v>53</v>
      </c>
      <c r="U530" s="3" t="s">
        <v>54</v>
      </c>
      <c r="V530" s="7"/>
      <c r="W530" s="7"/>
      <c r="X530" s="7"/>
      <c r="Y530" s="7"/>
      <c r="Z530" s="3" t="s">
        <v>265</v>
      </c>
      <c r="AA530" s="3" t="s">
        <v>56</v>
      </c>
      <c r="AB530" s="3" t="s">
        <v>57</v>
      </c>
      <c r="AD530" s="3">
        <v>10.5</v>
      </c>
      <c r="AE530" s="3">
        <v>10.5</v>
      </c>
      <c r="AF530" s="12" t="s">
        <v>609</v>
      </c>
      <c r="AG530" s="12" t="s">
        <v>610</v>
      </c>
      <c r="AH530" s="3">
        <v>37.799999999999997</v>
      </c>
      <c r="AI530" s="3">
        <v>17.73</v>
      </c>
      <c r="AJ530" s="89">
        <f t="shared" si="16"/>
        <v>41.583333333333336</v>
      </c>
      <c r="AK530" s="3" t="s">
        <v>58</v>
      </c>
      <c r="AL530" s="3">
        <f t="shared" si="13"/>
        <v>49.9</v>
      </c>
      <c r="AN530" t="s">
        <v>5518</v>
      </c>
      <c r="AO530" s="82" t="s">
        <v>5642</v>
      </c>
    </row>
    <row r="531" spans="1:41" ht="14.25" customHeight="1" x14ac:dyDescent="0.3">
      <c r="A531" s="3" t="s">
        <v>573</v>
      </c>
      <c r="B531" s="3" t="s">
        <v>617</v>
      </c>
      <c r="C531" s="3" t="s">
        <v>575</v>
      </c>
      <c r="D531" s="3" t="s">
        <v>618</v>
      </c>
      <c r="E531" s="3" t="s">
        <v>577</v>
      </c>
      <c r="F531" s="3" t="s">
        <v>41</v>
      </c>
      <c r="G531" s="5" t="s">
        <v>42</v>
      </c>
      <c r="H531" s="5" t="s">
        <v>43</v>
      </c>
      <c r="I531" s="5" t="s">
        <v>44</v>
      </c>
      <c r="J531" s="3" t="s">
        <v>45</v>
      </c>
      <c r="K531" s="3" t="s">
        <v>578</v>
      </c>
      <c r="L531" s="3" t="s">
        <v>608</v>
      </c>
      <c r="M531" s="3" t="s">
        <v>262</v>
      </c>
      <c r="N531" s="4" t="s">
        <v>619</v>
      </c>
      <c r="O531" s="69" t="s">
        <v>3268</v>
      </c>
      <c r="P531" s="3" t="s">
        <v>50</v>
      </c>
      <c r="Q531" s="3" t="s">
        <v>51</v>
      </c>
      <c r="R531" s="3">
        <v>2</v>
      </c>
      <c r="S531" s="3" t="s">
        <v>52</v>
      </c>
      <c r="T531" s="3" t="s">
        <v>53</v>
      </c>
      <c r="U531" s="3" t="s">
        <v>54</v>
      </c>
      <c r="V531" s="7"/>
      <c r="W531" s="7"/>
      <c r="X531" s="7"/>
      <c r="Y531" s="7"/>
      <c r="Z531" s="3" t="s">
        <v>265</v>
      </c>
      <c r="AA531" s="3" t="s">
        <v>56</v>
      </c>
      <c r="AB531" s="3" t="s">
        <v>57</v>
      </c>
      <c r="AD531" s="3">
        <v>10.5</v>
      </c>
      <c r="AE531" s="3">
        <v>10.5</v>
      </c>
      <c r="AF531" s="12" t="s">
        <v>609</v>
      </c>
      <c r="AG531" s="12" t="s">
        <v>610</v>
      </c>
      <c r="AH531" s="3">
        <v>37.799999999999997</v>
      </c>
      <c r="AI531" s="3">
        <v>17.73</v>
      </c>
      <c r="AJ531" s="89">
        <f t="shared" si="16"/>
        <v>41.583333333333336</v>
      </c>
      <c r="AK531" s="3" t="s">
        <v>58</v>
      </c>
      <c r="AL531" s="3">
        <f t="shared" si="13"/>
        <v>49.9</v>
      </c>
      <c r="AN531" t="s">
        <v>5518</v>
      </c>
      <c r="AO531" s="82" t="s">
        <v>5642</v>
      </c>
    </row>
    <row r="532" spans="1:41" ht="14.25" customHeight="1" x14ac:dyDescent="0.3">
      <c r="A532" s="3" t="s">
        <v>573</v>
      </c>
      <c r="B532" s="3" t="s">
        <v>620</v>
      </c>
      <c r="C532" s="3" t="s">
        <v>575</v>
      </c>
      <c r="D532" s="3" t="s">
        <v>621</v>
      </c>
      <c r="E532" s="3" t="s">
        <v>577</v>
      </c>
      <c r="F532" s="3" t="s">
        <v>41</v>
      </c>
      <c r="G532" s="5" t="s">
        <v>42</v>
      </c>
      <c r="H532" s="5" t="s">
        <v>43</v>
      </c>
      <c r="I532" s="5" t="s">
        <v>44</v>
      </c>
      <c r="J532" s="3" t="s">
        <v>45</v>
      </c>
      <c r="K532" s="3" t="s">
        <v>578</v>
      </c>
      <c r="L532" s="3" t="s">
        <v>608</v>
      </c>
      <c r="M532" s="3" t="s">
        <v>262</v>
      </c>
      <c r="N532" s="4" t="s">
        <v>622</v>
      </c>
      <c r="O532" s="67" t="s">
        <v>586</v>
      </c>
      <c r="P532" s="3" t="s">
        <v>50</v>
      </c>
      <c r="Q532" s="3" t="s">
        <v>51</v>
      </c>
      <c r="R532" s="3">
        <v>2</v>
      </c>
      <c r="S532" s="3" t="s">
        <v>52</v>
      </c>
      <c r="T532" s="3" t="s">
        <v>53</v>
      </c>
      <c r="U532" s="3" t="s">
        <v>54</v>
      </c>
      <c r="V532" s="7"/>
      <c r="W532" s="7"/>
      <c r="X532" s="7"/>
      <c r="Y532" s="7"/>
      <c r="Z532" s="3" t="s">
        <v>265</v>
      </c>
      <c r="AA532" s="3" t="s">
        <v>56</v>
      </c>
      <c r="AB532" s="3" t="s">
        <v>57</v>
      </c>
      <c r="AD532" s="3">
        <v>10.5</v>
      </c>
      <c r="AE532" s="3">
        <v>10.5</v>
      </c>
      <c r="AF532" s="12" t="s">
        <v>609</v>
      </c>
      <c r="AG532" s="12" t="s">
        <v>610</v>
      </c>
      <c r="AH532" s="3">
        <v>37.799999999999997</v>
      </c>
      <c r="AI532" s="3">
        <v>17.73</v>
      </c>
      <c r="AJ532" s="89">
        <f t="shared" si="16"/>
        <v>41.583333333333336</v>
      </c>
      <c r="AK532" s="3" t="s">
        <v>58</v>
      </c>
      <c r="AL532" s="3">
        <f t="shared" si="13"/>
        <v>49.9</v>
      </c>
      <c r="AN532" t="s">
        <v>5518</v>
      </c>
      <c r="AO532" s="82" t="s">
        <v>5642</v>
      </c>
    </row>
    <row r="533" spans="1:41" ht="14.25" customHeight="1" x14ac:dyDescent="0.3">
      <c r="A533" s="3" t="s">
        <v>573</v>
      </c>
      <c r="B533" s="3" t="s">
        <v>623</v>
      </c>
      <c r="C533" s="3" t="s">
        <v>575</v>
      </c>
      <c r="D533" s="3" t="s">
        <v>624</v>
      </c>
      <c r="E533" s="3" t="s">
        <v>577</v>
      </c>
      <c r="F533" s="3" t="s">
        <v>41</v>
      </c>
      <c r="G533" s="5" t="s">
        <v>42</v>
      </c>
      <c r="H533" s="5" t="s">
        <v>43</v>
      </c>
      <c r="I533" s="5" t="s">
        <v>44</v>
      </c>
      <c r="J533" s="3" t="s">
        <v>45</v>
      </c>
      <c r="K533" s="3" t="s">
        <v>578</v>
      </c>
      <c r="L533" s="3" t="s">
        <v>608</v>
      </c>
      <c r="M533" s="3" t="s">
        <v>262</v>
      </c>
      <c r="N533" s="4" t="s">
        <v>580</v>
      </c>
      <c r="O533" s="67" t="s">
        <v>580</v>
      </c>
      <c r="P533" s="3" t="s">
        <v>50</v>
      </c>
      <c r="Q533" s="3" t="s">
        <v>51</v>
      </c>
      <c r="R533" s="3">
        <v>2</v>
      </c>
      <c r="S533" s="3" t="s">
        <v>52</v>
      </c>
      <c r="T533" s="3" t="s">
        <v>53</v>
      </c>
      <c r="U533" s="3" t="s">
        <v>54</v>
      </c>
      <c r="V533" s="7"/>
      <c r="W533" s="7"/>
      <c r="X533" s="7"/>
      <c r="Y533" s="7"/>
      <c r="Z533" s="3" t="s">
        <v>265</v>
      </c>
      <c r="AA533" s="3" t="s">
        <v>56</v>
      </c>
      <c r="AB533" s="3" t="s">
        <v>57</v>
      </c>
      <c r="AD533" s="3">
        <v>10.5</v>
      </c>
      <c r="AE533" s="3">
        <v>10.5</v>
      </c>
      <c r="AF533" s="12" t="s">
        <v>609</v>
      </c>
      <c r="AG533" s="12" t="s">
        <v>610</v>
      </c>
      <c r="AH533" s="3">
        <v>37.799999999999997</v>
      </c>
      <c r="AI533" s="3">
        <v>17.73</v>
      </c>
      <c r="AJ533" s="89">
        <f t="shared" si="16"/>
        <v>41.583333333333336</v>
      </c>
      <c r="AK533" s="3" t="s">
        <v>58</v>
      </c>
      <c r="AL533" s="3">
        <f t="shared" si="13"/>
        <v>49.9</v>
      </c>
      <c r="AN533" t="s">
        <v>5518</v>
      </c>
      <c r="AO533" s="82" t="s">
        <v>5642</v>
      </c>
    </row>
    <row r="534" spans="1:41" ht="14.25" customHeight="1" x14ac:dyDescent="0.3">
      <c r="A534" s="3" t="s">
        <v>573</v>
      </c>
      <c r="B534" s="3" t="s">
        <v>625</v>
      </c>
      <c r="C534" s="3" t="s">
        <v>575</v>
      </c>
      <c r="D534" s="3" t="s">
        <v>626</v>
      </c>
      <c r="E534" s="3" t="s">
        <v>577</v>
      </c>
      <c r="F534" s="3" t="s">
        <v>41</v>
      </c>
      <c r="G534" s="5" t="s">
        <v>42</v>
      </c>
      <c r="H534" s="5" t="s">
        <v>43</v>
      </c>
      <c r="I534" s="5" t="s">
        <v>44</v>
      </c>
      <c r="J534" s="3" t="s">
        <v>45</v>
      </c>
      <c r="K534" s="3" t="s">
        <v>578</v>
      </c>
      <c r="L534" s="3" t="s">
        <v>608</v>
      </c>
      <c r="M534" s="3" t="s">
        <v>262</v>
      </c>
      <c r="N534" s="4" t="s">
        <v>586</v>
      </c>
      <c r="O534" s="67" t="s">
        <v>586</v>
      </c>
      <c r="P534" s="3" t="s">
        <v>50</v>
      </c>
      <c r="Q534" s="3" t="s">
        <v>51</v>
      </c>
      <c r="R534" s="3">
        <v>2</v>
      </c>
      <c r="S534" s="3" t="s">
        <v>52</v>
      </c>
      <c r="T534" s="3" t="s">
        <v>53</v>
      </c>
      <c r="U534" s="3" t="s">
        <v>54</v>
      </c>
      <c r="V534" s="7"/>
      <c r="W534" s="7"/>
      <c r="X534" s="7"/>
      <c r="Y534" s="7"/>
      <c r="Z534" s="3" t="s">
        <v>265</v>
      </c>
      <c r="AA534" s="3" t="s">
        <v>56</v>
      </c>
      <c r="AB534" s="3" t="s">
        <v>57</v>
      </c>
      <c r="AD534" s="3">
        <v>10.5</v>
      </c>
      <c r="AE534" s="3">
        <v>10.5</v>
      </c>
      <c r="AF534" s="12" t="s">
        <v>609</v>
      </c>
      <c r="AG534" s="12" t="s">
        <v>610</v>
      </c>
      <c r="AH534" s="3">
        <v>37.799999999999997</v>
      </c>
      <c r="AI534" s="3">
        <v>17.73</v>
      </c>
      <c r="AJ534" s="89">
        <f t="shared" si="16"/>
        <v>41.583333333333336</v>
      </c>
      <c r="AK534" s="3" t="s">
        <v>58</v>
      </c>
      <c r="AL534" s="3">
        <f t="shared" si="13"/>
        <v>49.9</v>
      </c>
      <c r="AN534" t="s">
        <v>5518</v>
      </c>
      <c r="AO534" s="82" t="s">
        <v>5642</v>
      </c>
    </row>
    <row r="535" spans="1:41" ht="14.25" customHeight="1" x14ac:dyDescent="0.3">
      <c r="A535" s="3" t="s">
        <v>573</v>
      </c>
      <c r="B535" s="3" t="s">
        <v>627</v>
      </c>
      <c r="C535" s="3" t="s">
        <v>575</v>
      </c>
      <c r="D535" s="3" t="s">
        <v>628</v>
      </c>
      <c r="E535" s="3" t="s">
        <v>577</v>
      </c>
      <c r="F535" s="3" t="s">
        <v>41</v>
      </c>
      <c r="G535" s="5" t="s">
        <v>42</v>
      </c>
      <c r="H535" s="5" t="s">
        <v>43</v>
      </c>
      <c r="I535" s="5" t="s">
        <v>44</v>
      </c>
      <c r="J535" s="3" t="s">
        <v>45</v>
      </c>
      <c r="K535" s="3" t="s">
        <v>578</v>
      </c>
      <c r="L535" s="3" t="s">
        <v>608</v>
      </c>
      <c r="M535" s="3" t="s">
        <v>262</v>
      </c>
      <c r="N535" s="4" t="s">
        <v>61</v>
      </c>
      <c r="O535" s="67" t="s">
        <v>61</v>
      </c>
      <c r="P535" s="3" t="s">
        <v>50</v>
      </c>
      <c r="Q535" s="3" t="s">
        <v>51</v>
      </c>
      <c r="R535" s="3">
        <v>2</v>
      </c>
      <c r="S535" s="3" t="s">
        <v>52</v>
      </c>
      <c r="T535" s="3" t="s">
        <v>53</v>
      </c>
      <c r="U535" s="3" t="s">
        <v>54</v>
      </c>
      <c r="V535" s="7"/>
      <c r="W535" s="7"/>
      <c r="X535" s="7"/>
      <c r="Y535" s="7"/>
      <c r="Z535" s="3" t="s">
        <v>265</v>
      </c>
      <c r="AA535" s="3" t="s">
        <v>56</v>
      </c>
      <c r="AB535" s="3" t="s">
        <v>57</v>
      </c>
      <c r="AD535" s="3">
        <v>10.5</v>
      </c>
      <c r="AE535" s="3">
        <v>10.5</v>
      </c>
      <c r="AF535" s="12" t="s">
        <v>609</v>
      </c>
      <c r="AG535" s="12" t="s">
        <v>610</v>
      </c>
      <c r="AH535" s="3">
        <v>37.799999999999997</v>
      </c>
      <c r="AI535" s="3">
        <v>17.73</v>
      </c>
      <c r="AJ535" s="89">
        <f t="shared" si="16"/>
        <v>41.583333333333336</v>
      </c>
      <c r="AK535" s="3" t="s">
        <v>58</v>
      </c>
      <c r="AL535" s="3">
        <f t="shared" si="13"/>
        <v>49.9</v>
      </c>
      <c r="AN535" t="s">
        <v>5518</v>
      </c>
      <c r="AO535" s="82" t="s">
        <v>5642</v>
      </c>
    </row>
    <row r="536" spans="1:41" ht="14.25" customHeight="1" x14ac:dyDescent="0.3">
      <c r="A536" s="3" t="s">
        <v>573</v>
      </c>
      <c r="B536" s="3" t="s">
        <v>629</v>
      </c>
      <c r="C536" s="3" t="s">
        <v>575</v>
      </c>
      <c r="D536" s="3" t="s">
        <v>630</v>
      </c>
      <c r="E536" s="3" t="s">
        <v>577</v>
      </c>
      <c r="F536" s="3" t="s">
        <v>41</v>
      </c>
      <c r="G536" s="5" t="s">
        <v>42</v>
      </c>
      <c r="H536" s="5" t="s">
        <v>43</v>
      </c>
      <c r="I536" s="5" t="s">
        <v>44</v>
      </c>
      <c r="J536" s="3" t="s">
        <v>45</v>
      </c>
      <c r="K536" s="3" t="s">
        <v>578</v>
      </c>
      <c r="L536" s="3" t="s">
        <v>608</v>
      </c>
      <c r="M536" s="3" t="s">
        <v>262</v>
      </c>
      <c r="N536" s="4" t="s">
        <v>49</v>
      </c>
      <c r="O536" s="67" t="s">
        <v>49</v>
      </c>
      <c r="P536" s="3" t="s">
        <v>50</v>
      </c>
      <c r="Q536" s="3" t="s">
        <v>51</v>
      </c>
      <c r="R536" s="3">
        <v>2</v>
      </c>
      <c r="S536" s="3" t="s">
        <v>52</v>
      </c>
      <c r="T536" s="3" t="s">
        <v>53</v>
      </c>
      <c r="U536" s="3" t="s">
        <v>54</v>
      </c>
      <c r="V536" s="7"/>
      <c r="W536" s="7"/>
      <c r="X536" s="7"/>
      <c r="Y536" s="7"/>
      <c r="Z536" s="3" t="s">
        <v>265</v>
      </c>
      <c r="AA536" s="3" t="s">
        <v>56</v>
      </c>
      <c r="AB536" s="3" t="s">
        <v>57</v>
      </c>
      <c r="AD536" s="3">
        <v>10.5</v>
      </c>
      <c r="AE536" s="3">
        <v>10.5</v>
      </c>
      <c r="AF536" s="12" t="s">
        <v>609</v>
      </c>
      <c r="AG536" s="12" t="s">
        <v>610</v>
      </c>
      <c r="AH536" s="3">
        <v>37.799999999999997</v>
      </c>
      <c r="AI536" s="3">
        <v>17.73</v>
      </c>
      <c r="AJ536" s="89">
        <f t="shared" si="16"/>
        <v>41.583333333333336</v>
      </c>
      <c r="AK536" s="3" t="s">
        <v>58</v>
      </c>
      <c r="AL536" s="3">
        <f t="shared" si="13"/>
        <v>49.9</v>
      </c>
      <c r="AN536" t="s">
        <v>5518</v>
      </c>
      <c r="AO536" s="82" t="s">
        <v>5642</v>
      </c>
    </row>
    <row r="537" spans="1:41" ht="14.25" customHeight="1" x14ac:dyDescent="0.3">
      <c r="A537" s="3" t="s">
        <v>573</v>
      </c>
      <c r="B537" s="3" t="s">
        <v>631</v>
      </c>
      <c r="C537" s="3" t="s">
        <v>575</v>
      </c>
      <c r="D537" s="3" t="s">
        <v>632</v>
      </c>
      <c r="E537" s="3" t="s">
        <v>577</v>
      </c>
      <c r="F537" s="3" t="s">
        <v>41</v>
      </c>
      <c r="G537" s="5" t="s">
        <v>42</v>
      </c>
      <c r="H537" s="5" t="s">
        <v>43</v>
      </c>
      <c r="I537" s="5" t="s">
        <v>44</v>
      </c>
      <c r="J537" s="3" t="s">
        <v>45</v>
      </c>
      <c r="K537" s="3" t="s">
        <v>578</v>
      </c>
      <c r="L537" s="3" t="s">
        <v>608</v>
      </c>
      <c r="M537" s="3" t="s">
        <v>262</v>
      </c>
      <c r="N537" s="4" t="s">
        <v>586</v>
      </c>
      <c r="O537" s="67" t="s">
        <v>586</v>
      </c>
      <c r="P537" s="3" t="s">
        <v>50</v>
      </c>
      <c r="Q537" s="3" t="s">
        <v>51</v>
      </c>
      <c r="R537" s="3">
        <v>2</v>
      </c>
      <c r="S537" s="3" t="s">
        <v>52</v>
      </c>
      <c r="T537" s="3" t="s">
        <v>53</v>
      </c>
      <c r="U537" s="3" t="s">
        <v>54</v>
      </c>
      <c r="V537" s="7"/>
      <c r="W537" s="7"/>
      <c r="X537" s="7"/>
      <c r="Y537" s="7"/>
      <c r="Z537" s="3" t="s">
        <v>265</v>
      </c>
      <c r="AA537" s="3" t="s">
        <v>56</v>
      </c>
      <c r="AB537" s="3" t="s">
        <v>57</v>
      </c>
      <c r="AD537" s="3">
        <v>10.5</v>
      </c>
      <c r="AE537" s="3">
        <v>10.5</v>
      </c>
      <c r="AF537" s="12" t="s">
        <v>609</v>
      </c>
      <c r="AG537" s="12" t="s">
        <v>610</v>
      </c>
      <c r="AH537" s="3">
        <v>37.799999999999997</v>
      </c>
      <c r="AI537" s="3">
        <v>17.73</v>
      </c>
      <c r="AJ537" s="89">
        <f t="shared" si="16"/>
        <v>41.583333333333336</v>
      </c>
      <c r="AK537" s="3" t="s">
        <v>58</v>
      </c>
      <c r="AL537" s="3">
        <f t="shared" si="13"/>
        <v>49.9</v>
      </c>
      <c r="AN537" t="s">
        <v>5518</v>
      </c>
      <c r="AO537" s="82" t="s">
        <v>5642</v>
      </c>
    </row>
    <row r="538" spans="1:41" ht="14.25" customHeight="1" x14ac:dyDescent="0.3">
      <c r="A538" s="3" t="s">
        <v>573</v>
      </c>
      <c r="B538" s="3" t="s">
        <v>633</v>
      </c>
      <c r="C538" s="3" t="s">
        <v>575</v>
      </c>
      <c r="D538" s="3" t="s">
        <v>634</v>
      </c>
      <c r="E538" s="3" t="s">
        <v>577</v>
      </c>
      <c r="F538" s="3" t="s">
        <v>41</v>
      </c>
      <c r="G538" s="5" t="s">
        <v>42</v>
      </c>
      <c r="H538" s="5" t="s">
        <v>43</v>
      </c>
      <c r="I538" s="5" t="s">
        <v>44</v>
      </c>
      <c r="J538" s="3" t="s">
        <v>45</v>
      </c>
      <c r="K538" s="3" t="s">
        <v>578</v>
      </c>
      <c r="L538" s="3" t="s">
        <v>608</v>
      </c>
      <c r="M538" s="3" t="s">
        <v>262</v>
      </c>
      <c r="N538" s="4" t="s">
        <v>61</v>
      </c>
      <c r="O538" s="67" t="s">
        <v>61</v>
      </c>
      <c r="P538" s="3" t="s">
        <v>50</v>
      </c>
      <c r="Q538" s="3" t="s">
        <v>51</v>
      </c>
      <c r="R538" s="3">
        <v>2</v>
      </c>
      <c r="S538" s="3" t="s">
        <v>52</v>
      </c>
      <c r="T538" s="3" t="s">
        <v>53</v>
      </c>
      <c r="U538" s="3" t="s">
        <v>54</v>
      </c>
      <c r="V538" s="7"/>
      <c r="W538" s="7"/>
      <c r="X538" s="7"/>
      <c r="Y538" s="7"/>
      <c r="Z538" s="3" t="s">
        <v>265</v>
      </c>
      <c r="AA538" s="3" t="s">
        <v>56</v>
      </c>
      <c r="AB538" s="3" t="s">
        <v>57</v>
      </c>
      <c r="AD538" s="3">
        <v>10.5</v>
      </c>
      <c r="AE538" s="3">
        <v>10.5</v>
      </c>
      <c r="AF538" s="12" t="s">
        <v>609</v>
      </c>
      <c r="AG538" s="12" t="s">
        <v>610</v>
      </c>
      <c r="AH538" s="3">
        <v>37.799999999999997</v>
      </c>
      <c r="AI538" s="3">
        <v>17.73</v>
      </c>
      <c r="AJ538" s="89">
        <f t="shared" si="16"/>
        <v>41.583333333333336</v>
      </c>
      <c r="AK538" s="3" t="s">
        <v>58</v>
      </c>
      <c r="AL538" s="3">
        <f t="shared" si="13"/>
        <v>49.9</v>
      </c>
      <c r="AN538" t="s">
        <v>5518</v>
      </c>
      <c r="AO538" s="82" t="s">
        <v>5642</v>
      </c>
    </row>
    <row r="539" spans="1:41" ht="14.25" customHeight="1" x14ac:dyDescent="0.3">
      <c r="A539" s="3" t="s">
        <v>573</v>
      </c>
      <c r="B539" s="3" t="s">
        <v>635</v>
      </c>
      <c r="C539" s="3" t="s">
        <v>575</v>
      </c>
      <c r="D539" s="3" t="s">
        <v>636</v>
      </c>
      <c r="E539" s="3" t="s">
        <v>577</v>
      </c>
      <c r="F539" s="3" t="s">
        <v>41</v>
      </c>
      <c r="G539" s="5" t="s">
        <v>42</v>
      </c>
      <c r="H539" s="5" t="s">
        <v>43</v>
      </c>
      <c r="I539" s="5" t="s">
        <v>44</v>
      </c>
      <c r="J539" s="3" t="s">
        <v>45</v>
      </c>
      <c r="K539" s="3" t="s">
        <v>578</v>
      </c>
      <c r="L539" s="3" t="s">
        <v>608</v>
      </c>
      <c r="M539" s="3" t="s">
        <v>262</v>
      </c>
      <c r="N539" s="4" t="s">
        <v>599</v>
      </c>
      <c r="O539" s="67" t="s">
        <v>599</v>
      </c>
      <c r="P539" s="3" t="s">
        <v>50</v>
      </c>
      <c r="Q539" s="3" t="s">
        <v>51</v>
      </c>
      <c r="R539" s="3">
        <v>2</v>
      </c>
      <c r="S539" s="3" t="s">
        <v>52</v>
      </c>
      <c r="T539" s="3" t="s">
        <v>53</v>
      </c>
      <c r="U539" s="3" t="s">
        <v>54</v>
      </c>
      <c r="V539" s="7"/>
      <c r="W539" s="7"/>
      <c r="X539" s="7"/>
      <c r="Y539" s="7"/>
      <c r="Z539" s="3" t="s">
        <v>265</v>
      </c>
      <c r="AA539" s="3" t="s">
        <v>56</v>
      </c>
      <c r="AB539" s="3" t="s">
        <v>57</v>
      </c>
      <c r="AD539" s="3">
        <v>10.5</v>
      </c>
      <c r="AE539" s="3">
        <v>10.5</v>
      </c>
      <c r="AF539" s="12" t="s">
        <v>609</v>
      </c>
      <c r="AG539" s="12" t="s">
        <v>610</v>
      </c>
      <c r="AH539" s="3">
        <v>37.799999999999997</v>
      </c>
      <c r="AI539" s="3">
        <v>17.73</v>
      </c>
      <c r="AJ539" s="89">
        <f t="shared" si="16"/>
        <v>41.583333333333336</v>
      </c>
      <c r="AK539" s="3" t="s">
        <v>58</v>
      </c>
      <c r="AL539" s="3">
        <f t="shared" si="13"/>
        <v>49.9</v>
      </c>
      <c r="AN539" t="s">
        <v>5518</v>
      </c>
      <c r="AO539" s="82" t="s">
        <v>5642</v>
      </c>
    </row>
    <row r="540" spans="1:41" ht="14.25" customHeight="1" x14ac:dyDescent="0.3">
      <c r="A540" s="3" t="s">
        <v>573</v>
      </c>
      <c r="B540" s="3" t="s">
        <v>637</v>
      </c>
      <c r="C540" s="3" t="s">
        <v>575</v>
      </c>
      <c r="D540" s="3" t="s">
        <v>638</v>
      </c>
      <c r="E540" s="3" t="s">
        <v>577</v>
      </c>
      <c r="F540" s="3" t="s">
        <v>41</v>
      </c>
      <c r="G540" s="5" t="s">
        <v>42</v>
      </c>
      <c r="H540" s="5" t="s">
        <v>43</v>
      </c>
      <c r="I540" s="5" t="s">
        <v>44</v>
      </c>
      <c r="J540" s="3" t="s">
        <v>45</v>
      </c>
      <c r="K540" s="3" t="s">
        <v>578</v>
      </c>
      <c r="L540" s="3" t="s">
        <v>608</v>
      </c>
      <c r="M540" s="3" t="s">
        <v>262</v>
      </c>
      <c r="N540" s="4" t="s">
        <v>49</v>
      </c>
      <c r="O540" s="67" t="s">
        <v>49</v>
      </c>
      <c r="P540" s="3" t="s">
        <v>50</v>
      </c>
      <c r="Q540" s="3" t="s">
        <v>51</v>
      </c>
      <c r="R540" s="3">
        <v>2</v>
      </c>
      <c r="S540" s="3" t="s">
        <v>52</v>
      </c>
      <c r="T540" s="3" t="s">
        <v>53</v>
      </c>
      <c r="U540" s="3" t="s">
        <v>54</v>
      </c>
      <c r="V540" s="7"/>
      <c r="W540" s="7"/>
      <c r="X540" s="7"/>
      <c r="Y540" s="7"/>
      <c r="Z540" s="3" t="s">
        <v>265</v>
      </c>
      <c r="AA540" s="3" t="s">
        <v>56</v>
      </c>
      <c r="AB540" s="3" t="s">
        <v>57</v>
      </c>
      <c r="AD540" s="3">
        <v>10.5</v>
      </c>
      <c r="AE540" s="3">
        <v>10.5</v>
      </c>
      <c r="AF540" s="12" t="s">
        <v>609</v>
      </c>
      <c r="AG540" s="12" t="s">
        <v>610</v>
      </c>
      <c r="AH540" s="3">
        <v>37.799999999999997</v>
      </c>
      <c r="AI540" s="3">
        <v>17.73</v>
      </c>
      <c r="AJ540" s="89">
        <f t="shared" si="16"/>
        <v>41.583333333333336</v>
      </c>
      <c r="AK540" s="3" t="s">
        <v>58</v>
      </c>
      <c r="AL540" s="3">
        <f t="shared" si="13"/>
        <v>49.9</v>
      </c>
      <c r="AN540" t="s">
        <v>5518</v>
      </c>
      <c r="AO540" s="82" t="s">
        <v>5642</v>
      </c>
    </row>
    <row r="541" spans="1:41" ht="14.25" customHeight="1" x14ac:dyDescent="0.3">
      <c r="A541" s="3" t="s">
        <v>573</v>
      </c>
      <c r="B541" s="3" t="s">
        <v>639</v>
      </c>
      <c r="C541" s="3" t="s">
        <v>575</v>
      </c>
      <c r="D541" s="3" t="s">
        <v>640</v>
      </c>
      <c r="E541" s="3" t="s">
        <v>577</v>
      </c>
      <c r="F541" s="3" t="s">
        <v>41</v>
      </c>
      <c r="G541" s="5" t="s">
        <v>42</v>
      </c>
      <c r="H541" s="5" t="s">
        <v>43</v>
      </c>
      <c r="I541" s="5" t="s">
        <v>44</v>
      </c>
      <c r="J541" s="3" t="s">
        <v>45</v>
      </c>
      <c r="K541" s="3" t="s">
        <v>578</v>
      </c>
      <c r="L541" s="3" t="s">
        <v>608</v>
      </c>
      <c r="M541" s="3" t="s">
        <v>262</v>
      </c>
      <c r="N541" s="4" t="s">
        <v>580</v>
      </c>
      <c r="O541" s="67" t="s">
        <v>580</v>
      </c>
      <c r="P541" s="3" t="s">
        <v>50</v>
      </c>
      <c r="Q541" s="3" t="s">
        <v>51</v>
      </c>
      <c r="R541" s="3">
        <v>2</v>
      </c>
      <c r="S541" s="3" t="s">
        <v>52</v>
      </c>
      <c r="T541" s="3" t="s">
        <v>53</v>
      </c>
      <c r="U541" s="3" t="s">
        <v>54</v>
      </c>
      <c r="V541" s="7"/>
      <c r="W541" s="7"/>
      <c r="X541" s="7"/>
      <c r="Y541" s="7"/>
      <c r="Z541" s="3" t="s">
        <v>265</v>
      </c>
      <c r="AA541" s="3" t="s">
        <v>56</v>
      </c>
      <c r="AB541" s="3" t="s">
        <v>57</v>
      </c>
      <c r="AD541" s="3">
        <v>10.5</v>
      </c>
      <c r="AE541" s="3">
        <v>10.5</v>
      </c>
      <c r="AF541" s="12" t="s">
        <v>609</v>
      </c>
      <c r="AG541" s="12" t="s">
        <v>610</v>
      </c>
      <c r="AH541" s="3">
        <v>37.799999999999997</v>
      </c>
      <c r="AI541" s="3">
        <v>17.73</v>
      </c>
      <c r="AJ541" s="89">
        <f t="shared" si="16"/>
        <v>41.583333333333336</v>
      </c>
      <c r="AK541" s="3" t="s">
        <v>58</v>
      </c>
      <c r="AL541" s="3">
        <f t="shared" si="13"/>
        <v>49.9</v>
      </c>
      <c r="AN541" t="s">
        <v>5518</v>
      </c>
      <c r="AO541" s="82" t="s">
        <v>5642</v>
      </c>
    </row>
    <row r="542" spans="1:41" ht="14.25" customHeight="1" x14ac:dyDescent="0.3">
      <c r="A542" s="3" t="s">
        <v>573</v>
      </c>
      <c r="B542" s="3" t="s">
        <v>574</v>
      </c>
      <c r="C542" s="3" t="s">
        <v>575</v>
      </c>
      <c r="D542" s="3" t="s">
        <v>576</v>
      </c>
      <c r="E542" s="3" t="s">
        <v>577</v>
      </c>
      <c r="F542" s="3" t="s">
        <v>41</v>
      </c>
      <c r="G542" s="5" t="s">
        <v>42</v>
      </c>
      <c r="H542" s="5" t="s">
        <v>43</v>
      </c>
      <c r="I542" s="5" t="s">
        <v>44</v>
      </c>
      <c r="J542" s="3" t="s">
        <v>45</v>
      </c>
      <c r="K542" s="3" t="s">
        <v>578</v>
      </c>
      <c r="L542" s="3" t="s">
        <v>579</v>
      </c>
      <c r="M542" s="3" t="s">
        <v>262</v>
      </c>
      <c r="N542" s="4" t="s">
        <v>580</v>
      </c>
      <c r="O542" s="67" t="s">
        <v>580</v>
      </c>
      <c r="P542" s="3" t="s">
        <v>50</v>
      </c>
      <c r="Q542" s="3" t="s">
        <v>51</v>
      </c>
      <c r="R542" s="3">
        <v>9</v>
      </c>
      <c r="S542" s="3" t="s">
        <v>52</v>
      </c>
      <c r="T542" s="3" t="s">
        <v>53</v>
      </c>
      <c r="U542" s="3" t="s">
        <v>54</v>
      </c>
      <c r="V542" s="7"/>
      <c r="W542" s="7"/>
      <c r="X542" s="7"/>
      <c r="Y542" s="7"/>
      <c r="Z542" s="3" t="s">
        <v>265</v>
      </c>
      <c r="AA542" s="3" t="s">
        <v>56</v>
      </c>
      <c r="AB542" s="3" t="s">
        <v>57</v>
      </c>
      <c r="AD542" s="9">
        <v>2.6344444444444446</v>
      </c>
      <c r="AE542" s="9">
        <v>2.6344444444444401</v>
      </c>
      <c r="AF542" s="12" t="s">
        <v>581</v>
      </c>
      <c r="AG542" s="12" t="s">
        <v>582</v>
      </c>
      <c r="AH542" s="3">
        <v>70.849999999999994</v>
      </c>
      <c r="AK542" s="3" t="s">
        <v>58</v>
      </c>
      <c r="AL542" s="3">
        <f t="shared" si="13"/>
        <v>0</v>
      </c>
      <c r="AN542" t="s">
        <v>5518</v>
      </c>
      <c r="AO542" s="82" t="s">
        <v>5642</v>
      </c>
    </row>
    <row r="543" spans="1:41" ht="14.25" customHeight="1" x14ac:dyDescent="0.3">
      <c r="A543" s="3" t="s">
        <v>1512</v>
      </c>
      <c r="B543" s="3" t="s">
        <v>1513</v>
      </c>
      <c r="C543" s="3" t="s">
        <v>1451</v>
      </c>
      <c r="D543" s="3" t="s">
        <v>1514</v>
      </c>
      <c r="E543" s="3" t="s">
        <v>1453</v>
      </c>
      <c r="F543" s="3" t="s">
        <v>41</v>
      </c>
      <c r="G543" s="5" t="s">
        <v>42</v>
      </c>
      <c r="H543" s="5" t="s">
        <v>43</v>
      </c>
      <c r="I543" s="5" t="s">
        <v>44</v>
      </c>
      <c r="J543" s="3" t="s">
        <v>45</v>
      </c>
      <c r="K543" s="3" t="s">
        <v>1276</v>
      </c>
      <c r="L543" s="3" t="s">
        <v>1281</v>
      </c>
      <c r="M543" s="3" t="s">
        <v>262</v>
      </c>
      <c r="N543" s="4" t="s">
        <v>1454</v>
      </c>
      <c r="O543" s="67" t="s">
        <v>1802</v>
      </c>
      <c r="P543" s="3" t="s">
        <v>50</v>
      </c>
      <c r="Q543" s="3" t="s">
        <v>68</v>
      </c>
      <c r="R543" s="3">
        <v>42</v>
      </c>
      <c r="S543" s="3" t="s">
        <v>52</v>
      </c>
      <c r="T543" s="3" t="s">
        <v>53</v>
      </c>
      <c r="U543" s="3" t="s">
        <v>281</v>
      </c>
      <c r="V543" s="7"/>
      <c r="W543" s="7"/>
      <c r="X543" s="7"/>
      <c r="Y543" s="7"/>
      <c r="Z543" s="3" t="s">
        <v>265</v>
      </c>
      <c r="AA543" s="3" t="s">
        <v>88</v>
      </c>
      <c r="AB543" s="3" t="s">
        <v>57</v>
      </c>
      <c r="AD543" s="3">
        <v>0.17857142857142858</v>
      </c>
      <c r="AE543" s="3">
        <v>0.17857142857142858</v>
      </c>
      <c r="AG543" s="3">
        <v>0.42</v>
      </c>
      <c r="AH543" s="3">
        <v>50.4</v>
      </c>
      <c r="AI543" s="3">
        <v>23</v>
      </c>
      <c r="AJ543" s="89">
        <f t="shared" ref="AJ543:AJ574" si="17">59.9/1.2</f>
        <v>49.916666666666664</v>
      </c>
      <c r="AK543" s="3" t="s">
        <v>58</v>
      </c>
      <c r="AL543" s="3">
        <f t="shared" ref="AL543:AL606" si="18">AJ543*1.2</f>
        <v>59.899999999999991</v>
      </c>
      <c r="AN543" t="s">
        <v>5518</v>
      </c>
      <c r="AO543" s="74" t="s">
        <v>5631</v>
      </c>
    </row>
    <row r="544" spans="1:41" ht="14.25" customHeight="1" x14ac:dyDescent="0.3">
      <c r="A544" s="3" t="s">
        <v>1512</v>
      </c>
      <c r="B544" s="3" t="s">
        <v>1515</v>
      </c>
      <c r="C544" s="3" t="s">
        <v>1451</v>
      </c>
      <c r="D544" s="3" t="s">
        <v>1516</v>
      </c>
      <c r="E544" s="3" t="s">
        <v>1453</v>
      </c>
      <c r="F544" s="3" t="s">
        <v>41</v>
      </c>
      <c r="G544" s="5" t="s">
        <v>42</v>
      </c>
      <c r="H544" s="5" t="s">
        <v>43</v>
      </c>
      <c r="I544" s="5" t="s">
        <v>44</v>
      </c>
      <c r="J544" s="3" t="s">
        <v>45</v>
      </c>
      <c r="K544" s="3" t="s">
        <v>1276</v>
      </c>
      <c r="L544" s="3" t="s">
        <v>1281</v>
      </c>
      <c r="M544" s="3" t="s">
        <v>262</v>
      </c>
      <c r="N544" s="4" t="s">
        <v>1454</v>
      </c>
      <c r="O544" s="67" t="s">
        <v>1802</v>
      </c>
      <c r="P544" s="3" t="s">
        <v>50</v>
      </c>
      <c r="Q544" s="3" t="s">
        <v>68</v>
      </c>
      <c r="R544" s="3">
        <v>42</v>
      </c>
      <c r="S544" s="3" t="s">
        <v>52</v>
      </c>
      <c r="T544" s="3" t="s">
        <v>53</v>
      </c>
      <c r="U544" s="3" t="s">
        <v>54</v>
      </c>
      <c r="V544" s="7"/>
      <c r="W544" s="7"/>
      <c r="X544" s="7"/>
      <c r="Y544" s="7"/>
      <c r="Z544" s="3" t="s">
        <v>265</v>
      </c>
      <c r="AA544" s="3" t="s">
        <v>88</v>
      </c>
      <c r="AB544" s="3" t="s">
        <v>57</v>
      </c>
      <c r="AD544" s="3">
        <v>0.17857142857142858</v>
      </c>
      <c r="AE544" s="3">
        <v>0.17857142857142858</v>
      </c>
      <c r="AG544" s="3">
        <v>0.42</v>
      </c>
      <c r="AH544" s="3">
        <v>50.4</v>
      </c>
      <c r="AI544" s="3">
        <v>23</v>
      </c>
      <c r="AJ544" s="89">
        <f t="shared" si="17"/>
        <v>49.916666666666664</v>
      </c>
      <c r="AK544" s="3" t="s">
        <v>58</v>
      </c>
      <c r="AL544" s="3">
        <f t="shared" si="18"/>
        <v>59.899999999999991</v>
      </c>
      <c r="AN544" t="s">
        <v>5518</v>
      </c>
      <c r="AO544" s="74" t="s">
        <v>5631</v>
      </c>
    </row>
    <row r="545" spans="1:41" ht="14.25" customHeight="1" x14ac:dyDescent="0.3">
      <c r="A545" s="3" t="s">
        <v>1512</v>
      </c>
      <c r="B545" s="3" t="s">
        <v>1517</v>
      </c>
      <c r="C545" s="3" t="s">
        <v>1451</v>
      </c>
      <c r="D545" s="3" t="s">
        <v>1518</v>
      </c>
      <c r="E545" s="3" t="s">
        <v>1453</v>
      </c>
      <c r="F545" s="3" t="s">
        <v>41</v>
      </c>
      <c r="G545" s="5" t="s">
        <v>42</v>
      </c>
      <c r="H545" s="5" t="s">
        <v>43</v>
      </c>
      <c r="I545" s="5" t="s">
        <v>44</v>
      </c>
      <c r="J545" s="3" t="s">
        <v>45</v>
      </c>
      <c r="K545" s="3" t="s">
        <v>1276</v>
      </c>
      <c r="L545" s="3" t="s">
        <v>1281</v>
      </c>
      <c r="M545" s="3" t="s">
        <v>262</v>
      </c>
      <c r="N545" s="4" t="s">
        <v>279</v>
      </c>
      <c r="O545" s="67" t="s">
        <v>279</v>
      </c>
      <c r="P545" s="3" t="s">
        <v>50</v>
      </c>
      <c r="Q545" s="3" t="s">
        <v>68</v>
      </c>
      <c r="R545" s="3">
        <v>42</v>
      </c>
      <c r="S545" s="3" t="s">
        <v>52</v>
      </c>
      <c r="T545" s="3" t="s">
        <v>53</v>
      </c>
      <c r="U545" s="3" t="s">
        <v>281</v>
      </c>
      <c r="V545" s="7"/>
      <c r="W545" s="7"/>
      <c r="X545" s="7"/>
      <c r="Y545" s="7"/>
      <c r="Z545" s="3" t="s">
        <v>265</v>
      </c>
      <c r="AA545" s="3" t="s">
        <v>88</v>
      </c>
      <c r="AB545" s="3" t="s">
        <v>57</v>
      </c>
      <c r="AD545" s="3">
        <v>0.17857142857142858</v>
      </c>
      <c r="AE545" s="3">
        <v>0.17857142857142858</v>
      </c>
      <c r="AG545" s="3">
        <v>0.42</v>
      </c>
      <c r="AH545" s="3">
        <v>50.4</v>
      </c>
      <c r="AI545" s="3">
        <v>23</v>
      </c>
      <c r="AJ545" s="89">
        <f t="shared" si="17"/>
        <v>49.916666666666664</v>
      </c>
      <c r="AK545" s="3" t="s">
        <v>58</v>
      </c>
      <c r="AL545" s="3">
        <f t="shared" si="18"/>
        <v>59.899999999999991</v>
      </c>
      <c r="AN545" t="s">
        <v>5518</v>
      </c>
      <c r="AO545" s="74" t="s">
        <v>5631</v>
      </c>
    </row>
    <row r="546" spans="1:41" ht="14.25" customHeight="1" x14ac:dyDescent="0.3">
      <c r="A546" s="3" t="s">
        <v>1512</v>
      </c>
      <c r="B546" s="3" t="s">
        <v>1519</v>
      </c>
      <c r="C546" s="3" t="s">
        <v>1451</v>
      </c>
      <c r="D546" s="3" t="s">
        <v>1520</v>
      </c>
      <c r="E546" s="3" t="s">
        <v>1453</v>
      </c>
      <c r="F546" s="3" t="s">
        <v>41</v>
      </c>
      <c r="G546" s="5" t="s">
        <v>42</v>
      </c>
      <c r="H546" s="5" t="s">
        <v>43</v>
      </c>
      <c r="I546" s="5" t="s">
        <v>44</v>
      </c>
      <c r="J546" s="3" t="s">
        <v>45</v>
      </c>
      <c r="K546" s="3" t="s">
        <v>1276</v>
      </c>
      <c r="L546" s="3" t="s">
        <v>1281</v>
      </c>
      <c r="M546" s="3" t="s">
        <v>262</v>
      </c>
      <c r="N546" s="4" t="s">
        <v>279</v>
      </c>
      <c r="O546" s="67" t="s">
        <v>279</v>
      </c>
      <c r="P546" s="3" t="s">
        <v>50</v>
      </c>
      <c r="Q546" s="3" t="s">
        <v>68</v>
      </c>
      <c r="R546" s="3">
        <v>42</v>
      </c>
      <c r="S546" s="3" t="s">
        <v>52</v>
      </c>
      <c r="T546" s="3" t="s">
        <v>53</v>
      </c>
      <c r="U546" s="3" t="s">
        <v>54</v>
      </c>
      <c r="V546" s="7"/>
      <c r="W546" s="7"/>
      <c r="X546" s="7"/>
      <c r="Y546" s="7"/>
      <c r="Z546" s="3" t="s">
        <v>265</v>
      </c>
      <c r="AA546" s="3" t="s">
        <v>88</v>
      </c>
      <c r="AB546" s="3" t="s">
        <v>57</v>
      </c>
      <c r="AD546" s="3">
        <v>0.17857142857142858</v>
      </c>
      <c r="AE546" s="3">
        <v>0.17857142857142858</v>
      </c>
      <c r="AG546" s="3">
        <v>0.42</v>
      </c>
      <c r="AH546" s="3">
        <v>50.4</v>
      </c>
      <c r="AI546" s="3">
        <v>23</v>
      </c>
      <c r="AJ546" s="89">
        <f t="shared" si="17"/>
        <v>49.916666666666664</v>
      </c>
      <c r="AK546" s="3" t="s">
        <v>58</v>
      </c>
      <c r="AL546" s="3">
        <f t="shared" si="18"/>
        <v>59.899999999999991</v>
      </c>
      <c r="AN546" t="s">
        <v>5518</v>
      </c>
      <c r="AO546" s="74" t="s">
        <v>5631</v>
      </c>
    </row>
    <row r="547" spans="1:41" ht="14.25" customHeight="1" x14ac:dyDescent="0.3">
      <c r="A547" s="3" t="s">
        <v>1512</v>
      </c>
      <c r="B547" s="3" t="s">
        <v>1521</v>
      </c>
      <c r="C547" s="3" t="s">
        <v>1451</v>
      </c>
      <c r="D547" s="3" t="s">
        <v>1522</v>
      </c>
      <c r="E547" s="3" t="s">
        <v>1453</v>
      </c>
      <c r="F547" s="3" t="s">
        <v>41</v>
      </c>
      <c r="G547" s="5" t="s">
        <v>42</v>
      </c>
      <c r="H547" s="5" t="s">
        <v>43</v>
      </c>
      <c r="I547" s="5" t="s">
        <v>44</v>
      </c>
      <c r="J547" s="3" t="s">
        <v>45</v>
      </c>
      <c r="K547" s="3" t="s">
        <v>1276</v>
      </c>
      <c r="L547" s="3" t="s">
        <v>1281</v>
      </c>
      <c r="M547" s="3" t="s">
        <v>262</v>
      </c>
      <c r="N547" s="4" t="s">
        <v>1463</v>
      </c>
      <c r="O547" s="67" t="s">
        <v>1463</v>
      </c>
      <c r="P547" s="3" t="s">
        <v>50</v>
      </c>
      <c r="Q547" s="3" t="s">
        <v>68</v>
      </c>
      <c r="R547" s="3">
        <v>42</v>
      </c>
      <c r="S547" s="3" t="s">
        <v>52</v>
      </c>
      <c r="T547" s="3" t="s">
        <v>53</v>
      </c>
      <c r="U547" s="3" t="s">
        <v>281</v>
      </c>
      <c r="V547" s="7"/>
      <c r="W547" s="7"/>
      <c r="X547" s="7"/>
      <c r="Y547" s="7"/>
      <c r="Z547" s="3" t="s">
        <v>265</v>
      </c>
      <c r="AA547" s="3" t="s">
        <v>88</v>
      </c>
      <c r="AB547" s="3" t="s">
        <v>57</v>
      </c>
      <c r="AD547" s="3">
        <v>0.17857142857142858</v>
      </c>
      <c r="AE547" s="3">
        <v>0.17857142857142858</v>
      </c>
      <c r="AG547" s="3">
        <v>0.42</v>
      </c>
      <c r="AH547" s="3">
        <v>50.4</v>
      </c>
      <c r="AI547" s="3">
        <v>23</v>
      </c>
      <c r="AJ547" s="89">
        <f t="shared" si="17"/>
        <v>49.916666666666664</v>
      </c>
      <c r="AK547" s="3" t="s">
        <v>58</v>
      </c>
      <c r="AL547" s="3">
        <f t="shared" si="18"/>
        <v>59.899999999999991</v>
      </c>
      <c r="AN547" t="s">
        <v>5518</v>
      </c>
      <c r="AO547" s="74" t="s">
        <v>5631</v>
      </c>
    </row>
    <row r="548" spans="1:41" ht="14.25" customHeight="1" x14ac:dyDescent="0.3">
      <c r="A548" s="3" t="s">
        <v>1512</v>
      </c>
      <c r="B548" s="3" t="s">
        <v>1523</v>
      </c>
      <c r="C548" s="3" t="s">
        <v>1451</v>
      </c>
      <c r="D548" s="3" t="s">
        <v>1524</v>
      </c>
      <c r="E548" s="3" t="s">
        <v>1453</v>
      </c>
      <c r="F548" s="3" t="s">
        <v>41</v>
      </c>
      <c r="G548" s="5" t="s">
        <v>42</v>
      </c>
      <c r="H548" s="5" t="s">
        <v>43</v>
      </c>
      <c r="I548" s="5" t="s">
        <v>44</v>
      </c>
      <c r="J548" s="3" t="s">
        <v>45</v>
      </c>
      <c r="K548" s="3" t="s">
        <v>1276</v>
      </c>
      <c r="L548" s="3" t="s">
        <v>1281</v>
      </c>
      <c r="M548" s="3" t="s">
        <v>262</v>
      </c>
      <c r="N548" s="4" t="s">
        <v>1463</v>
      </c>
      <c r="O548" s="67" t="s">
        <v>1463</v>
      </c>
      <c r="P548" s="3" t="s">
        <v>50</v>
      </c>
      <c r="Q548" s="3" t="s">
        <v>68</v>
      </c>
      <c r="R548" s="3">
        <v>42</v>
      </c>
      <c r="S548" s="3" t="s">
        <v>52</v>
      </c>
      <c r="T548" s="3" t="s">
        <v>53</v>
      </c>
      <c r="U548" s="3" t="s">
        <v>54</v>
      </c>
      <c r="V548" s="7"/>
      <c r="W548" s="7"/>
      <c r="X548" s="7"/>
      <c r="Y548" s="7"/>
      <c r="Z548" s="3" t="s">
        <v>265</v>
      </c>
      <c r="AA548" s="3" t="s">
        <v>88</v>
      </c>
      <c r="AB548" s="3" t="s">
        <v>57</v>
      </c>
      <c r="AD548" s="3">
        <v>0.17857142857142858</v>
      </c>
      <c r="AE548" s="3">
        <v>0.17857142857142858</v>
      </c>
      <c r="AG548" s="3">
        <v>0.42</v>
      </c>
      <c r="AH548" s="3">
        <v>50.4</v>
      </c>
      <c r="AI548" s="3">
        <v>23</v>
      </c>
      <c r="AJ548" s="89">
        <f t="shared" si="17"/>
        <v>49.916666666666664</v>
      </c>
      <c r="AK548" s="3" t="s">
        <v>58</v>
      </c>
      <c r="AL548" s="3">
        <f t="shared" si="18"/>
        <v>59.899999999999991</v>
      </c>
      <c r="AN548" t="s">
        <v>5518</v>
      </c>
      <c r="AO548" s="74" t="s">
        <v>5631</v>
      </c>
    </row>
    <row r="549" spans="1:41" ht="14.25" customHeight="1" x14ac:dyDescent="0.3">
      <c r="A549" s="3" t="s">
        <v>1512</v>
      </c>
      <c r="B549" s="3" t="s">
        <v>1525</v>
      </c>
      <c r="C549" s="3" t="s">
        <v>1451</v>
      </c>
      <c r="D549" s="3" t="s">
        <v>1526</v>
      </c>
      <c r="E549" s="3" t="s">
        <v>1453</v>
      </c>
      <c r="F549" s="3" t="s">
        <v>41</v>
      </c>
      <c r="G549" s="5" t="s">
        <v>42</v>
      </c>
      <c r="H549" s="5" t="s">
        <v>43</v>
      </c>
      <c r="I549" s="5" t="s">
        <v>44</v>
      </c>
      <c r="J549" s="3" t="s">
        <v>45</v>
      </c>
      <c r="K549" s="3" t="s">
        <v>1276</v>
      </c>
      <c r="L549" s="3" t="s">
        <v>1281</v>
      </c>
      <c r="M549" s="3" t="s">
        <v>262</v>
      </c>
      <c r="N549" s="4" t="s">
        <v>1468</v>
      </c>
      <c r="O549" s="67" t="s">
        <v>586</v>
      </c>
      <c r="P549" s="3" t="s">
        <v>50</v>
      </c>
      <c r="Q549" s="3" t="s">
        <v>68</v>
      </c>
      <c r="R549" s="3">
        <v>42</v>
      </c>
      <c r="S549" s="3" t="s">
        <v>52</v>
      </c>
      <c r="T549" s="3" t="s">
        <v>53</v>
      </c>
      <c r="U549" s="3" t="s">
        <v>281</v>
      </c>
      <c r="V549" s="7"/>
      <c r="W549" s="7"/>
      <c r="X549" s="7"/>
      <c r="Y549" s="7"/>
      <c r="Z549" s="3" t="s">
        <v>265</v>
      </c>
      <c r="AA549" s="3" t="s">
        <v>88</v>
      </c>
      <c r="AB549" s="3" t="s">
        <v>57</v>
      </c>
      <c r="AD549" s="3">
        <v>0.17857142857142858</v>
      </c>
      <c r="AE549" s="3">
        <v>0.17857142857142858</v>
      </c>
      <c r="AG549" s="3">
        <v>0.42</v>
      </c>
      <c r="AH549" s="3">
        <v>50.4</v>
      </c>
      <c r="AI549" s="3">
        <v>23</v>
      </c>
      <c r="AJ549" s="89">
        <f t="shared" si="17"/>
        <v>49.916666666666664</v>
      </c>
      <c r="AK549" s="3" t="s">
        <v>58</v>
      </c>
      <c r="AL549" s="3">
        <f t="shared" si="18"/>
        <v>59.899999999999991</v>
      </c>
      <c r="AN549" t="s">
        <v>5518</v>
      </c>
      <c r="AO549" s="74" t="s">
        <v>5631</v>
      </c>
    </row>
    <row r="550" spans="1:41" ht="14.25" customHeight="1" x14ac:dyDescent="0.3">
      <c r="A550" s="3" t="s">
        <v>1512</v>
      </c>
      <c r="B550" s="3" t="s">
        <v>1527</v>
      </c>
      <c r="C550" s="3" t="s">
        <v>1451</v>
      </c>
      <c r="D550" s="3" t="s">
        <v>1528</v>
      </c>
      <c r="E550" s="3" t="s">
        <v>1453</v>
      </c>
      <c r="F550" s="3" t="s">
        <v>41</v>
      </c>
      <c r="G550" s="5" t="s">
        <v>42</v>
      </c>
      <c r="H550" s="5" t="s">
        <v>43</v>
      </c>
      <c r="I550" s="5" t="s">
        <v>44</v>
      </c>
      <c r="J550" s="3" t="s">
        <v>45</v>
      </c>
      <c r="K550" s="3" t="s">
        <v>1276</v>
      </c>
      <c r="L550" s="3" t="s">
        <v>1281</v>
      </c>
      <c r="M550" s="3" t="s">
        <v>262</v>
      </c>
      <c r="N550" s="4" t="s">
        <v>1468</v>
      </c>
      <c r="O550" s="67" t="s">
        <v>586</v>
      </c>
      <c r="P550" s="3" t="s">
        <v>50</v>
      </c>
      <c r="Q550" s="3" t="s">
        <v>68</v>
      </c>
      <c r="R550" s="3">
        <v>42</v>
      </c>
      <c r="S550" s="3" t="s">
        <v>52</v>
      </c>
      <c r="T550" s="3" t="s">
        <v>53</v>
      </c>
      <c r="U550" s="3" t="s">
        <v>54</v>
      </c>
      <c r="V550" s="7"/>
      <c r="W550" s="7"/>
      <c r="X550" s="7"/>
      <c r="Y550" s="7"/>
      <c r="Z550" s="3" t="s">
        <v>265</v>
      </c>
      <c r="AA550" s="3" t="s">
        <v>88</v>
      </c>
      <c r="AB550" s="3" t="s">
        <v>57</v>
      </c>
      <c r="AD550" s="3">
        <v>0.17857142857142858</v>
      </c>
      <c r="AE550" s="3">
        <v>0.17857142857142858</v>
      </c>
      <c r="AG550" s="3">
        <v>0.42</v>
      </c>
      <c r="AH550" s="3">
        <v>50.4</v>
      </c>
      <c r="AI550" s="3">
        <v>23</v>
      </c>
      <c r="AJ550" s="89">
        <f t="shared" si="17"/>
        <v>49.916666666666664</v>
      </c>
      <c r="AK550" s="3" t="s">
        <v>58</v>
      </c>
      <c r="AL550" s="3">
        <f t="shared" si="18"/>
        <v>59.899999999999991</v>
      </c>
      <c r="AN550" t="s">
        <v>5518</v>
      </c>
      <c r="AO550" s="74" t="s">
        <v>5631</v>
      </c>
    </row>
    <row r="551" spans="1:41" ht="14.25" customHeight="1" x14ac:dyDescent="0.3">
      <c r="A551" s="3" t="s">
        <v>1512</v>
      </c>
      <c r="B551" s="3" t="s">
        <v>1529</v>
      </c>
      <c r="C551" s="3" t="s">
        <v>1451</v>
      </c>
      <c r="D551" s="3" t="s">
        <v>1530</v>
      </c>
      <c r="E551" s="3" t="s">
        <v>1453</v>
      </c>
      <c r="F551" s="3" t="s">
        <v>41</v>
      </c>
      <c r="G551" s="5" t="s">
        <v>42</v>
      </c>
      <c r="H551" s="5" t="s">
        <v>43</v>
      </c>
      <c r="I551" s="5" t="s">
        <v>44</v>
      </c>
      <c r="J551" s="3" t="s">
        <v>45</v>
      </c>
      <c r="K551" s="3" t="s">
        <v>1276</v>
      </c>
      <c r="L551" s="3" t="s">
        <v>1281</v>
      </c>
      <c r="M551" s="3" t="s">
        <v>262</v>
      </c>
      <c r="N551" s="4" t="s">
        <v>454</v>
      </c>
      <c r="O551" s="67" t="s">
        <v>454</v>
      </c>
      <c r="P551" s="3" t="s">
        <v>50</v>
      </c>
      <c r="Q551" s="3" t="s">
        <v>68</v>
      </c>
      <c r="R551" s="3">
        <v>42</v>
      </c>
      <c r="S551" s="3" t="s">
        <v>52</v>
      </c>
      <c r="T551" s="3" t="s">
        <v>53</v>
      </c>
      <c r="U551" s="3" t="s">
        <v>281</v>
      </c>
      <c r="V551" s="7"/>
      <c r="W551" s="7"/>
      <c r="X551" s="7"/>
      <c r="Y551" s="7"/>
      <c r="Z551" s="3" t="s">
        <v>265</v>
      </c>
      <c r="AA551" s="3" t="s">
        <v>88</v>
      </c>
      <c r="AB551" s="3" t="s">
        <v>57</v>
      </c>
      <c r="AD551" s="3">
        <v>0.17857142857142858</v>
      </c>
      <c r="AE551" s="3">
        <v>0.17857142857142858</v>
      </c>
      <c r="AG551" s="3">
        <v>0.42</v>
      </c>
      <c r="AH551" s="3">
        <v>50.4</v>
      </c>
      <c r="AI551" s="3">
        <v>23</v>
      </c>
      <c r="AJ551" s="89">
        <f t="shared" si="17"/>
        <v>49.916666666666664</v>
      </c>
      <c r="AK551" s="3" t="s">
        <v>58</v>
      </c>
      <c r="AL551" s="3">
        <f t="shared" si="18"/>
        <v>59.899999999999991</v>
      </c>
      <c r="AN551" t="s">
        <v>5518</v>
      </c>
      <c r="AO551" s="74" t="s">
        <v>5631</v>
      </c>
    </row>
    <row r="552" spans="1:41" ht="14.25" customHeight="1" x14ac:dyDescent="0.3">
      <c r="A552" s="3" t="s">
        <v>1512</v>
      </c>
      <c r="B552" s="3" t="s">
        <v>1531</v>
      </c>
      <c r="C552" s="3" t="s">
        <v>1451</v>
      </c>
      <c r="D552" s="3" t="s">
        <v>1532</v>
      </c>
      <c r="E552" s="3" t="s">
        <v>1453</v>
      </c>
      <c r="F552" s="3" t="s">
        <v>41</v>
      </c>
      <c r="G552" s="5" t="s">
        <v>42</v>
      </c>
      <c r="H552" s="5" t="s">
        <v>43</v>
      </c>
      <c r="I552" s="5" t="s">
        <v>44</v>
      </c>
      <c r="J552" s="3" t="s">
        <v>45</v>
      </c>
      <c r="K552" s="3" t="s">
        <v>1276</v>
      </c>
      <c r="L552" s="3" t="s">
        <v>1281</v>
      </c>
      <c r="M552" s="3" t="s">
        <v>262</v>
      </c>
      <c r="N552" s="4" t="s">
        <v>454</v>
      </c>
      <c r="O552" s="67" t="s">
        <v>454</v>
      </c>
      <c r="P552" s="3" t="s">
        <v>50</v>
      </c>
      <c r="Q552" s="3" t="s">
        <v>68</v>
      </c>
      <c r="R552" s="3">
        <v>42</v>
      </c>
      <c r="S552" s="3" t="s">
        <v>52</v>
      </c>
      <c r="T552" s="3" t="s">
        <v>53</v>
      </c>
      <c r="U552" s="3" t="s">
        <v>54</v>
      </c>
      <c r="V552" s="7"/>
      <c r="W552" s="7"/>
      <c r="X552" s="7"/>
      <c r="Y552" s="7"/>
      <c r="Z552" s="3" t="s">
        <v>265</v>
      </c>
      <c r="AA552" s="3" t="s">
        <v>88</v>
      </c>
      <c r="AB552" s="3" t="s">
        <v>57</v>
      </c>
      <c r="AD552" s="3">
        <v>0.17857142857142858</v>
      </c>
      <c r="AE552" s="3">
        <v>0.17857142857142858</v>
      </c>
      <c r="AG552" s="3">
        <v>0.42</v>
      </c>
      <c r="AH552" s="3">
        <v>50.4</v>
      </c>
      <c r="AI552" s="3">
        <v>23</v>
      </c>
      <c r="AJ552" s="89">
        <f t="shared" si="17"/>
        <v>49.916666666666664</v>
      </c>
      <c r="AK552" s="3" t="s">
        <v>58</v>
      </c>
      <c r="AL552" s="3">
        <f t="shared" si="18"/>
        <v>59.899999999999991</v>
      </c>
      <c r="AN552" t="s">
        <v>5518</v>
      </c>
      <c r="AO552" s="74" t="s">
        <v>5631</v>
      </c>
    </row>
    <row r="553" spans="1:41" ht="14.25" customHeight="1" x14ac:dyDescent="0.3">
      <c r="A553" s="3" t="s">
        <v>1512</v>
      </c>
      <c r="B553" s="3" t="s">
        <v>1533</v>
      </c>
      <c r="C553" s="3" t="s">
        <v>1451</v>
      </c>
      <c r="D553" s="3" t="s">
        <v>1534</v>
      </c>
      <c r="E553" s="3" t="s">
        <v>1453</v>
      </c>
      <c r="F553" s="3" t="s">
        <v>41</v>
      </c>
      <c r="G553" s="5" t="s">
        <v>42</v>
      </c>
      <c r="H553" s="5" t="s">
        <v>43</v>
      </c>
      <c r="I553" s="5" t="s">
        <v>44</v>
      </c>
      <c r="J553" s="3" t="s">
        <v>45</v>
      </c>
      <c r="K553" s="3" t="s">
        <v>1276</v>
      </c>
      <c r="L553" s="3" t="s">
        <v>1281</v>
      </c>
      <c r="M553" s="3" t="s">
        <v>262</v>
      </c>
      <c r="N553" s="4" t="s">
        <v>61</v>
      </c>
      <c r="O553" s="67" t="s">
        <v>61</v>
      </c>
      <c r="P553" s="3" t="s">
        <v>50</v>
      </c>
      <c r="Q553" s="3" t="s">
        <v>68</v>
      </c>
      <c r="R553" s="3">
        <v>42</v>
      </c>
      <c r="S553" s="3" t="s">
        <v>52</v>
      </c>
      <c r="T553" s="3" t="s">
        <v>53</v>
      </c>
      <c r="U553" s="3" t="s">
        <v>281</v>
      </c>
      <c r="V553" s="7"/>
      <c r="W553" s="7"/>
      <c r="X553" s="7"/>
      <c r="Y553" s="7"/>
      <c r="Z553" s="3" t="s">
        <v>265</v>
      </c>
      <c r="AA553" s="3" t="s">
        <v>88</v>
      </c>
      <c r="AB553" s="3" t="s">
        <v>57</v>
      </c>
      <c r="AD553" s="3">
        <v>0.17857142857142858</v>
      </c>
      <c r="AE553" s="3">
        <v>0.17857142857142858</v>
      </c>
      <c r="AG553" s="3">
        <v>0.42</v>
      </c>
      <c r="AH553" s="3">
        <v>50.4</v>
      </c>
      <c r="AI553" s="3">
        <v>23</v>
      </c>
      <c r="AJ553" s="89">
        <f t="shared" si="17"/>
        <v>49.916666666666664</v>
      </c>
      <c r="AK553" s="3" t="s">
        <v>58</v>
      </c>
      <c r="AL553" s="3">
        <f t="shared" si="18"/>
        <v>59.899999999999991</v>
      </c>
      <c r="AN553" t="s">
        <v>5518</v>
      </c>
      <c r="AO553" s="74" t="s">
        <v>5631</v>
      </c>
    </row>
    <row r="554" spans="1:41" ht="14.25" customHeight="1" x14ac:dyDescent="0.3">
      <c r="A554" s="3" t="s">
        <v>1512</v>
      </c>
      <c r="B554" s="3" t="s">
        <v>1535</v>
      </c>
      <c r="C554" s="3" t="s">
        <v>1451</v>
      </c>
      <c r="D554" s="3" t="s">
        <v>1536</v>
      </c>
      <c r="E554" s="3" t="s">
        <v>1453</v>
      </c>
      <c r="F554" s="3" t="s">
        <v>41</v>
      </c>
      <c r="G554" s="5" t="s">
        <v>42</v>
      </c>
      <c r="H554" s="5" t="s">
        <v>43</v>
      </c>
      <c r="I554" s="5" t="s">
        <v>44</v>
      </c>
      <c r="J554" s="3" t="s">
        <v>45</v>
      </c>
      <c r="K554" s="3" t="s">
        <v>1276</v>
      </c>
      <c r="L554" s="3" t="s">
        <v>1281</v>
      </c>
      <c r="M554" s="3" t="s">
        <v>262</v>
      </c>
      <c r="N554" s="4" t="s">
        <v>61</v>
      </c>
      <c r="O554" s="67" t="s">
        <v>61</v>
      </c>
      <c r="P554" s="3" t="s">
        <v>50</v>
      </c>
      <c r="Q554" s="3" t="s">
        <v>68</v>
      </c>
      <c r="R554" s="3">
        <v>42</v>
      </c>
      <c r="S554" s="3" t="s">
        <v>52</v>
      </c>
      <c r="T554" s="3" t="s">
        <v>53</v>
      </c>
      <c r="U554" s="3" t="s">
        <v>54</v>
      </c>
      <c r="V554" s="7"/>
      <c r="W554" s="7"/>
      <c r="X554" s="7"/>
      <c r="Y554" s="7"/>
      <c r="Z554" s="3" t="s">
        <v>265</v>
      </c>
      <c r="AA554" s="3" t="s">
        <v>88</v>
      </c>
      <c r="AB554" s="3" t="s">
        <v>57</v>
      </c>
      <c r="AD554" s="3">
        <v>0.17857142857142858</v>
      </c>
      <c r="AE554" s="3">
        <v>0.17857142857142858</v>
      </c>
      <c r="AG554" s="3">
        <v>0.42</v>
      </c>
      <c r="AH554" s="3">
        <v>50.4</v>
      </c>
      <c r="AI554" s="3">
        <v>23</v>
      </c>
      <c r="AJ554" s="89">
        <f t="shared" si="17"/>
        <v>49.916666666666664</v>
      </c>
      <c r="AK554" s="3" t="s">
        <v>58</v>
      </c>
      <c r="AL554" s="3">
        <f t="shared" si="18"/>
        <v>59.899999999999991</v>
      </c>
      <c r="AN554" t="s">
        <v>5518</v>
      </c>
      <c r="AO554" s="74" t="s">
        <v>5631</v>
      </c>
    </row>
    <row r="555" spans="1:41" ht="14.25" customHeight="1" x14ac:dyDescent="0.3">
      <c r="A555" s="3" t="s">
        <v>1512</v>
      </c>
      <c r="B555" s="3" t="s">
        <v>1537</v>
      </c>
      <c r="C555" s="3" t="s">
        <v>1451</v>
      </c>
      <c r="D555" s="3" t="s">
        <v>1538</v>
      </c>
      <c r="E555" s="3" t="s">
        <v>1453</v>
      </c>
      <c r="F555" s="3" t="s">
        <v>41</v>
      </c>
      <c r="G555" s="5" t="s">
        <v>42</v>
      </c>
      <c r="H555" s="5" t="s">
        <v>43</v>
      </c>
      <c r="I555" s="5" t="s">
        <v>44</v>
      </c>
      <c r="J555" s="3" t="s">
        <v>45</v>
      </c>
      <c r="K555" s="3" t="s">
        <v>1276</v>
      </c>
      <c r="L555" s="3" t="s">
        <v>1281</v>
      </c>
      <c r="M555" s="3" t="s">
        <v>262</v>
      </c>
      <c r="N555" s="4" t="s">
        <v>49</v>
      </c>
      <c r="O555" s="67" t="s">
        <v>49</v>
      </c>
      <c r="P555" s="3" t="s">
        <v>50</v>
      </c>
      <c r="Q555" s="3" t="s">
        <v>68</v>
      </c>
      <c r="R555" s="3">
        <v>42</v>
      </c>
      <c r="S555" s="3" t="s">
        <v>52</v>
      </c>
      <c r="T555" s="3" t="s">
        <v>53</v>
      </c>
      <c r="U555" s="3" t="s">
        <v>281</v>
      </c>
      <c r="V555" s="7"/>
      <c r="W555" s="7"/>
      <c r="X555" s="7"/>
      <c r="Y555" s="7"/>
      <c r="Z555" s="3" t="s">
        <v>265</v>
      </c>
      <c r="AA555" s="3" t="s">
        <v>88</v>
      </c>
      <c r="AB555" s="3" t="s">
        <v>57</v>
      </c>
      <c r="AD555" s="3">
        <v>0.17857142857142858</v>
      </c>
      <c r="AE555" s="3">
        <v>0.17857142857142858</v>
      </c>
      <c r="AG555" s="3">
        <v>0.42</v>
      </c>
      <c r="AH555" s="3">
        <v>50.4</v>
      </c>
      <c r="AI555" s="3">
        <v>23</v>
      </c>
      <c r="AJ555" s="89">
        <f t="shared" si="17"/>
        <v>49.916666666666664</v>
      </c>
      <c r="AK555" s="3" t="s">
        <v>58</v>
      </c>
      <c r="AL555" s="3">
        <f t="shared" si="18"/>
        <v>59.899999999999991</v>
      </c>
      <c r="AN555" t="s">
        <v>5518</v>
      </c>
      <c r="AO555" s="74" t="s">
        <v>5631</v>
      </c>
    </row>
    <row r="556" spans="1:41" ht="14.25" customHeight="1" x14ac:dyDescent="0.3">
      <c r="A556" s="3" t="s">
        <v>1512</v>
      </c>
      <c r="B556" s="3" t="s">
        <v>1539</v>
      </c>
      <c r="C556" s="3" t="s">
        <v>1451</v>
      </c>
      <c r="D556" s="3" t="s">
        <v>1540</v>
      </c>
      <c r="E556" s="3" t="s">
        <v>1453</v>
      </c>
      <c r="F556" s="3" t="s">
        <v>41</v>
      </c>
      <c r="G556" s="5" t="s">
        <v>42</v>
      </c>
      <c r="H556" s="5" t="s">
        <v>43</v>
      </c>
      <c r="I556" s="5" t="s">
        <v>44</v>
      </c>
      <c r="J556" s="3" t="s">
        <v>45</v>
      </c>
      <c r="K556" s="3" t="s">
        <v>1276</v>
      </c>
      <c r="L556" s="3" t="s">
        <v>1281</v>
      </c>
      <c r="M556" s="3" t="s">
        <v>262</v>
      </c>
      <c r="N556" s="4" t="s">
        <v>49</v>
      </c>
      <c r="O556" s="67" t="s">
        <v>49</v>
      </c>
      <c r="P556" s="3" t="s">
        <v>50</v>
      </c>
      <c r="Q556" s="3" t="s">
        <v>68</v>
      </c>
      <c r="R556" s="3">
        <v>42</v>
      </c>
      <c r="S556" s="3" t="s">
        <v>52</v>
      </c>
      <c r="T556" s="3" t="s">
        <v>53</v>
      </c>
      <c r="U556" s="3" t="s">
        <v>54</v>
      </c>
      <c r="V556" s="7"/>
      <c r="W556" s="7"/>
      <c r="X556" s="7"/>
      <c r="Y556" s="7"/>
      <c r="Z556" s="3" t="s">
        <v>265</v>
      </c>
      <c r="AA556" s="3" t="s">
        <v>88</v>
      </c>
      <c r="AB556" s="3" t="s">
        <v>57</v>
      </c>
      <c r="AD556" s="3">
        <v>0.17857142857142858</v>
      </c>
      <c r="AE556" s="3">
        <v>0.17857142857142858</v>
      </c>
      <c r="AG556" s="3">
        <v>0.42</v>
      </c>
      <c r="AH556" s="3">
        <v>50.4</v>
      </c>
      <c r="AI556" s="3">
        <v>23</v>
      </c>
      <c r="AJ556" s="89">
        <f t="shared" si="17"/>
        <v>49.916666666666664</v>
      </c>
      <c r="AK556" s="3" t="s">
        <v>58</v>
      </c>
      <c r="AL556" s="3">
        <f t="shared" si="18"/>
        <v>59.899999999999991</v>
      </c>
      <c r="AN556" t="s">
        <v>5518</v>
      </c>
      <c r="AO556" s="74" t="s">
        <v>5631</v>
      </c>
    </row>
    <row r="557" spans="1:41" ht="14.25" customHeight="1" x14ac:dyDescent="0.3">
      <c r="A557" s="3" t="s">
        <v>1483</v>
      </c>
      <c r="B557" s="3" t="s">
        <v>1484</v>
      </c>
      <c r="C557" s="3" t="s">
        <v>1451</v>
      </c>
      <c r="D557" s="3" t="s">
        <v>1485</v>
      </c>
      <c r="E557" s="3" t="s">
        <v>1453</v>
      </c>
      <c r="F557" s="3" t="s">
        <v>41</v>
      </c>
      <c r="G557" s="5" t="s">
        <v>42</v>
      </c>
      <c r="H557" s="5" t="s">
        <v>43</v>
      </c>
      <c r="I557" s="5" t="s">
        <v>44</v>
      </c>
      <c r="J557" s="3" t="s">
        <v>45</v>
      </c>
      <c r="K557" s="3" t="s">
        <v>1276</v>
      </c>
      <c r="L557" s="3" t="s">
        <v>1281</v>
      </c>
      <c r="M557" s="3" t="s">
        <v>262</v>
      </c>
      <c r="N557" s="4" t="s">
        <v>1454</v>
      </c>
      <c r="O557" s="67" t="s">
        <v>1802</v>
      </c>
      <c r="P557" s="3" t="s">
        <v>50</v>
      </c>
      <c r="Q557" s="3" t="s">
        <v>68</v>
      </c>
      <c r="R557" s="3">
        <v>42</v>
      </c>
      <c r="S557" s="3" t="s">
        <v>52</v>
      </c>
      <c r="T557" s="3" t="s">
        <v>53</v>
      </c>
      <c r="U557" s="3" t="s">
        <v>281</v>
      </c>
      <c r="V557" s="7"/>
      <c r="W557" s="7"/>
      <c r="X557" s="7"/>
      <c r="Y557" s="7"/>
      <c r="Z557" s="3" t="s">
        <v>265</v>
      </c>
      <c r="AA557" s="3" t="s">
        <v>88</v>
      </c>
      <c r="AB557" s="3" t="s">
        <v>57</v>
      </c>
      <c r="AD557" s="3">
        <v>0.17857142857142858</v>
      </c>
      <c r="AE557" s="3">
        <v>0.17857142857142858</v>
      </c>
      <c r="AG557" s="3">
        <v>0.42</v>
      </c>
      <c r="AH557" s="3">
        <v>50.4</v>
      </c>
      <c r="AI557" s="3">
        <v>23</v>
      </c>
      <c r="AJ557" s="89">
        <f t="shared" si="17"/>
        <v>49.916666666666664</v>
      </c>
      <c r="AK557" s="3" t="s">
        <v>58</v>
      </c>
      <c r="AL557" s="3">
        <f t="shared" si="18"/>
        <v>59.899999999999991</v>
      </c>
      <c r="AN557" t="s">
        <v>5518</v>
      </c>
      <c r="AO557" s="74" t="s">
        <v>5631</v>
      </c>
    </row>
    <row r="558" spans="1:41" ht="14.25" customHeight="1" x14ac:dyDescent="0.3">
      <c r="A558" s="3" t="s">
        <v>1483</v>
      </c>
      <c r="B558" s="3" t="s">
        <v>1486</v>
      </c>
      <c r="C558" s="3" t="s">
        <v>1451</v>
      </c>
      <c r="D558" s="3" t="s">
        <v>1487</v>
      </c>
      <c r="E558" s="3" t="s">
        <v>1453</v>
      </c>
      <c r="F558" s="3" t="s">
        <v>41</v>
      </c>
      <c r="G558" s="5" t="s">
        <v>42</v>
      </c>
      <c r="H558" s="5" t="s">
        <v>43</v>
      </c>
      <c r="I558" s="5" t="s">
        <v>44</v>
      </c>
      <c r="J558" s="3" t="s">
        <v>45</v>
      </c>
      <c r="K558" s="3" t="s">
        <v>1276</v>
      </c>
      <c r="L558" s="3" t="s">
        <v>1281</v>
      </c>
      <c r="M558" s="3" t="s">
        <v>262</v>
      </c>
      <c r="N558" s="4" t="s">
        <v>1454</v>
      </c>
      <c r="O558" s="67" t="s">
        <v>1802</v>
      </c>
      <c r="P558" s="3" t="s">
        <v>50</v>
      </c>
      <c r="Q558" s="3" t="s">
        <v>68</v>
      </c>
      <c r="R558" s="3">
        <v>42</v>
      </c>
      <c r="S558" s="3" t="s">
        <v>52</v>
      </c>
      <c r="T558" s="3" t="s">
        <v>53</v>
      </c>
      <c r="U558" s="3" t="s">
        <v>54</v>
      </c>
      <c r="V558" s="7"/>
      <c r="W558" s="7"/>
      <c r="X558" s="7"/>
      <c r="Y558" s="7"/>
      <c r="Z558" s="3" t="s">
        <v>265</v>
      </c>
      <c r="AA558" s="3" t="s">
        <v>88</v>
      </c>
      <c r="AB558" s="3" t="s">
        <v>57</v>
      </c>
      <c r="AD558" s="3">
        <v>0.17857142857142858</v>
      </c>
      <c r="AE558" s="3">
        <v>0.17857142857142858</v>
      </c>
      <c r="AG558" s="3">
        <v>0.42</v>
      </c>
      <c r="AH558" s="3">
        <v>50.4</v>
      </c>
      <c r="AI558" s="3">
        <v>23</v>
      </c>
      <c r="AJ558" s="89">
        <f t="shared" si="17"/>
        <v>49.916666666666664</v>
      </c>
      <c r="AK558" s="3" t="s">
        <v>58</v>
      </c>
      <c r="AL558" s="3">
        <f t="shared" si="18"/>
        <v>59.899999999999991</v>
      </c>
      <c r="AN558" t="s">
        <v>5518</v>
      </c>
      <c r="AO558" s="74" t="s">
        <v>5631</v>
      </c>
    </row>
    <row r="559" spans="1:41" ht="14.25" customHeight="1" x14ac:dyDescent="0.3">
      <c r="A559" s="3" t="s">
        <v>1483</v>
      </c>
      <c r="B559" s="3" t="s">
        <v>1488</v>
      </c>
      <c r="C559" s="3" t="s">
        <v>1451</v>
      </c>
      <c r="D559" s="3" t="s">
        <v>1489</v>
      </c>
      <c r="E559" s="3" t="s">
        <v>1453</v>
      </c>
      <c r="F559" s="3" t="s">
        <v>41</v>
      </c>
      <c r="G559" s="5" t="s">
        <v>42</v>
      </c>
      <c r="H559" s="5" t="s">
        <v>43</v>
      </c>
      <c r="I559" s="5" t="s">
        <v>44</v>
      </c>
      <c r="J559" s="3" t="s">
        <v>45</v>
      </c>
      <c r="K559" s="3" t="s">
        <v>1276</v>
      </c>
      <c r="L559" s="3" t="s">
        <v>1281</v>
      </c>
      <c r="M559" s="3" t="s">
        <v>262</v>
      </c>
      <c r="N559" s="4" t="s">
        <v>279</v>
      </c>
      <c r="O559" s="67" t="s">
        <v>279</v>
      </c>
      <c r="P559" s="3" t="s">
        <v>50</v>
      </c>
      <c r="Q559" s="3" t="s">
        <v>68</v>
      </c>
      <c r="R559" s="3">
        <v>42</v>
      </c>
      <c r="S559" s="3" t="s">
        <v>52</v>
      </c>
      <c r="T559" s="3" t="s">
        <v>53</v>
      </c>
      <c r="U559" s="3" t="s">
        <v>281</v>
      </c>
      <c r="V559" s="7"/>
      <c r="W559" s="7"/>
      <c r="X559" s="7"/>
      <c r="Y559" s="7"/>
      <c r="Z559" s="3" t="s">
        <v>265</v>
      </c>
      <c r="AA559" s="3" t="s">
        <v>88</v>
      </c>
      <c r="AB559" s="3" t="s">
        <v>57</v>
      </c>
      <c r="AD559" s="3">
        <v>0.17857142857142858</v>
      </c>
      <c r="AE559" s="3">
        <v>0.17857142857142858</v>
      </c>
      <c r="AG559" s="3">
        <v>0.42</v>
      </c>
      <c r="AH559" s="3">
        <v>50.4</v>
      </c>
      <c r="AI559" s="3">
        <v>23</v>
      </c>
      <c r="AJ559" s="89">
        <f t="shared" si="17"/>
        <v>49.916666666666664</v>
      </c>
      <c r="AK559" s="3" t="s">
        <v>58</v>
      </c>
      <c r="AL559" s="3">
        <f t="shared" si="18"/>
        <v>59.899999999999991</v>
      </c>
      <c r="AN559" t="s">
        <v>5518</v>
      </c>
      <c r="AO559" s="74" t="s">
        <v>5631</v>
      </c>
    </row>
    <row r="560" spans="1:41" ht="14.25" customHeight="1" x14ac:dyDescent="0.3">
      <c r="A560" s="3" t="s">
        <v>1483</v>
      </c>
      <c r="B560" s="3" t="s">
        <v>1490</v>
      </c>
      <c r="C560" s="3" t="s">
        <v>1451</v>
      </c>
      <c r="D560" s="3" t="s">
        <v>1491</v>
      </c>
      <c r="E560" s="3" t="s">
        <v>1453</v>
      </c>
      <c r="F560" s="3" t="s">
        <v>41</v>
      </c>
      <c r="G560" s="5" t="s">
        <v>42</v>
      </c>
      <c r="H560" s="5" t="s">
        <v>43</v>
      </c>
      <c r="I560" s="5" t="s">
        <v>44</v>
      </c>
      <c r="J560" s="3" t="s">
        <v>45</v>
      </c>
      <c r="K560" s="3" t="s">
        <v>1276</v>
      </c>
      <c r="L560" s="3" t="s">
        <v>1281</v>
      </c>
      <c r="M560" s="3" t="s">
        <v>262</v>
      </c>
      <c r="N560" s="4" t="s">
        <v>279</v>
      </c>
      <c r="O560" s="67" t="s">
        <v>279</v>
      </c>
      <c r="P560" s="3" t="s">
        <v>50</v>
      </c>
      <c r="Q560" s="3" t="s">
        <v>68</v>
      </c>
      <c r="R560" s="3">
        <v>42</v>
      </c>
      <c r="S560" s="3" t="s">
        <v>52</v>
      </c>
      <c r="T560" s="3" t="s">
        <v>53</v>
      </c>
      <c r="U560" s="3" t="s">
        <v>54</v>
      </c>
      <c r="V560" s="7"/>
      <c r="W560" s="7"/>
      <c r="X560" s="7"/>
      <c r="Y560" s="7"/>
      <c r="Z560" s="3" t="s">
        <v>265</v>
      </c>
      <c r="AA560" s="3" t="s">
        <v>88</v>
      </c>
      <c r="AB560" s="3" t="s">
        <v>57</v>
      </c>
      <c r="AD560" s="3">
        <v>0.17857142857142858</v>
      </c>
      <c r="AE560" s="3">
        <v>0.17857142857142858</v>
      </c>
      <c r="AG560" s="3">
        <v>0.42</v>
      </c>
      <c r="AH560" s="3">
        <v>50.4</v>
      </c>
      <c r="AI560" s="3">
        <v>23</v>
      </c>
      <c r="AJ560" s="89">
        <f t="shared" si="17"/>
        <v>49.916666666666664</v>
      </c>
      <c r="AK560" s="3" t="s">
        <v>58</v>
      </c>
      <c r="AL560" s="3">
        <f t="shared" si="18"/>
        <v>59.899999999999991</v>
      </c>
      <c r="AN560" t="s">
        <v>5518</v>
      </c>
      <c r="AO560" s="74" t="s">
        <v>5631</v>
      </c>
    </row>
    <row r="561" spans="1:41" ht="14.25" customHeight="1" x14ac:dyDescent="0.3">
      <c r="A561" s="3" t="s">
        <v>1483</v>
      </c>
      <c r="B561" s="3" t="s">
        <v>1492</v>
      </c>
      <c r="C561" s="3" t="s">
        <v>1451</v>
      </c>
      <c r="D561" s="3" t="s">
        <v>1493</v>
      </c>
      <c r="E561" s="3" t="s">
        <v>1453</v>
      </c>
      <c r="F561" s="3" t="s">
        <v>41</v>
      </c>
      <c r="G561" s="5" t="s">
        <v>42</v>
      </c>
      <c r="H561" s="5" t="s">
        <v>43</v>
      </c>
      <c r="I561" s="5" t="s">
        <v>44</v>
      </c>
      <c r="J561" s="3" t="s">
        <v>45</v>
      </c>
      <c r="K561" s="3" t="s">
        <v>1276</v>
      </c>
      <c r="L561" s="3" t="s">
        <v>1281</v>
      </c>
      <c r="M561" s="3" t="s">
        <v>262</v>
      </c>
      <c r="N561" s="4" t="s">
        <v>1463</v>
      </c>
      <c r="O561" s="67" t="s">
        <v>1463</v>
      </c>
      <c r="P561" s="3" t="s">
        <v>50</v>
      </c>
      <c r="Q561" s="3" t="s">
        <v>68</v>
      </c>
      <c r="R561" s="3">
        <v>42</v>
      </c>
      <c r="S561" s="3" t="s">
        <v>52</v>
      </c>
      <c r="T561" s="3" t="s">
        <v>53</v>
      </c>
      <c r="U561" s="3" t="s">
        <v>281</v>
      </c>
      <c r="V561" s="7"/>
      <c r="W561" s="7"/>
      <c r="X561" s="7"/>
      <c r="Y561" s="7"/>
      <c r="Z561" s="3" t="s">
        <v>265</v>
      </c>
      <c r="AA561" s="3" t="s">
        <v>88</v>
      </c>
      <c r="AB561" s="3" t="s">
        <v>57</v>
      </c>
      <c r="AD561" s="3">
        <v>0.17857142857142858</v>
      </c>
      <c r="AE561" s="3">
        <v>0.17857142857142858</v>
      </c>
      <c r="AG561" s="3">
        <v>0.42</v>
      </c>
      <c r="AH561" s="3">
        <v>50.4</v>
      </c>
      <c r="AI561" s="3">
        <v>23</v>
      </c>
      <c r="AJ561" s="89">
        <f t="shared" si="17"/>
        <v>49.916666666666664</v>
      </c>
      <c r="AK561" s="3" t="s">
        <v>58</v>
      </c>
      <c r="AL561" s="3">
        <f t="shared" si="18"/>
        <v>59.899999999999991</v>
      </c>
      <c r="AN561" t="s">
        <v>5518</v>
      </c>
      <c r="AO561" s="74" t="s">
        <v>5631</v>
      </c>
    </row>
    <row r="562" spans="1:41" ht="14.25" customHeight="1" x14ac:dyDescent="0.3">
      <c r="A562" s="3" t="s">
        <v>1483</v>
      </c>
      <c r="B562" s="3" t="s">
        <v>1494</v>
      </c>
      <c r="C562" s="3" t="s">
        <v>1451</v>
      </c>
      <c r="D562" s="3" t="s">
        <v>1495</v>
      </c>
      <c r="E562" s="3" t="s">
        <v>1453</v>
      </c>
      <c r="F562" s="3" t="s">
        <v>41</v>
      </c>
      <c r="G562" s="5" t="s">
        <v>42</v>
      </c>
      <c r="H562" s="5" t="s">
        <v>43</v>
      </c>
      <c r="I562" s="5" t="s">
        <v>44</v>
      </c>
      <c r="J562" s="3" t="s">
        <v>45</v>
      </c>
      <c r="K562" s="3" t="s">
        <v>1276</v>
      </c>
      <c r="L562" s="3" t="s">
        <v>1281</v>
      </c>
      <c r="M562" s="3" t="s">
        <v>262</v>
      </c>
      <c r="N562" s="4" t="s">
        <v>1463</v>
      </c>
      <c r="O562" s="67" t="s">
        <v>1463</v>
      </c>
      <c r="P562" s="3" t="s">
        <v>50</v>
      </c>
      <c r="Q562" s="3" t="s">
        <v>68</v>
      </c>
      <c r="R562" s="3">
        <v>42</v>
      </c>
      <c r="S562" s="3" t="s">
        <v>52</v>
      </c>
      <c r="T562" s="3" t="s">
        <v>53</v>
      </c>
      <c r="U562" s="3" t="s">
        <v>54</v>
      </c>
      <c r="V562" s="7"/>
      <c r="W562" s="7"/>
      <c r="X562" s="7"/>
      <c r="Y562" s="7"/>
      <c r="Z562" s="3" t="s">
        <v>265</v>
      </c>
      <c r="AA562" s="3" t="s">
        <v>88</v>
      </c>
      <c r="AB562" s="3" t="s">
        <v>57</v>
      </c>
      <c r="AD562" s="3">
        <v>0.17857142857142858</v>
      </c>
      <c r="AE562" s="3">
        <v>0.17857142857142858</v>
      </c>
      <c r="AG562" s="3">
        <v>0.42</v>
      </c>
      <c r="AH562" s="3">
        <v>50.4</v>
      </c>
      <c r="AI562" s="3">
        <v>23</v>
      </c>
      <c r="AJ562" s="89">
        <f t="shared" si="17"/>
        <v>49.916666666666664</v>
      </c>
      <c r="AK562" s="3" t="s">
        <v>58</v>
      </c>
      <c r="AL562" s="3">
        <f t="shared" si="18"/>
        <v>59.899999999999991</v>
      </c>
      <c r="AN562" t="s">
        <v>5518</v>
      </c>
      <c r="AO562" s="74" t="s">
        <v>5631</v>
      </c>
    </row>
    <row r="563" spans="1:41" ht="14.25" customHeight="1" x14ac:dyDescent="0.3">
      <c r="A563" s="3" t="s">
        <v>1483</v>
      </c>
      <c r="B563" s="3" t="s">
        <v>1496</v>
      </c>
      <c r="C563" s="3" t="s">
        <v>1451</v>
      </c>
      <c r="D563" s="3" t="s">
        <v>1497</v>
      </c>
      <c r="E563" s="3" t="s">
        <v>1453</v>
      </c>
      <c r="F563" s="3" t="s">
        <v>41</v>
      </c>
      <c r="G563" s="5" t="s">
        <v>42</v>
      </c>
      <c r="H563" s="5" t="s">
        <v>43</v>
      </c>
      <c r="I563" s="5" t="s">
        <v>44</v>
      </c>
      <c r="J563" s="3" t="s">
        <v>45</v>
      </c>
      <c r="K563" s="3" t="s">
        <v>1276</v>
      </c>
      <c r="L563" s="3" t="s">
        <v>1281</v>
      </c>
      <c r="M563" s="3" t="s">
        <v>262</v>
      </c>
      <c r="N563" s="4" t="s">
        <v>1468</v>
      </c>
      <c r="O563" s="67" t="s">
        <v>586</v>
      </c>
      <c r="P563" s="3" t="s">
        <v>50</v>
      </c>
      <c r="Q563" s="3" t="s">
        <v>68</v>
      </c>
      <c r="R563" s="3">
        <v>42</v>
      </c>
      <c r="S563" s="3" t="s">
        <v>52</v>
      </c>
      <c r="T563" s="3" t="s">
        <v>53</v>
      </c>
      <c r="U563" s="3" t="s">
        <v>281</v>
      </c>
      <c r="V563" s="7"/>
      <c r="W563" s="7"/>
      <c r="X563" s="7"/>
      <c r="Y563" s="7"/>
      <c r="Z563" s="3" t="s">
        <v>265</v>
      </c>
      <c r="AA563" s="3" t="s">
        <v>88</v>
      </c>
      <c r="AB563" s="3" t="s">
        <v>57</v>
      </c>
      <c r="AD563" s="3">
        <v>0.17857142857142858</v>
      </c>
      <c r="AE563" s="3">
        <v>0.17857142857142858</v>
      </c>
      <c r="AG563" s="3">
        <v>0.42</v>
      </c>
      <c r="AH563" s="3">
        <v>50.4</v>
      </c>
      <c r="AI563" s="3">
        <v>23</v>
      </c>
      <c r="AJ563" s="89">
        <f t="shared" si="17"/>
        <v>49.916666666666664</v>
      </c>
      <c r="AK563" s="3" t="s">
        <v>58</v>
      </c>
      <c r="AL563" s="3">
        <f t="shared" si="18"/>
        <v>59.899999999999991</v>
      </c>
      <c r="AN563" t="s">
        <v>5518</v>
      </c>
      <c r="AO563" s="74" t="s">
        <v>5631</v>
      </c>
    </row>
    <row r="564" spans="1:41" ht="14.25" customHeight="1" x14ac:dyDescent="0.3">
      <c r="A564" s="3" t="s">
        <v>1483</v>
      </c>
      <c r="B564" s="3" t="s">
        <v>1498</v>
      </c>
      <c r="C564" s="3" t="s">
        <v>1451</v>
      </c>
      <c r="D564" s="3" t="s">
        <v>1499</v>
      </c>
      <c r="E564" s="3" t="s">
        <v>1453</v>
      </c>
      <c r="F564" s="3" t="s">
        <v>41</v>
      </c>
      <c r="G564" s="5" t="s">
        <v>42</v>
      </c>
      <c r="H564" s="5" t="s">
        <v>43</v>
      </c>
      <c r="I564" s="5" t="s">
        <v>44</v>
      </c>
      <c r="J564" s="3" t="s">
        <v>45</v>
      </c>
      <c r="K564" s="3" t="s">
        <v>1276</v>
      </c>
      <c r="L564" s="3" t="s">
        <v>1281</v>
      </c>
      <c r="M564" s="3" t="s">
        <v>262</v>
      </c>
      <c r="N564" s="4" t="s">
        <v>1468</v>
      </c>
      <c r="O564" s="67" t="s">
        <v>586</v>
      </c>
      <c r="P564" s="3" t="s">
        <v>50</v>
      </c>
      <c r="Q564" s="3" t="s">
        <v>68</v>
      </c>
      <c r="R564" s="3">
        <v>42</v>
      </c>
      <c r="S564" s="3" t="s">
        <v>52</v>
      </c>
      <c r="T564" s="3" t="s">
        <v>53</v>
      </c>
      <c r="U564" s="3" t="s">
        <v>54</v>
      </c>
      <c r="V564" s="7"/>
      <c r="W564" s="7"/>
      <c r="X564" s="7"/>
      <c r="Y564" s="7"/>
      <c r="Z564" s="3" t="s">
        <v>265</v>
      </c>
      <c r="AA564" s="3" t="s">
        <v>88</v>
      </c>
      <c r="AB564" s="3" t="s">
        <v>57</v>
      </c>
      <c r="AD564" s="3">
        <v>0.17857142857142858</v>
      </c>
      <c r="AE564" s="3">
        <v>0.17857142857142858</v>
      </c>
      <c r="AG564" s="3">
        <v>0.42</v>
      </c>
      <c r="AH564" s="3">
        <v>50.4</v>
      </c>
      <c r="AI564" s="3">
        <v>23</v>
      </c>
      <c r="AJ564" s="89">
        <f t="shared" si="17"/>
        <v>49.916666666666664</v>
      </c>
      <c r="AK564" s="3" t="s">
        <v>58</v>
      </c>
      <c r="AL564" s="3">
        <f t="shared" si="18"/>
        <v>59.899999999999991</v>
      </c>
      <c r="AN564" t="s">
        <v>5518</v>
      </c>
      <c r="AO564" s="74" t="s">
        <v>5631</v>
      </c>
    </row>
    <row r="565" spans="1:41" ht="14.25" customHeight="1" x14ac:dyDescent="0.3">
      <c r="A565" s="3" t="s">
        <v>1483</v>
      </c>
      <c r="B565" s="3" t="s">
        <v>1500</v>
      </c>
      <c r="C565" s="3" t="s">
        <v>1451</v>
      </c>
      <c r="D565" s="3" t="s">
        <v>1501</v>
      </c>
      <c r="E565" s="3" t="s">
        <v>1453</v>
      </c>
      <c r="F565" s="3" t="s">
        <v>41</v>
      </c>
      <c r="G565" s="5" t="s">
        <v>42</v>
      </c>
      <c r="H565" s="5" t="s">
        <v>43</v>
      </c>
      <c r="I565" s="5" t="s">
        <v>44</v>
      </c>
      <c r="J565" s="3" t="s">
        <v>45</v>
      </c>
      <c r="K565" s="3" t="s">
        <v>1276</v>
      </c>
      <c r="L565" s="3" t="s">
        <v>1281</v>
      </c>
      <c r="M565" s="3" t="s">
        <v>262</v>
      </c>
      <c r="N565" s="4" t="s">
        <v>454</v>
      </c>
      <c r="O565" s="67" t="s">
        <v>454</v>
      </c>
      <c r="P565" s="3" t="s">
        <v>50</v>
      </c>
      <c r="Q565" s="3" t="s">
        <v>68</v>
      </c>
      <c r="R565" s="3">
        <v>42</v>
      </c>
      <c r="S565" s="3" t="s">
        <v>52</v>
      </c>
      <c r="T565" s="3" t="s">
        <v>53</v>
      </c>
      <c r="U565" s="3" t="s">
        <v>281</v>
      </c>
      <c r="V565" s="7"/>
      <c r="W565" s="7"/>
      <c r="X565" s="7"/>
      <c r="Y565" s="7"/>
      <c r="Z565" s="3" t="s">
        <v>265</v>
      </c>
      <c r="AA565" s="3" t="s">
        <v>88</v>
      </c>
      <c r="AB565" s="3" t="s">
        <v>57</v>
      </c>
      <c r="AD565" s="3">
        <v>0.17857142857142858</v>
      </c>
      <c r="AE565" s="3">
        <v>0.17857142857142858</v>
      </c>
      <c r="AG565" s="3">
        <v>0.42</v>
      </c>
      <c r="AH565" s="3">
        <v>50.4</v>
      </c>
      <c r="AI565" s="3">
        <v>23</v>
      </c>
      <c r="AJ565" s="89">
        <f t="shared" si="17"/>
        <v>49.916666666666664</v>
      </c>
      <c r="AK565" s="3" t="s">
        <v>58</v>
      </c>
      <c r="AL565" s="3">
        <f t="shared" si="18"/>
        <v>59.899999999999991</v>
      </c>
      <c r="AN565" t="s">
        <v>5518</v>
      </c>
      <c r="AO565" s="74" t="s">
        <v>5631</v>
      </c>
    </row>
    <row r="566" spans="1:41" ht="14.25" customHeight="1" x14ac:dyDescent="0.3">
      <c r="A566" s="3" t="s">
        <v>1483</v>
      </c>
      <c r="B566" s="3" t="s">
        <v>1502</v>
      </c>
      <c r="C566" s="3" t="s">
        <v>1451</v>
      </c>
      <c r="D566" s="3" t="s">
        <v>1503</v>
      </c>
      <c r="E566" s="3" t="s">
        <v>1453</v>
      </c>
      <c r="F566" s="3" t="s">
        <v>41</v>
      </c>
      <c r="G566" s="5" t="s">
        <v>42</v>
      </c>
      <c r="H566" s="5" t="s">
        <v>43</v>
      </c>
      <c r="I566" s="5" t="s">
        <v>44</v>
      </c>
      <c r="J566" s="3" t="s">
        <v>45</v>
      </c>
      <c r="K566" s="3" t="s">
        <v>1276</v>
      </c>
      <c r="L566" s="3" t="s">
        <v>1281</v>
      </c>
      <c r="M566" s="3" t="s">
        <v>262</v>
      </c>
      <c r="N566" s="4" t="s">
        <v>454</v>
      </c>
      <c r="O566" s="67" t="s">
        <v>454</v>
      </c>
      <c r="P566" s="3" t="s">
        <v>50</v>
      </c>
      <c r="Q566" s="3" t="s">
        <v>68</v>
      </c>
      <c r="R566" s="3">
        <v>42</v>
      </c>
      <c r="S566" s="3" t="s">
        <v>52</v>
      </c>
      <c r="T566" s="3" t="s">
        <v>53</v>
      </c>
      <c r="U566" s="3" t="s">
        <v>54</v>
      </c>
      <c r="V566" s="7"/>
      <c r="W566" s="7"/>
      <c r="X566" s="7"/>
      <c r="Y566" s="7"/>
      <c r="Z566" s="3" t="s">
        <v>265</v>
      </c>
      <c r="AA566" s="3" t="s">
        <v>88</v>
      </c>
      <c r="AB566" s="3" t="s">
        <v>57</v>
      </c>
      <c r="AD566" s="3">
        <v>0.17857142857142858</v>
      </c>
      <c r="AE566" s="3">
        <v>0.17857142857142858</v>
      </c>
      <c r="AG566" s="3">
        <v>0.42</v>
      </c>
      <c r="AH566" s="3">
        <v>50.4</v>
      </c>
      <c r="AI566" s="3">
        <v>23</v>
      </c>
      <c r="AJ566" s="89">
        <f t="shared" si="17"/>
        <v>49.916666666666664</v>
      </c>
      <c r="AK566" s="3" t="s">
        <v>58</v>
      </c>
      <c r="AL566" s="3">
        <f t="shared" si="18"/>
        <v>59.899999999999991</v>
      </c>
      <c r="AN566" t="s">
        <v>5518</v>
      </c>
      <c r="AO566" s="74" t="s">
        <v>5631</v>
      </c>
    </row>
    <row r="567" spans="1:41" ht="14.25" customHeight="1" x14ac:dyDescent="0.3">
      <c r="A567" s="3" t="s">
        <v>1483</v>
      </c>
      <c r="B567" s="3" t="s">
        <v>1504</v>
      </c>
      <c r="C567" s="3" t="s">
        <v>1451</v>
      </c>
      <c r="D567" s="3" t="s">
        <v>1505</v>
      </c>
      <c r="E567" s="3" t="s">
        <v>1453</v>
      </c>
      <c r="F567" s="3" t="s">
        <v>41</v>
      </c>
      <c r="G567" s="5" t="s">
        <v>42</v>
      </c>
      <c r="H567" s="5" t="s">
        <v>43</v>
      </c>
      <c r="I567" s="5" t="s">
        <v>44</v>
      </c>
      <c r="J567" s="3" t="s">
        <v>45</v>
      </c>
      <c r="K567" s="3" t="s">
        <v>1276</v>
      </c>
      <c r="L567" s="3" t="s">
        <v>1281</v>
      </c>
      <c r="M567" s="3" t="s">
        <v>262</v>
      </c>
      <c r="N567" s="4" t="s">
        <v>61</v>
      </c>
      <c r="O567" s="67" t="s">
        <v>61</v>
      </c>
      <c r="P567" s="3" t="s">
        <v>50</v>
      </c>
      <c r="Q567" s="3" t="s">
        <v>68</v>
      </c>
      <c r="R567" s="3">
        <v>42</v>
      </c>
      <c r="S567" s="3" t="s">
        <v>52</v>
      </c>
      <c r="T567" s="3" t="s">
        <v>53</v>
      </c>
      <c r="U567" s="3" t="s">
        <v>281</v>
      </c>
      <c r="V567" s="7"/>
      <c r="W567" s="7"/>
      <c r="X567" s="7"/>
      <c r="Y567" s="7"/>
      <c r="Z567" s="3" t="s">
        <v>265</v>
      </c>
      <c r="AA567" s="3" t="s">
        <v>88</v>
      </c>
      <c r="AB567" s="3" t="s">
        <v>57</v>
      </c>
      <c r="AD567" s="3">
        <v>0.17857142857142858</v>
      </c>
      <c r="AE567" s="3">
        <v>0.17857142857142858</v>
      </c>
      <c r="AG567" s="3">
        <v>0.42</v>
      </c>
      <c r="AH567" s="3">
        <v>50.4</v>
      </c>
      <c r="AI567" s="3">
        <v>23</v>
      </c>
      <c r="AJ567" s="89">
        <f t="shared" si="17"/>
        <v>49.916666666666664</v>
      </c>
      <c r="AK567" s="3" t="s">
        <v>58</v>
      </c>
      <c r="AL567" s="3">
        <f t="shared" si="18"/>
        <v>59.899999999999991</v>
      </c>
      <c r="AN567" t="s">
        <v>5518</v>
      </c>
      <c r="AO567" s="74" t="s">
        <v>5631</v>
      </c>
    </row>
    <row r="568" spans="1:41" ht="14.25" customHeight="1" x14ac:dyDescent="0.3">
      <c r="A568" s="3" t="s">
        <v>1483</v>
      </c>
      <c r="B568" s="3" t="s">
        <v>1506</v>
      </c>
      <c r="C568" s="3" t="s">
        <v>1451</v>
      </c>
      <c r="D568" s="3" t="s">
        <v>1507</v>
      </c>
      <c r="E568" s="3" t="s">
        <v>1453</v>
      </c>
      <c r="F568" s="3" t="s">
        <v>41</v>
      </c>
      <c r="G568" s="5" t="s">
        <v>42</v>
      </c>
      <c r="H568" s="5" t="s">
        <v>43</v>
      </c>
      <c r="I568" s="5" t="s">
        <v>44</v>
      </c>
      <c r="J568" s="3" t="s">
        <v>45</v>
      </c>
      <c r="K568" s="3" t="s">
        <v>1276</v>
      </c>
      <c r="L568" s="3" t="s">
        <v>1281</v>
      </c>
      <c r="M568" s="3" t="s">
        <v>262</v>
      </c>
      <c r="N568" s="4" t="s">
        <v>61</v>
      </c>
      <c r="O568" s="67" t="s">
        <v>61</v>
      </c>
      <c r="P568" s="3" t="s">
        <v>50</v>
      </c>
      <c r="Q568" s="3" t="s">
        <v>68</v>
      </c>
      <c r="R568" s="3">
        <v>42</v>
      </c>
      <c r="S568" s="3" t="s">
        <v>52</v>
      </c>
      <c r="T568" s="3" t="s">
        <v>53</v>
      </c>
      <c r="U568" s="3" t="s">
        <v>54</v>
      </c>
      <c r="V568" s="7"/>
      <c r="W568" s="7"/>
      <c r="X568" s="7"/>
      <c r="Y568" s="7"/>
      <c r="Z568" s="3" t="s">
        <v>265</v>
      </c>
      <c r="AA568" s="3" t="s">
        <v>88</v>
      </c>
      <c r="AB568" s="3" t="s">
        <v>57</v>
      </c>
      <c r="AD568" s="3">
        <v>0.17857142857142858</v>
      </c>
      <c r="AE568" s="3">
        <v>0.17857142857142858</v>
      </c>
      <c r="AG568" s="3">
        <v>0.42</v>
      </c>
      <c r="AH568" s="3">
        <v>50.4</v>
      </c>
      <c r="AI568" s="3">
        <v>23</v>
      </c>
      <c r="AJ568" s="89">
        <f t="shared" si="17"/>
        <v>49.916666666666664</v>
      </c>
      <c r="AK568" s="3" t="s">
        <v>58</v>
      </c>
      <c r="AL568" s="3">
        <f t="shared" si="18"/>
        <v>59.899999999999991</v>
      </c>
      <c r="AN568" t="s">
        <v>5518</v>
      </c>
      <c r="AO568" s="74" t="s">
        <v>5631</v>
      </c>
    </row>
    <row r="569" spans="1:41" ht="14.25" customHeight="1" x14ac:dyDescent="0.3">
      <c r="A569" s="3" t="s">
        <v>1483</v>
      </c>
      <c r="B569" s="3" t="s">
        <v>1508</v>
      </c>
      <c r="C569" s="3" t="s">
        <v>1451</v>
      </c>
      <c r="D569" s="3" t="s">
        <v>1509</v>
      </c>
      <c r="E569" s="3" t="s">
        <v>1453</v>
      </c>
      <c r="F569" s="3" t="s">
        <v>41</v>
      </c>
      <c r="G569" s="5" t="s">
        <v>42</v>
      </c>
      <c r="H569" s="5" t="s">
        <v>43</v>
      </c>
      <c r="I569" s="5" t="s">
        <v>44</v>
      </c>
      <c r="J569" s="3" t="s">
        <v>45</v>
      </c>
      <c r="K569" s="3" t="s">
        <v>1276</v>
      </c>
      <c r="L569" s="3" t="s">
        <v>1281</v>
      </c>
      <c r="M569" s="3" t="s">
        <v>262</v>
      </c>
      <c r="N569" s="4" t="s">
        <v>49</v>
      </c>
      <c r="O569" s="67" t="s">
        <v>49</v>
      </c>
      <c r="P569" s="3" t="s">
        <v>50</v>
      </c>
      <c r="Q569" s="3" t="s">
        <v>68</v>
      </c>
      <c r="R569" s="3">
        <v>42</v>
      </c>
      <c r="S569" s="3" t="s">
        <v>52</v>
      </c>
      <c r="T569" s="3" t="s">
        <v>53</v>
      </c>
      <c r="U569" s="3" t="s">
        <v>281</v>
      </c>
      <c r="V569" s="7"/>
      <c r="W569" s="7"/>
      <c r="X569" s="7"/>
      <c r="Y569" s="7"/>
      <c r="Z569" s="3" t="s">
        <v>265</v>
      </c>
      <c r="AA569" s="3" t="s">
        <v>88</v>
      </c>
      <c r="AB569" s="3" t="s">
        <v>57</v>
      </c>
      <c r="AD569" s="3">
        <v>0.17857142857142858</v>
      </c>
      <c r="AE569" s="3">
        <v>0.17857142857142858</v>
      </c>
      <c r="AG569" s="3">
        <v>0.42</v>
      </c>
      <c r="AH569" s="3">
        <v>50.4</v>
      </c>
      <c r="AI569" s="3">
        <v>23</v>
      </c>
      <c r="AJ569" s="89">
        <f t="shared" si="17"/>
        <v>49.916666666666664</v>
      </c>
      <c r="AK569" s="3" t="s">
        <v>58</v>
      </c>
      <c r="AL569" s="3">
        <f t="shared" si="18"/>
        <v>59.899999999999991</v>
      </c>
      <c r="AN569" t="s">
        <v>5518</v>
      </c>
      <c r="AO569" s="74" t="s">
        <v>5631</v>
      </c>
    </row>
    <row r="570" spans="1:41" ht="14.25" customHeight="1" x14ac:dyDescent="0.3">
      <c r="A570" s="3" t="s">
        <v>1483</v>
      </c>
      <c r="B570" s="3" t="s">
        <v>1510</v>
      </c>
      <c r="C570" s="3" t="s">
        <v>1451</v>
      </c>
      <c r="D570" s="3" t="s">
        <v>1511</v>
      </c>
      <c r="E570" s="3" t="s">
        <v>1453</v>
      </c>
      <c r="F570" s="3" t="s">
        <v>41</v>
      </c>
      <c r="G570" s="5" t="s">
        <v>42</v>
      </c>
      <c r="H570" s="5" t="s">
        <v>43</v>
      </c>
      <c r="I570" s="5" t="s">
        <v>44</v>
      </c>
      <c r="J570" s="3" t="s">
        <v>45</v>
      </c>
      <c r="K570" s="3" t="s">
        <v>1276</v>
      </c>
      <c r="L570" s="3" t="s">
        <v>1281</v>
      </c>
      <c r="M570" s="3" t="s">
        <v>262</v>
      </c>
      <c r="N570" s="4" t="s">
        <v>49</v>
      </c>
      <c r="O570" s="67" t="s">
        <v>49</v>
      </c>
      <c r="P570" s="3" t="s">
        <v>50</v>
      </c>
      <c r="Q570" s="3" t="s">
        <v>68</v>
      </c>
      <c r="R570" s="3">
        <v>42</v>
      </c>
      <c r="S570" s="3" t="s">
        <v>52</v>
      </c>
      <c r="T570" s="3" t="s">
        <v>53</v>
      </c>
      <c r="U570" s="3" t="s">
        <v>54</v>
      </c>
      <c r="V570" s="7"/>
      <c r="W570" s="7"/>
      <c r="X570" s="7"/>
      <c r="Y570" s="7"/>
      <c r="Z570" s="3" t="s">
        <v>265</v>
      </c>
      <c r="AA570" s="3" t="s">
        <v>88</v>
      </c>
      <c r="AB570" s="3" t="s">
        <v>57</v>
      </c>
      <c r="AD570" s="3">
        <v>0.17857142857142858</v>
      </c>
      <c r="AE570" s="3">
        <v>0.17857142857142858</v>
      </c>
      <c r="AG570" s="3">
        <v>0.42</v>
      </c>
      <c r="AH570" s="3">
        <v>50.4</v>
      </c>
      <c r="AI570" s="3">
        <v>23</v>
      </c>
      <c r="AJ570" s="89">
        <f t="shared" si="17"/>
        <v>49.916666666666664</v>
      </c>
      <c r="AK570" s="3" t="s">
        <v>58</v>
      </c>
      <c r="AL570" s="3">
        <f t="shared" si="18"/>
        <v>59.899999999999991</v>
      </c>
      <c r="AN570" t="s">
        <v>5518</v>
      </c>
      <c r="AO570" s="74" t="s">
        <v>5631</v>
      </c>
    </row>
    <row r="571" spans="1:41" ht="14.25" customHeight="1" x14ac:dyDescent="0.3">
      <c r="A571" s="3" t="s">
        <v>1449</v>
      </c>
      <c r="B571" s="3" t="s">
        <v>1450</v>
      </c>
      <c r="C571" s="3" t="s">
        <v>1451</v>
      </c>
      <c r="D571" s="3" t="s">
        <v>1452</v>
      </c>
      <c r="E571" s="3" t="s">
        <v>1453</v>
      </c>
      <c r="F571" s="3" t="s">
        <v>41</v>
      </c>
      <c r="G571" s="5" t="s">
        <v>42</v>
      </c>
      <c r="H571" s="5" t="s">
        <v>43</v>
      </c>
      <c r="I571" s="5" t="s">
        <v>44</v>
      </c>
      <c r="J571" s="3" t="s">
        <v>45</v>
      </c>
      <c r="K571" s="3" t="s">
        <v>1276</v>
      </c>
      <c r="L571" s="3" t="s">
        <v>1281</v>
      </c>
      <c r="M571" s="3" t="s">
        <v>262</v>
      </c>
      <c r="N571" s="4" t="s">
        <v>1454</v>
      </c>
      <c r="O571" s="67" t="s">
        <v>1802</v>
      </c>
      <c r="P571" s="3" t="s">
        <v>50</v>
      </c>
      <c r="Q571" s="3" t="s">
        <v>68</v>
      </c>
      <c r="R571" s="3">
        <v>50</v>
      </c>
      <c r="S571" s="3" t="s">
        <v>52</v>
      </c>
      <c r="T571" s="3" t="s">
        <v>53</v>
      </c>
      <c r="U571" s="3" t="s">
        <v>281</v>
      </c>
      <c r="V571" s="7"/>
      <c r="W571" s="7"/>
      <c r="X571" s="7"/>
      <c r="Y571" s="7"/>
      <c r="Z571" s="3" t="s">
        <v>265</v>
      </c>
      <c r="AA571" s="3" t="s">
        <v>88</v>
      </c>
      <c r="AB571" s="3" t="s">
        <v>57</v>
      </c>
      <c r="AD571" s="3">
        <v>0.1656</v>
      </c>
      <c r="AE571" s="3">
        <v>0.1656</v>
      </c>
      <c r="AG571" s="3">
        <v>0.5</v>
      </c>
      <c r="AH571" s="3">
        <v>60</v>
      </c>
      <c r="AI571" s="3">
        <v>23</v>
      </c>
      <c r="AJ571" s="89">
        <f t="shared" si="17"/>
        <v>49.916666666666664</v>
      </c>
      <c r="AK571" s="3" t="s">
        <v>58</v>
      </c>
      <c r="AL571" s="3">
        <f t="shared" si="18"/>
        <v>59.899999999999991</v>
      </c>
      <c r="AN571" t="s">
        <v>5518</v>
      </c>
      <c r="AO571" s="74" t="s">
        <v>5631</v>
      </c>
    </row>
    <row r="572" spans="1:41" ht="14.25" customHeight="1" x14ac:dyDescent="0.3">
      <c r="A572" s="3" t="s">
        <v>1449</v>
      </c>
      <c r="B572" s="3" t="s">
        <v>1455</v>
      </c>
      <c r="C572" s="3" t="s">
        <v>1451</v>
      </c>
      <c r="D572" s="3" t="s">
        <v>1456</v>
      </c>
      <c r="E572" s="3" t="s">
        <v>1453</v>
      </c>
      <c r="F572" s="3" t="s">
        <v>41</v>
      </c>
      <c r="G572" s="5" t="s">
        <v>42</v>
      </c>
      <c r="H572" s="5" t="s">
        <v>43</v>
      </c>
      <c r="I572" s="5" t="s">
        <v>44</v>
      </c>
      <c r="J572" s="3" t="s">
        <v>45</v>
      </c>
      <c r="K572" s="3" t="s">
        <v>1276</v>
      </c>
      <c r="L572" s="3" t="s">
        <v>1281</v>
      </c>
      <c r="M572" s="3" t="s">
        <v>262</v>
      </c>
      <c r="N572" s="4" t="s">
        <v>1454</v>
      </c>
      <c r="O572" s="67" t="s">
        <v>1802</v>
      </c>
      <c r="P572" s="3" t="s">
        <v>50</v>
      </c>
      <c r="Q572" s="3" t="s">
        <v>68</v>
      </c>
      <c r="R572" s="3">
        <v>50</v>
      </c>
      <c r="S572" s="3" t="s">
        <v>52</v>
      </c>
      <c r="T572" s="3" t="s">
        <v>53</v>
      </c>
      <c r="U572" s="3" t="s">
        <v>54</v>
      </c>
      <c r="V572" s="7"/>
      <c r="W572" s="7"/>
      <c r="X572" s="7"/>
      <c r="Y572" s="7"/>
      <c r="Z572" s="3" t="s">
        <v>265</v>
      </c>
      <c r="AA572" s="3" t="s">
        <v>88</v>
      </c>
      <c r="AB572" s="3" t="s">
        <v>57</v>
      </c>
      <c r="AD572" s="3">
        <v>0.1656</v>
      </c>
      <c r="AE572" s="3">
        <v>0.1656</v>
      </c>
      <c r="AG572" s="3">
        <v>0.5</v>
      </c>
      <c r="AH572" s="3">
        <v>60</v>
      </c>
      <c r="AI572" s="3">
        <v>23</v>
      </c>
      <c r="AJ572" s="89">
        <f t="shared" si="17"/>
        <v>49.916666666666664</v>
      </c>
      <c r="AK572" s="3" t="s">
        <v>58</v>
      </c>
      <c r="AL572" s="3">
        <f t="shared" si="18"/>
        <v>59.899999999999991</v>
      </c>
      <c r="AN572" t="s">
        <v>5518</v>
      </c>
      <c r="AO572" s="74" t="s">
        <v>5631</v>
      </c>
    </row>
    <row r="573" spans="1:41" ht="14.25" customHeight="1" x14ac:dyDescent="0.3">
      <c r="A573" s="3" t="s">
        <v>1449</v>
      </c>
      <c r="B573" s="3" t="s">
        <v>1457</v>
      </c>
      <c r="C573" s="3" t="s">
        <v>1451</v>
      </c>
      <c r="D573" s="3" t="s">
        <v>1458</v>
      </c>
      <c r="E573" s="3" t="s">
        <v>1453</v>
      </c>
      <c r="F573" s="3" t="s">
        <v>41</v>
      </c>
      <c r="G573" s="5" t="s">
        <v>42</v>
      </c>
      <c r="H573" s="5" t="s">
        <v>43</v>
      </c>
      <c r="I573" s="5" t="s">
        <v>44</v>
      </c>
      <c r="J573" s="3" t="s">
        <v>45</v>
      </c>
      <c r="K573" s="3" t="s">
        <v>1276</v>
      </c>
      <c r="L573" s="3" t="s">
        <v>1281</v>
      </c>
      <c r="M573" s="3" t="s">
        <v>262</v>
      </c>
      <c r="N573" s="4" t="s">
        <v>279</v>
      </c>
      <c r="O573" s="67" t="s">
        <v>279</v>
      </c>
      <c r="P573" s="3" t="s">
        <v>50</v>
      </c>
      <c r="Q573" s="3" t="s">
        <v>68</v>
      </c>
      <c r="R573" s="3">
        <v>50</v>
      </c>
      <c r="S573" s="3" t="s">
        <v>52</v>
      </c>
      <c r="T573" s="3" t="s">
        <v>53</v>
      </c>
      <c r="U573" s="3" t="s">
        <v>281</v>
      </c>
      <c r="V573" s="7"/>
      <c r="W573" s="7"/>
      <c r="X573" s="7"/>
      <c r="Y573" s="7"/>
      <c r="Z573" s="3" t="s">
        <v>265</v>
      </c>
      <c r="AA573" s="3" t="s">
        <v>88</v>
      </c>
      <c r="AB573" s="3" t="s">
        <v>57</v>
      </c>
      <c r="AD573" s="3">
        <v>0.1656</v>
      </c>
      <c r="AE573" s="3">
        <v>0.1656</v>
      </c>
      <c r="AG573" s="3">
        <v>0.5</v>
      </c>
      <c r="AH573" s="3">
        <v>60</v>
      </c>
      <c r="AI573" s="3">
        <v>23</v>
      </c>
      <c r="AJ573" s="89">
        <f t="shared" si="17"/>
        <v>49.916666666666664</v>
      </c>
      <c r="AK573" s="3" t="s">
        <v>58</v>
      </c>
      <c r="AL573" s="3">
        <f t="shared" si="18"/>
        <v>59.899999999999991</v>
      </c>
      <c r="AN573" t="s">
        <v>5518</v>
      </c>
      <c r="AO573" s="74" t="s">
        <v>5631</v>
      </c>
    </row>
    <row r="574" spans="1:41" ht="14.25" customHeight="1" x14ac:dyDescent="0.3">
      <c r="A574" s="3" t="s">
        <v>1449</v>
      </c>
      <c r="B574" s="3" t="s">
        <v>1459</v>
      </c>
      <c r="C574" s="3" t="s">
        <v>1451</v>
      </c>
      <c r="D574" s="3" t="s">
        <v>1460</v>
      </c>
      <c r="E574" s="3" t="s">
        <v>1453</v>
      </c>
      <c r="F574" s="3" t="s">
        <v>41</v>
      </c>
      <c r="G574" s="5" t="s">
        <v>42</v>
      </c>
      <c r="H574" s="5" t="s">
        <v>43</v>
      </c>
      <c r="I574" s="5" t="s">
        <v>44</v>
      </c>
      <c r="J574" s="3" t="s">
        <v>45</v>
      </c>
      <c r="K574" s="3" t="s">
        <v>1276</v>
      </c>
      <c r="L574" s="3" t="s">
        <v>1281</v>
      </c>
      <c r="M574" s="3" t="s">
        <v>262</v>
      </c>
      <c r="N574" s="4" t="s">
        <v>279</v>
      </c>
      <c r="O574" s="67" t="s">
        <v>279</v>
      </c>
      <c r="P574" s="3" t="s">
        <v>50</v>
      </c>
      <c r="Q574" s="3" t="s">
        <v>68</v>
      </c>
      <c r="R574" s="3">
        <v>50</v>
      </c>
      <c r="S574" s="3" t="s">
        <v>52</v>
      </c>
      <c r="T574" s="3" t="s">
        <v>53</v>
      </c>
      <c r="U574" s="3" t="s">
        <v>54</v>
      </c>
      <c r="V574" s="7"/>
      <c r="W574" s="7"/>
      <c r="X574" s="7"/>
      <c r="Y574" s="7"/>
      <c r="Z574" s="3" t="s">
        <v>265</v>
      </c>
      <c r="AA574" s="3" t="s">
        <v>88</v>
      </c>
      <c r="AB574" s="3" t="s">
        <v>57</v>
      </c>
      <c r="AD574" s="3">
        <v>0.1656</v>
      </c>
      <c r="AE574" s="3">
        <v>0.1656</v>
      </c>
      <c r="AG574" s="3">
        <v>0.5</v>
      </c>
      <c r="AH574" s="3">
        <v>60</v>
      </c>
      <c r="AI574" s="3">
        <v>23</v>
      </c>
      <c r="AJ574" s="89">
        <f t="shared" si="17"/>
        <v>49.916666666666664</v>
      </c>
      <c r="AK574" s="3" t="s">
        <v>58</v>
      </c>
      <c r="AL574" s="3">
        <f t="shared" si="18"/>
        <v>59.899999999999991</v>
      </c>
      <c r="AN574" t="s">
        <v>5518</v>
      </c>
      <c r="AO574" s="74" t="s">
        <v>5631</v>
      </c>
    </row>
    <row r="575" spans="1:41" ht="14.25" customHeight="1" x14ac:dyDescent="0.3">
      <c r="A575" s="3" t="s">
        <v>1449</v>
      </c>
      <c r="B575" s="3" t="s">
        <v>1461</v>
      </c>
      <c r="C575" s="3" t="s">
        <v>1451</v>
      </c>
      <c r="D575" s="3" t="s">
        <v>1462</v>
      </c>
      <c r="E575" s="3" t="s">
        <v>1453</v>
      </c>
      <c r="F575" s="3" t="s">
        <v>41</v>
      </c>
      <c r="G575" s="5" t="s">
        <v>42</v>
      </c>
      <c r="H575" s="5" t="s">
        <v>43</v>
      </c>
      <c r="I575" s="5" t="s">
        <v>44</v>
      </c>
      <c r="J575" s="3" t="s">
        <v>45</v>
      </c>
      <c r="K575" s="3" t="s">
        <v>1276</v>
      </c>
      <c r="L575" s="3" t="s">
        <v>1281</v>
      </c>
      <c r="M575" s="3" t="s">
        <v>262</v>
      </c>
      <c r="N575" s="4" t="s">
        <v>1463</v>
      </c>
      <c r="O575" s="67" t="s">
        <v>1463</v>
      </c>
      <c r="P575" s="3" t="s">
        <v>50</v>
      </c>
      <c r="Q575" s="3" t="s">
        <v>68</v>
      </c>
      <c r="R575" s="3">
        <v>50</v>
      </c>
      <c r="S575" s="3" t="s">
        <v>52</v>
      </c>
      <c r="T575" s="3" t="s">
        <v>53</v>
      </c>
      <c r="U575" s="3" t="s">
        <v>281</v>
      </c>
      <c r="V575" s="7"/>
      <c r="W575" s="7"/>
      <c r="X575" s="7"/>
      <c r="Y575" s="7"/>
      <c r="Z575" s="3" t="s">
        <v>265</v>
      </c>
      <c r="AA575" s="3" t="s">
        <v>88</v>
      </c>
      <c r="AB575" s="3" t="s">
        <v>57</v>
      </c>
      <c r="AD575" s="3">
        <v>0.1656</v>
      </c>
      <c r="AE575" s="3">
        <v>0.1656</v>
      </c>
      <c r="AG575" s="3">
        <v>0.5</v>
      </c>
      <c r="AH575" s="3">
        <v>60</v>
      </c>
      <c r="AI575" s="3">
        <v>23</v>
      </c>
      <c r="AJ575" s="89">
        <f t="shared" ref="AJ575:AJ606" si="19">59.9/1.2</f>
        <v>49.916666666666664</v>
      </c>
      <c r="AK575" s="3" t="s">
        <v>58</v>
      </c>
      <c r="AL575" s="3">
        <f t="shared" si="18"/>
        <v>59.899999999999991</v>
      </c>
      <c r="AN575" t="s">
        <v>5518</v>
      </c>
      <c r="AO575" s="74" t="s">
        <v>5631</v>
      </c>
    </row>
    <row r="576" spans="1:41" ht="14.25" customHeight="1" x14ac:dyDescent="0.3">
      <c r="A576" s="3" t="s">
        <v>1449</v>
      </c>
      <c r="B576" s="3" t="s">
        <v>1464</v>
      </c>
      <c r="C576" s="3" t="s">
        <v>1451</v>
      </c>
      <c r="D576" s="3" t="s">
        <v>1465</v>
      </c>
      <c r="E576" s="3" t="s">
        <v>1453</v>
      </c>
      <c r="F576" s="3" t="s">
        <v>41</v>
      </c>
      <c r="G576" s="5" t="s">
        <v>42</v>
      </c>
      <c r="H576" s="5" t="s">
        <v>43</v>
      </c>
      <c r="I576" s="5" t="s">
        <v>44</v>
      </c>
      <c r="J576" s="3" t="s">
        <v>45</v>
      </c>
      <c r="K576" s="3" t="s">
        <v>1276</v>
      </c>
      <c r="L576" s="3" t="s">
        <v>1281</v>
      </c>
      <c r="M576" s="3" t="s">
        <v>262</v>
      </c>
      <c r="N576" s="4" t="s">
        <v>1463</v>
      </c>
      <c r="O576" s="67" t="s">
        <v>1463</v>
      </c>
      <c r="P576" s="3" t="s">
        <v>50</v>
      </c>
      <c r="Q576" s="3" t="s">
        <v>68</v>
      </c>
      <c r="R576" s="3">
        <v>50</v>
      </c>
      <c r="S576" s="3" t="s">
        <v>52</v>
      </c>
      <c r="T576" s="3" t="s">
        <v>53</v>
      </c>
      <c r="U576" s="3" t="s">
        <v>54</v>
      </c>
      <c r="V576" s="7"/>
      <c r="W576" s="7"/>
      <c r="X576" s="7"/>
      <c r="Y576" s="7"/>
      <c r="Z576" s="3" t="s">
        <v>265</v>
      </c>
      <c r="AA576" s="3" t="s">
        <v>88</v>
      </c>
      <c r="AB576" s="3" t="s">
        <v>57</v>
      </c>
      <c r="AD576" s="3">
        <v>0.1656</v>
      </c>
      <c r="AE576" s="3">
        <v>0.1656</v>
      </c>
      <c r="AG576" s="3">
        <v>0.5</v>
      </c>
      <c r="AH576" s="3">
        <v>60</v>
      </c>
      <c r="AI576" s="3">
        <v>23</v>
      </c>
      <c r="AJ576" s="89">
        <f t="shared" si="19"/>
        <v>49.916666666666664</v>
      </c>
      <c r="AK576" s="3" t="s">
        <v>58</v>
      </c>
      <c r="AL576" s="3">
        <f t="shared" si="18"/>
        <v>59.899999999999991</v>
      </c>
      <c r="AN576" t="s">
        <v>5518</v>
      </c>
      <c r="AO576" s="74" t="s">
        <v>5631</v>
      </c>
    </row>
    <row r="577" spans="1:41" ht="14.25" customHeight="1" x14ac:dyDescent="0.3">
      <c r="A577" s="3" t="s">
        <v>1449</v>
      </c>
      <c r="B577" s="3" t="s">
        <v>1466</v>
      </c>
      <c r="C577" s="3" t="s">
        <v>1451</v>
      </c>
      <c r="D577" s="3" t="s">
        <v>1467</v>
      </c>
      <c r="E577" s="3" t="s">
        <v>1453</v>
      </c>
      <c r="F577" s="3" t="s">
        <v>41</v>
      </c>
      <c r="G577" s="5" t="s">
        <v>42</v>
      </c>
      <c r="H577" s="5" t="s">
        <v>43</v>
      </c>
      <c r="I577" s="5" t="s">
        <v>44</v>
      </c>
      <c r="J577" s="3" t="s">
        <v>45</v>
      </c>
      <c r="K577" s="3" t="s">
        <v>1276</v>
      </c>
      <c r="L577" s="3" t="s">
        <v>1281</v>
      </c>
      <c r="M577" s="3" t="s">
        <v>262</v>
      </c>
      <c r="N577" s="4" t="s">
        <v>1468</v>
      </c>
      <c r="O577" s="67" t="s">
        <v>586</v>
      </c>
      <c r="P577" s="3" t="s">
        <v>50</v>
      </c>
      <c r="Q577" s="3" t="s">
        <v>68</v>
      </c>
      <c r="R577" s="3">
        <v>50</v>
      </c>
      <c r="S577" s="3" t="s">
        <v>52</v>
      </c>
      <c r="T577" s="3" t="s">
        <v>53</v>
      </c>
      <c r="U577" s="3" t="s">
        <v>281</v>
      </c>
      <c r="V577" s="7"/>
      <c r="W577" s="7"/>
      <c r="X577" s="7"/>
      <c r="Y577" s="7"/>
      <c r="Z577" s="3" t="s">
        <v>265</v>
      </c>
      <c r="AA577" s="3" t="s">
        <v>88</v>
      </c>
      <c r="AB577" s="3" t="s">
        <v>57</v>
      </c>
      <c r="AD577" s="3">
        <v>0.1656</v>
      </c>
      <c r="AE577" s="3">
        <v>0.1656</v>
      </c>
      <c r="AG577" s="3">
        <v>0.5</v>
      </c>
      <c r="AH577" s="3">
        <v>60</v>
      </c>
      <c r="AI577" s="3">
        <v>23</v>
      </c>
      <c r="AJ577" s="89">
        <f t="shared" si="19"/>
        <v>49.916666666666664</v>
      </c>
      <c r="AK577" s="3" t="s">
        <v>58</v>
      </c>
      <c r="AL577" s="3">
        <f t="shared" si="18"/>
        <v>59.899999999999991</v>
      </c>
      <c r="AN577" t="s">
        <v>5518</v>
      </c>
      <c r="AO577" s="74" t="s">
        <v>5631</v>
      </c>
    </row>
    <row r="578" spans="1:41" ht="14.25" customHeight="1" x14ac:dyDescent="0.3">
      <c r="A578" s="3" t="s">
        <v>1449</v>
      </c>
      <c r="B578" s="3" t="s">
        <v>1469</v>
      </c>
      <c r="C578" s="3" t="s">
        <v>1451</v>
      </c>
      <c r="D578" s="3" t="s">
        <v>1470</v>
      </c>
      <c r="E578" s="3" t="s">
        <v>1453</v>
      </c>
      <c r="F578" s="3" t="s">
        <v>41</v>
      </c>
      <c r="G578" s="5" t="s">
        <v>42</v>
      </c>
      <c r="H578" s="5" t="s">
        <v>43</v>
      </c>
      <c r="I578" s="5" t="s">
        <v>44</v>
      </c>
      <c r="J578" s="3" t="s">
        <v>45</v>
      </c>
      <c r="K578" s="3" t="s">
        <v>1276</v>
      </c>
      <c r="L578" s="3" t="s">
        <v>1281</v>
      </c>
      <c r="M578" s="3" t="s">
        <v>262</v>
      </c>
      <c r="N578" s="4" t="s">
        <v>1468</v>
      </c>
      <c r="O578" s="68" t="s">
        <v>586</v>
      </c>
      <c r="P578" s="3" t="s">
        <v>50</v>
      </c>
      <c r="Q578" s="3" t="s">
        <v>68</v>
      </c>
      <c r="R578" s="3">
        <v>50</v>
      </c>
      <c r="S578" s="3" t="s">
        <v>52</v>
      </c>
      <c r="T578" s="3" t="s">
        <v>53</v>
      </c>
      <c r="U578" s="3" t="s">
        <v>54</v>
      </c>
      <c r="V578" s="7"/>
      <c r="W578" s="7"/>
      <c r="X578" s="7"/>
      <c r="Y578" s="7"/>
      <c r="Z578" s="3" t="s">
        <v>265</v>
      </c>
      <c r="AA578" s="3" t="s">
        <v>88</v>
      </c>
      <c r="AB578" s="3" t="s">
        <v>57</v>
      </c>
      <c r="AD578" s="3">
        <v>0.1656</v>
      </c>
      <c r="AE578" s="3">
        <v>0.1656</v>
      </c>
      <c r="AG578" s="3">
        <v>0.5</v>
      </c>
      <c r="AH578" s="3">
        <v>60</v>
      </c>
      <c r="AI578" s="3">
        <v>23</v>
      </c>
      <c r="AJ578" s="89">
        <f t="shared" si="19"/>
        <v>49.916666666666664</v>
      </c>
      <c r="AK578" s="3" t="s">
        <v>58</v>
      </c>
      <c r="AL578" s="3">
        <f t="shared" si="18"/>
        <v>59.899999999999991</v>
      </c>
      <c r="AN578" t="s">
        <v>5518</v>
      </c>
      <c r="AO578" s="74" t="s">
        <v>5631</v>
      </c>
    </row>
    <row r="579" spans="1:41" ht="14.25" customHeight="1" x14ac:dyDescent="0.3">
      <c r="A579" s="3" t="s">
        <v>1449</v>
      </c>
      <c r="B579" s="3" t="s">
        <v>1471</v>
      </c>
      <c r="C579" s="3" t="s">
        <v>1451</v>
      </c>
      <c r="D579" s="3" t="s">
        <v>1472</v>
      </c>
      <c r="E579" s="3" t="s">
        <v>1453</v>
      </c>
      <c r="F579" s="3" t="s">
        <v>41</v>
      </c>
      <c r="G579" s="5" t="s">
        <v>42</v>
      </c>
      <c r="H579" s="5" t="s">
        <v>43</v>
      </c>
      <c r="I579" s="5" t="s">
        <v>44</v>
      </c>
      <c r="J579" s="3" t="s">
        <v>45</v>
      </c>
      <c r="K579" s="64" t="s">
        <v>1276</v>
      </c>
      <c r="L579" s="3" t="s">
        <v>1281</v>
      </c>
      <c r="M579" s="3" t="s">
        <v>262</v>
      </c>
      <c r="N579" s="4" t="s">
        <v>454</v>
      </c>
      <c r="O579" s="67" t="s">
        <v>454</v>
      </c>
      <c r="P579" s="3" t="s">
        <v>50</v>
      </c>
      <c r="Q579" s="3" t="s">
        <v>68</v>
      </c>
      <c r="R579" s="3">
        <v>50</v>
      </c>
      <c r="S579" s="3" t="s">
        <v>52</v>
      </c>
      <c r="T579" s="3" t="s">
        <v>53</v>
      </c>
      <c r="U579" s="3" t="s">
        <v>281</v>
      </c>
      <c r="V579" s="7"/>
      <c r="W579" s="7"/>
      <c r="X579" s="7"/>
      <c r="Y579" s="7"/>
      <c r="Z579" s="3" t="s">
        <v>265</v>
      </c>
      <c r="AA579" s="3" t="s">
        <v>88</v>
      </c>
      <c r="AB579" s="3" t="s">
        <v>57</v>
      </c>
      <c r="AD579" s="3">
        <v>0.1656</v>
      </c>
      <c r="AE579" s="3">
        <v>0.1656</v>
      </c>
      <c r="AG579" s="3">
        <v>0.5</v>
      </c>
      <c r="AH579" s="3">
        <v>60</v>
      </c>
      <c r="AI579" s="3">
        <v>23</v>
      </c>
      <c r="AJ579" s="89">
        <f t="shared" si="19"/>
        <v>49.916666666666664</v>
      </c>
      <c r="AK579" s="3" t="s">
        <v>58</v>
      </c>
      <c r="AL579" s="3">
        <f t="shared" si="18"/>
        <v>59.899999999999991</v>
      </c>
      <c r="AN579" t="s">
        <v>5518</v>
      </c>
      <c r="AO579" s="74" t="s">
        <v>5631</v>
      </c>
    </row>
    <row r="580" spans="1:41" ht="14.25" customHeight="1" x14ac:dyDescent="0.3">
      <c r="A580" s="3" t="s">
        <v>1449</v>
      </c>
      <c r="B580" s="3" t="s">
        <v>1473</v>
      </c>
      <c r="C580" s="3" t="s">
        <v>1451</v>
      </c>
      <c r="D580" s="3" t="s">
        <v>1474</v>
      </c>
      <c r="E580" s="3" t="s">
        <v>1453</v>
      </c>
      <c r="F580" s="3" t="s">
        <v>41</v>
      </c>
      <c r="G580" s="5" t="s">
        <v>42</v>
      </c>
      <c r="H580" s="5" t="s">
        <v>43</v>
      </c>
      <c r="I580" s="5" t="s">
        <v>44</v>
      </c>
      <c r="J580" s="3" t="s">
        <v>45</v>
      </c>
      <c r="K580" s="3" t="s">
        <v>1276</v>
      </c>
      <c r="L580" s="3" t="s">
        <v>1281</v>
      </c>
      <c r="M580" s="3" t="s">
        <v>262</v>
      </c>
      <c r="N580" s="4" t="s">
        <v>454</v>
      </c>
      <c r="O580" s="67" t="s">
        <v>454</v>
      </c>
      <c r="P580" s="3" t="s">
        <v>50</v>
      </c>
      <c r="Q580" s="3" t="s">
        <v>68</v>
      </c>
      <c r="R580" s="3">
        <v>50</v>
      </c>
      <c r="S580" s="3" t="s">
        <v>52</v>
      </c>
      <c r="T580" s="3" t="s">
        <v>53</v>
      </c>
      <c r="U580" s="3" t="s">
        <v>54</v>
      </c>
      <c r="V580" s="7"/>
      <c r="W580" s="7"/>
      <c r="X580" s="7"/>
      <c r="Y580" s="7"/>
      <c r="Z580" s="3" t="s">
        <v>265</v>
      </c>
      <c r="AA580" s="3" t="s">
        <v>88</v>
      </c>
      <c r="AB580" s="3" t="s">
        <v>57</v>
      </c>
      <c r="AD580" s="3">
        <v>0.1656</v>
      </c>
      <c r="AE580" s="3">
        <v>0.1656</v>
      </c>
      <c r="AG580" s="3">
        <v>0.5</v>
      </c>
      <c r="AH580" s="3">
        <v>60</v>
      </c>
      <c r="AI580" s="3">
        <v>23</v>
      </c>
      <c r="AJ580" s="89">
        <f t="shared" si="19"/>
        <v>49.916666666666664</v>
      </c>
      <c r="AK580" s="3" t="s">
        <v>58</v>
      </c>
      <c r="AL580" s="3">
        <f t="shared" si="18"/>
        <v>59.899999999999991</v>
      </c>
      <c r="AN580" t="s">
        <v>5518</v>
      </c>
      <c r="AO580" s="74" t="s">
        <v>5631</v>
      </c>
    </row>
    <row r="581" spans="1:41" ht="14.25" customHeight="1" x14ac:dyDescent="0.3">
      <c r="A581" s="3" t="s">
        <v>1449</v>
      </c>
      <c r="B581" s="3" t="s">
        <v>1475</v>
      </c>
      <c r="C581" s="3" t="s">
        <v>1451</v>
      </c>
      <c r="D581" s="3" t="s">
        <v>1476</v>
      </c>
      <c r="E581" s="3" t="s">
        <v>1453</v>
      </c>
      <c r="F581" s="3" t="s">
        <v>41</v>
      </c>
      <c r="G581" s="5" t="s">
        <v>42</v>
      </c>
      <c r="H581" s="5" t="s">
        <v>43</v>
      </c>
      <c r="I581" s="5" t="s">
        <v>44</v>
      </c>
      <c r="J581" s="3" t="s">
        <v>45</v>
      </c>
      <c r="K581" s="3" t="s">
        <v>1276</v>
      </c>
      <c r="L581" s="3" t="s">
        <v>1281</v>
      </c>
      <c r="M581" s="3" t="s">
        <v>262</v>
      </c>
      <c r="N581" s="4" t="s">
        <v>61</v>
      </c>
      <c r="O581" s="67" t="s">
        <v>61</v>
      </c>
      <c r="P581" s="3" t="s">
        <v>50</v>
      </c>
      <c r="Q581" s="3" t="s">
        <v>68</v>
      </c>
      <c r="R581" s="3">
        <v>50</v>
      </c>
      <c r="S581" s="3" t="s">
        <v>52</v>
      </c>
      <c r="T581" s="3" t="s">
        <v>53</v>
      </c>
      <c r="U581" s="3" t="s">
        <v>281</v>
      </c>
      <c r="V581" s="7"/>
      <c r="W581" s="7"/>
      <c r="X581" s="7"/>
      <c r="Y581" s="7"/>
      <c r="Z581" s="3" t="s">
        <v>265</v>
      </c>
      <c r="AA581" s="3" t="s">
        <v>88</v>
      </c>
      <c r="AB581" s="3" t="s">
        <v>57</v>
      </c>
      <c r="AD581" s="3">
        <v>0.1656</v>
      </c>
      <c r="AE581" s="3">
        <v>0.1656</v>
      </c>
      <c r="AG581" s="3">
        <v>0.5</v>
      </c>
      <c r="AH581" s="3">
        <v>60</v>
      </c>
      <c r="AI581" s="3">
        <v>23</v>
      </c>
      <c r="AJ581" s="89">
        <f t="shared" si="19"/>
        <v>49.916666666666664</v>
      </c>
      <c r="AK581" s="3" t="s">
        <v>58</v>
      </c>
      <c r="AL581" s="3">
        <f t="shared" si="18"/>
        <v>59.899999999999991</v>
      </c>
      <c r="AN581" t="s">
        <v>5518</v>
      </c>
      <c r="AO581" s="74" t="s">
        <v>5631</v>
      </c>
    </row>
    <row r="582" spans="1:41" ht="14.25" customHeight="1" x14ac:dyDescent="0.3">
      <c r="A582" s="3" t="s">
        <v>1449</v>
      </c>
      <c r="B582" s="3" t="s">
        <v>1477</v>
      </c>
      <c r="C582" s="3" t="s">
        <v>1451</v>
      </c>
      <c r="D582" s="3" t="s">
        <v>1478</v>
      </c>
      <c r="E582" s="3" t="s">
        <v>1453</v>
      </c>
      <c r="F582" s="3" t="s">
        <v>41</v>
      </c>
      <c r="G582" s="5" t="s">
        <v>42</v>
      </c>
      <c r="H582" s="5" t="s">
        <v>43</v>
      </c>
      <c r="I582" s="5" t="s">
        <v>44</v>
      </c>
      <c r="J582" s="3" t="s">
        <v>45</v>
      </c>
      <c r="K582" s="3" t="s">
        <v>1276</v>
      </c>
      <c r="L582" s="3" t="s">
        <v>1281</v>
      </c>
      <c r="M582" s="3" t="s">
        <v>262</v>
      </c>
      <c r="N582" s="4" t="s">
        <v>61</v>
      </c>
      <c r="O582" s="67" t="s">
        <v>61</v>
      </c>
      <c r="P582" s="3" t="s">
        <v>50</v>
      </c>
      <c r="Q582" s="3" t="s">
        <v>68</v>
      </c>
      <c r="R582" s="3">
        <v>50</v>
      </c>
      <c r="S582" s="3" t="s">
        <v>52</v>
      </c>
      <c r="T582" s="3" t="s">
        <v>53</v>
      </c>
      <c r="U582" s="3" t="s">
        <v>54</v>
      </c>
      <c r="V582" s="7"/>
      <c r="W582" s="7"/>
      <c r="X582" s="7"/>
      <c r="Y582" s="7"/>
      <c r="Z582" s="3" t="s">
        <v>265</v>
      </c>
      <c r="AA582" s="3" t="s">
        <v>88</v>
      </c>
      <c r="AB582" s="3" t="s">
        <v>57</v>
      </c>
      <c r="AD582" s="3">
        <v>0.1656</v>
      </c>
      <c r="AE582" s="3">
        <v>0.1656</v>
      </c>
      <c r="AG582" s="3">
        <v>0.5</v>
      </c>
      <c r="AH582" s="3">
        <v>60</v>
      </c>
      <c r="AI582" s="3">
        <v>23</v>
      </c>
      <c r="AJ582" s="89">
        <f t="shared" si="19"/>
        <v>49.916666666666664</v>
      </c>
      <c r="AK582" s="3" t="s">
        <v>58</v>
      </c>
      <c r="AL582" s="3">
        <f t="shared" si="18"/>
        <v>59.899999999999991</v>
      </c>
      <c r="AN582" t="s">
        <v>5518</v>
      </c>
      <c r="AO582" s="74" t="s">
        <v>5631</v>
      </c>
    </row>
    <row r="583" spans="1:41" ht="14.25" customHeight="1" x14ac:dyDescent="0.3">
      <c r="A583" s="3" t="s">
        <v>1449</v>
      </c>
      <c r="B583" s="3" t="s">
        <v>1479</v>
      </c>
      <c r="C583" s="3" t="s">
        <v>1451</v>
      </c>
      <c r="D583" s="3" t="s">
        <v>1480</v>
      </c>
      <c r="E583" s="3" t="s">
        <v>1453</v>
      </c>
      <c r="F583" s="3" t="s">
        <v>41</v>
      </c>
      <c r="G583" s="5" t="s">
        <v>42</v>
      </c>
      <c r="H583" s="5" t="s">
        <v>43</v>
      </c>
      <c r="I583" s="5" t="s">
        <v>44</v>
      </c>
      <c r="J583" s="3" t="s">
        <v>45</v>
      </c>
      <c r="K583" s="3" t="s">
        <v>1276</v>
      </c>
      <c r="L583" s="3" t="s">
        <v>1281</v>
      </c>
      <c r="M583" s="3" t="s">
        <v>262</v>
      </c>
      <c r="N583" s="4" t="s">
        <v>49</v>
      </c>
      <c r="O583" s="67" t="s">
        <v>49</v>
      </c>
      <c r="P583" s="3" t="s">
        <v>50</v>
      </c>
      <c r="Q583" s="3" t="s">
        <v>68</v>
      </c>
      <c r="R583" s="3">
        <v>50</v>
      </c>
      <c r="S583" s="3" t="s">
        <v>52</v>
      </c>
      <c r="T583" s="3" t="s">
        <v>53</v>
      </c>
      <c r="U583" s="3" t="s">
        <v>281</v>
      </c>
      <c r="V583" s="7"/>
      <c r="W583" s="7"/>
      <c r="X583" s="7"/>
      <c r="Y583" s="7"/>
      <c r="Z583" s="3" t="s">
        <v>265</v>
      </c>
      <c r="AA583" s="3" t="s">
        <v>88</v>
      </c>
      <c r="AB583" s="3" t="s">
        <v>57</v>
      </c>
      <c r="AD583" s="3">
        <v>0.1656</v>
      </c>
      <c r="AE583" s="3">
        <v>0.1656</v>
      </c>
      <c r="AG583" s="3">
        <v>0.5</v>
      </c>
      <c r="AH583" s="3">
        <v>60</v>
      </c>
      <c r="AI583" s="3">
        <v>23</v>
      </c>
      <c r="AJ583" s="89">
        <f t="shared" si="19"/>
        <v>49.916666666666664</v>
      </c>
      <c r="AK583" s="3" t="s">
        <v>58</v>
      </c>
      <c r="AL583" s="3">
        <f t="shared" si="18"/>
        <v>59.899999999999991</v>
      </c>
      <c r="AN583" t="s">
        <v>5518</v>
      </c>
      <c r="AO583" s="74" t="s">
        <v>5631</v>
      </c>
    </row>
    <row r="584" spans="1:41" ht="14.25" customHeight="1" x14ac:dyDescent="0.3">
      <c r="A584" s="3" t="s">
        <v>1449</v>
      </c>
      <c r="B584" s="3" t="s">
        <v>1481</v>
      </c>
      <c r="C584" s="3" t="s">
        <v>1451</v>
      </c>
      <c r="D584" s="3" t="s">
        <v>1482</v>
      </c>
      <c r="E584" s="3" t="s">
        <v>1453</v>
      </c>
      <c r="F584" s="3" t="s">
        <v>41</v>
      </c>
      <c r="G584" s="5" t="s">
        <v>42</v>
      </c>
      <c r="H584" s="5" t="s">
        <v>43</v>
      </c>
      <c r="I584" s="5" t="s">
        <v>44</v>
      </c>
      <c r="J584" s="3" t="s">
        <v>45</v>
      </c>
      <c r="K584" s="3" t="s">
        <v>1276</v>
      </c>
      <c r="L584" s="3" t="s">
        <v>1281</v>
      </c>
      <c r="M584" s="3" t="s">
        <v>262</v>
      </c>
      <c r="N584" s="4" t="s">
        <v>49</v>
      </c>
      <c r="O584" s="67" t="s">
        <v>49</v>
      </c>
      <c r="P584" s="3" t="s">
        <v>50</v>
      </c>
      <c r="Q584" s="3" t="s">
        <v>68</v>
      </c>
      <c r="R584" s="3">
        <v>50</v>
      </c>
      <c r="S584" s="3" t="s">
        <v>52</v>
      </c>
      <c r="T584" s="3" t="s">
        <v>53</v>
      </c>
      <c r="U584" s="3" t="s">
        <v>54</v>
      </c>
      <c r="V584" s="7"/>
      <c r="W584" s="7"/>
      <c r="X584" s="7"/>
      <c r="Y584" s="7"/>
      <c r="Z584" s="3" t="s">
        <v>265</v>
      </c>
      <c r="AA584" s="3" t="s">
        <v>88</v>
      </c>
      <c r="AB584" s="3" t="s">
        <v>57</v>
      </c>
      <c r="AD584" s="3">
        <v>0.1656</v>
      </c>
      <c r="AE584" s="3">
        <v>0.1656</v>
      </c>
      <c r="AG584" s="3">
        <v>0.5</v>
      </c>
      <c r="AH584" s="3">
        <v>60</v>
      </c>
      <c r="AI584" s="3">
        <v>23</v>
      </c>
      <c r="AJ584" s="89">
        <f t="shared" si="19"/>
        <v>49.916666666666664</v>
      </c>
      <c r="AK584" s="3" t="s">
        <v>58</v>
      </c>
      <c r="AL584" s="3">
        <f t="shared" si="18"/>
        <v>59.899999999999991</v>
      </c>
      <c r="AN584" t="s">
        <v>5518</v>
      </c>
      <c r="AO584" s="74" t="s">
        <v>5631</v>
      </c>
    </row>
    <row r="585" spans="1:41" ht="14.25" customHeight="1" x14ac:dyDescent="0.3">
      <c r="A585" s="3" t="s">
        <v>1541</v>
      </c>
      <c r="B585" s="3" t="s">
        <v>1542</v>
      </c>
      <c r="C585" s="3" t="s">
        <v>1451</v>
      </c>
      <c r="D585" s="3" t="s">
        <v>1543</v>
      </c>
      <c r="E585" s="3" t="s">
        <v>1453</v>
      </c>
      <c r="F585" s="3" t="s">
        <v>41</v>
      </c>
      <c r="G585" s="5" t="s">
        <v>42</v>
      </c>
      <c r="H585" s="5" t="s">
        <v>43</v>
      </c>
      <c r="I585" s="5" t="s">
        <v>44</v>
      </c>
      <c r="J585" s="3" t="s">
        <v>45</v>
      </c>
      <c r="K585" s="3" t="s">
        <v>1276</v>
      </c>
      <c r="L585" s="3" t="s">
        <v>1544</v>
      </c>
      <c r="M585" s="3" t="s">
        <v>262</v>
      </c>
      <c r="N585" s="4" t="s">
        <v>1454</v>
      </c>
      <c r="O585" s="67" t="s">
        <v>1802</v>
      </c>
      <c r="P585" s="3" t="s">
        <v>1545</v>
      </c>
      <c r="Q585" s="3" t="s">
        <v>51</v>
      </c>
      <c r="R585" s="3">
        <v>44</v>
      </c>
      <c r="S585" s="3" t="s">
        <v>52</v>
      </c>
      <c r="T585" s="3" t="s">
        <v>53</v>
      </c>
      <c r="U585" s="3" t="s">
        <v>281</v>
      </c>
      <c r="V585" s="7"/>
      <c r="W585" s="7"/>
      <c r="X585" s="7"/>
      <c r="Y585" s="7"/>
      <c r="Z585" s="3" t="s">
        <v>265</v>
      </c>
      <c r="AA585" s="3" t="s">
        <v>88</v>
      </c>
      <c r="AB585" s="3" t="s">
        <v>57</v>
      </c>
      <c r="AD585" s="3">
        <v>0.21181818181818182</v>
      </c>
      <c r="AE585" s="3">
        <v>0.21181818181818182</v>
      </c>
      <c r="AG585" s="3">
        <v>0.55000000000000004</v>
      </c>
      <c r="AH585" s="3">
        <v>61.6</v>
      </c>
      <c r="AI585" s="3">
        <v>23</v>
      </c>
      <c r="AJ585" s="89">
        <f t="shared" si="19"/>
        <v>49.916666666666664</v>
      </c>
      <c r="AK585" s="3" t="s">
        <v>58</v>
      </c>
      <c r="AL585" s="3">
        <f t="shared" si="18"/>
        <v>59.899999999999991</v>
      </c>
      <c r="AN585" t="s">
        <v>5518</v>
      </c>
      <c r="AO585" s="74" t="s">
        <v>5631</v>
      </c>
    </row>
    <row r="586" spans="1:41" ht="14.25" customHeight="1" x14ac:dyDescent="0.3">
      <c r="A586" s="3" t="s">
        <v>1541</v>
      </c>
      <c r="B586" s="3" t="s">
        <v>1546</v>
      </c>
      <c r="C586" s="3" t="s">
        <v>1451</v>
      </c>
      <c r="D586" s="3" t="s">
        <v>1547</v>
      </c>
      <c r="E586" s="3" t="s">
        <v>1453</v>
      </c>
      <c r="F586" s="3" t="s">
        <v>41</v>
      </c>
      <c r="G586" s="5" t="s">
        <v>42</v>
      </c>
      <c r="H586" s="5" t="s">
        <v>43</v>
      </c>
      <c r="I586" s="5" t="s">
        <v>44</v>
      </c>
      <c r="J586" s="3" t="s">
        <v>45</v>
      </c>
      <c r="K586" s="3" t="s">
        <v>1276</v>
      </c>
      <c r="L586" s="3" t="s">
        <v>1544</v>
      </c>
      <c r="M586" s="3" t="s">
        <v>262</v>
      </c>
      <c r="N586" s="4" t="s">
        <v>1454</v>
      </c>
      <c r="O586" s="67" t="s">
        <v>1802</v>
      </c>
      <c r="P586" s="3" t="s">
        <v>1545</v>
      </c>
      <c r="Q586" s="3" t="s">
        <v>51</v>
      </c>
      <c r="R586" s="3">
        <v>44</v>
      </c>
      <c r="S586" s="3" t="s">
        <v>52</v>
      </c>
      <c r="T586" s="3" t="s">
        <v>53</v>
      </c>
      <c r="U586" s="3" t="s">
        <v>54</v>
      </c>
      <c r="V586" s="7"/>
      <c r="W586" s="7"/>
      <c r="X586" s="7"/>
      <c r="Y586" s="7"/>
      <c r="Z586" s="3" t="s">
        <v>265</v>
      </c>
      <c r="AA586" s="3" t="s">
        <v>88</v>
      </c>
      <c r="AB586" s="3" t="s">
        <v>57</v>
      </c>
      <c r="AD586" s="3">
        <v>0.21181818181818182</v>
      </c>
      <c r="AE586" s="3">
        <v>0.21181818181818182</v>
      </c>
      <c r="AG586" s="3">
        <v>0.55000000000000004</v>
      </c>
      <c r="AH586" s="3">
        <v>61.6</v>
      </c>
      <c r="AI586" s="3">
        <v>23</v>
      </c>
      <c r="AJ586" s="89">
        <f t="shared" si="19"/>
        <v>49.916666666666664</v>
      </c>
      <c r="AK586" s="3" t="s">
        <v>58</v>
      </c>
      <c r="AL586" s="3">
        <f t="shared" si="18"/>
        <v>59.899999999999991</v>
      </c>
      <c r="AN586" t="s">
        <v>5518</v>
      </c>
      <c r="AO586" s="74" t="s">
        <v>5631</v>
      </c>
    </row>
    <row r="587" spans="1:41" ht="14.25" customHeight="1" x14ac:dyDescent="0.3">
      <c r="A587" s="3" t="s">
        <v>1541</v>
      </c>
      <c r="B587" s="3" t="s">
        <v>1548</v>
      </c>
      <c r="C587" s="3" t="s">
        <v>1451</v>
      </c>
      <c r="D587" s="3" t="s">
        <v>1549</v>
      </c>
      <c r="E587" s="3" t="s">
        <v>1453</v>
      </c>
      <c r="F587" s="3" t="s">
        <v>41</v>
      </c>
      <c r="G587" s="5" t="s">
        <v>42</v>
      </c>
      <c r="H587" s="5" t="s">
        <v>43</v>
      </c>
      <c r="I587" s="5" t="s">
        <v>44</v>
      </c>
      <c r="J587" s="3" t="s">
        <v>45</v>
      </c>
      <c r="K587" s="3" t="s">
        <v>1276</v>
      </c>
      <c r="L587" s="3" t="s">
        <v>1544</v>
      </c>
      <c r="M587" s="3" t="s">
        <v>262</v>
      </c>
      <c r="N587" s="4" t="s">
        <v>279</v>
      </c>
      <c r="O587" s="67" t="s">
        <v>279</v>
      </c>
      <c r="P587" s="3" t="s">
        <v>1545</v>
      </c>
      <c r="Q587" s="3" t="s">
        <v>51</v>
      </c>
      <c r="R587" s="3">
        <v>44</v>
      </c>
      <c r="S587" s="3" t="s">
        <v>52</v>
      </c>
      <c r="T587" s="3" t="s">
        <v>53</v>
      </c>
      <c r="U587" s="3" t="s">
        <v>281</v>
      </c>
      <c r="V587" s="7"/>
      <c r="W587" s="7"/>
      <c r="X587" s="7"/>
      <c r="Y587" s="7"/>
      <c r="Z587" s="3" t="s">
        <v>265</v>
      </c>
      <c r="AA587" s="3" t="s">
        <v>88</v>
      </c>
      <c r="AB587" s="3" t="s">
        <v>57</v>
      </c>
      <c r="AD587" s="3">
        <v>0.21181818181818182</v>
      </c>
      <c r="AE587" s="3">
        <v>0.21181818181818182</v>
      </c>
      <c r="AG587" s="3">
        <v>0.55000000000000004</v>
      </c>
      <c r="AH587" s="3">
        <v>61.6</v>
      </c>
      <c r="AI587" s="3">
        <v>23</v>
      </c>
      <c r="AJ587" s="89">
        <f t="shared" si="19"/>
        <v>49.916666666666664</v>
      </c>
      <c r="AK587" s="3" t="s">
        <v>58</v>
      </c>
      <c r="AL587" s="3">
        <f t="shared" si="18"/>
        <v>59.899999999999991</v>
      </c>
      <c r="AN587" t="s">
        <v>5518</v>
      </c>
      <c r="AO587" s="74" t="s">
        <v>5631</v>
      </c>
    </row>
    <row r="588" spans="1:41" ht="14.25" customHeight="1" x14ac:dyDescent="0.3">
      <c r="A588" s="3" t="s">
        <v>1541</v>
      </c>
      <c r="B588" s="3" t="s">
        <v>1550</v>
      </c>
      <c r="C588" s="3" t="s">
        <v>1451</v>
      </c>
      <c r="D588" s="3" t="s">
        <v>1551</v>
      </c>
      <c r="E588" s="3" t="s">
        <v>1453</v>
      </c>
      <c r="F588" s="3" t="s">
        <v>41</v>
      </c>
      <c r="G588" s="5" t="s">
        <v>42</v>
      </c>
      <c r="H588" s="5" t="s">
        <v>43</v>
      </c>
      <c r="I588" s="5" t="s">
        <v>44</v>
      </c>
      <c r="J588" s="3" t="s">
        <v>45</v>
      </c>
      <c r="K588" s="3" t="s">
        <v>1276</v>
      </c>
      <c r="L588" s="3" t="s">
        <v>1544</v>
      </c>
      <c r="M588" s="3" t="s">
        <v>262</v>
      </c>
      <c r="N588" s="4" t="s">
        <v>279</v>
      </c>
      <c r="O588" s="67" t="s">
        <v>279</v>
      </c>
      <c r="P588" s="3" t="s">
        <v>1545</v>
      </c>
      <c r="Q588" s="3" t="s">
        <v>51</v>
      </c>
      <c r="R588" s="3">
        <v>44</v>
      </c>
      <c r="S588" s="3" t="s">
        <v>52</v>
      </c>
      <c r="T588" s="3" t="s">
        <v>53</v>
      </c>
      <c r="U588" s="3" t="s">
        <v>54</v>
      </c>
      <c r="V588" s="7"/>
      <c r="W588" s="7"/>
      <c r="X588" s="7"/>
      <c r="Y588" s="7"/>
      <c r="Z588" s="3" t="s">
        <v>265</v>
      </c>
      <c r="AA588" s="3" t="s">
        <v>88</v>
      </c>
      <c r="AB588" s="3" t="s">
        <v>57</v>
      </c>
      <c r="AD588" s="3">
        <v>0.21181818181818182</v>
      </c>
      <c r="AE588" s="3">
        <v>0.21181818181818182</v>
      </c>
      <c r="AG588" s="3">
        <v>0.55000000000000004</v>
      </c>
      <c r="AH588" s="3">
        <v>61.6</v>
      </c>
      <c r="AI588" s="3">
        <v>23</v>
      </c>
      <c r="AJ588" s="89">
        <f t="shared" si="19"/>
        <v>49.916666666666664</v>
      </c>
      <c r="AK588" s="3" t="s">
        <v>58</v>
      </c>
      <c r="AL588" s="3">
        <f t="shared" si="18"/>
        <v>59.899999999999991</v>
      </c>
      <c r="AN588" t="s">
        <v>5518</v>
      </c>
      <c r="AO588" s="74" t="s">
        <v>5631</v>
      </c>
    </row>
    <row r="589" spans="1:41" ht="14.25" customHeight="1" x14ac:dyDescent="0.3">
      <c r="A589" s="3" t="s">
        <v>1541</v>
      </c>
      <c r="B589" s="3" t="s">
        <v>1552</v>
      </c>
      <c r="C589" s="3" t="s">
        <v>1451</v>
      </c>
      <c r="D589" s="3" t="s">
        <v>1553</v>
      </c>
      <c r="E589" s="3" t="s">
        <v>1453</v>
      </c>
      <c r="F589" s="3" t="s">
        <v>41</v>
      </c>
      <c r="G589" s="5" t="s">
        <v>42</v>
      </c>
      <c r="H589" s="5" t="s">
        <v>43</v>
      </c>
      <c r="I589" s="5" t="s">
        <v>44</v>
      </c>
      <c r="J589" s="3" t="s">
        <v>45</v>
      </c>
      <c r="K589" s="3" t="s">
        <v>1276</v>
      </c>
      <c r="L589" s="3" t="s">
        <v>1544</v>
      </c>
      <c r="M589" s="3" t="s">
        <v>262</v>
      </c>
      <c r="N589" s="4" t="s">
        <v>1463</v>
      </c>
      <c r="O589" s="67" t="s">
        <v>1463</v>
      </c>
      <c r="P589" s="3" t="s">
        <v>1545</v>
      </c>
      <c r="Q589" s="3" t="s">
        <v>51</v>
      </c>
      <c r="R589" s="3">
        <v>44</v>
      </c>
      <c r="S589" s="3" t="s">
        <v>52</v>
      </c>
      <c r="T589" s="3" t="s">
        <v>53</v>
      </c>
      <c r="U589" s="3" t="s">
        <v>281</v>
      </c>
      <c r="V589" s="7"/>
      <c r="W589" s="7"/>
      <c r="X589" s="7"/>
      <c r="Y589" s="7"/>
      <c r="Z589" s="3" t="s">
        <v>265</v>
      </c>
      <c r="AA589" s="3" t="s">
        <v>88</v>
      </c>
      <c r="AB589" s="3" t="s">
        <v>57</v>
      </c>
      <c r="AD589" s="3">
        <v>0.21181818181818182</v>
      </c>
      <c r="AE589" s="3">
        <v>0.21181818181818182</v>
      </c>
      <c r="AG589" s="3">
        <v>0.55000000000000004</v>
      </c>
      <c r="AH589" s="3">
        <v>61.6</v>
      </c>
      <c r="AI589" s="3">
        <v>23</v>
      </c>
      <c r="AJ589" s="89">
        <f t="shared" si="19"/>
        <v>49.916666666666664</v>
      </c>
      <c r="AK589" s="3" t="s">
        <v>58</v>
      </c>
      <c r="AL589" s="3">
        <f t="shared" si="18"/>
        <v>59.899999999999991</v>
      </c>
      <c r="AN589" t="s">
        <v>5518</v>
      </c>
      <c r="AO589" s="74" t="s">
        <v>5631</v>
      </c>
    </row>
    <row r="590" spans="1:41" ht="14.25" customHeight="1" x14ac:dyDescent="0.3">
      <c r="A590" s="3" t="s">
        <v>1541</v>
      </c>
      <c r="B590" s="3" t="s">
        <v>1554</v>
      </c>
      <c r="C590" s="3" t="s">
        <v>1451</v>
      </c>
      <c r="D590" s="3" t="s">
        <v>1555</v>
      </c>
      <c r="E590" s="3" t="s">
        <v>1453</v>
      </c>
      <c r="F590" s="3" t="s">
        <v>41</v>
      </c>
      <c r="G590" s="5" t="s">
        <v>42</v>
      </c>
      <c r="H590" s="5" t="s">
        <v>43</v>
      </c>
      <c r="I590" s="5" t="s">
        <v>44</v>
      </c>
      <c r="J590" s="3" t="s">
        <v>45</v>
      </c>
      <c r="K590" s="3" t="s">
        <v>1276</v>
      </c>
      <c r="L590" s="3" t="s">
        <v>1544</v>
      </c>
      <c r="M590" s="3" t="s">
        <v>262</v>
      </c>
      <c r="N590" s="4" t="s">
        <v>1463</v>
      </c>
      <c r="O590" s="67" t="s">
        <v>1463</v>
      </c>
      <c r="P590" s="3" t="s">
        <v>1545</v>
      </c>
      <c r="Q590" s="3" t="s">
        <v>51</v>
      </c>
      <c r="R590" s="3">
        <v>44</v>
      </c>
      <c r="S590" s="3" t="s">
        <v>52</v>
      </c>
      <c r="T590" s="3" t="s">
        <v>53</v>
      </c>
      <c r="U590" s="3" t="s">
        <v>54</v>
      </c>
      <c r="V590" s="7"/>
      <c r="W590" s="7"/>
      <c r="X590" s="7"/>
      <c r="Y590" s="7"/>
      <c r="Z590" s="3" t="s">
        <v>265</v>
      </c>
      <c r="AA590" s="3" t="s">
        <v>88</v>
      </c>
      <c r="AB590" s="3" t="s">
        <v>57</v>
      </c>
      <c r="AD590" s="3">
        <v>0.21181818181818182</v>
      </c>
      <c r="AE590" s="3">
        <v>0.21181818181818182</v>
      </c>
      <c r="AG590" s="3">
        <v>0.55000000000000004</v>
      </c>
      <c r="AH590" s="3">
        <v>61.6</v>
      </c>
      <c r="AI590" s="3">
        <v>23</v>
      </c>
      <c r="AJ590" s="89">
        <f t="shared" si="19"/>
        <v>49.916666666666664</v>
      </c>
      <c r="AK590" s="3" t="s">
        <v>58</v>
      </c>
      <c r="AL590" s="3">
        <f t="shared" si="18"/>
        <v>59.899999999999991</v>
      </c>
      <c r="AN590" t="s">
        <v>5518</v>
      </c>
      <c r="AO590" s="74" t="s">
        <v>5631</v>
      </c>
    </row>
    <row r="591" spans="1:41" ht="14.25" customHeight="1" x14ac:dyDescent="0.3">
      <c r="A591" s="3" t="s">
        <v>1541</v>
      </c>
      <c r="B591" s="3" t="s">
        <v>1556</v>
      </c>
      <c r="C591" s="3" t="s">
        <v>1451</v>
      </c>
      <c r="D591" s="3" t="s">
        <v>1557</v>
      </c>
      <c r="E591" s="3" t="s">
        <v>1453</v>
      </c>
      <c r="F591" s="3" t="s">
        <v>41</v>
      </c>
      <c r="G591" s="5" t="s">
        <v>42</v>
      </c>
      <c r="H591" s="5" t="s">
        <v>43</v>
      </c>
      <c r="I591" s="5" t="s">
        <v>44</v>
      </c>
      <c r="J591" s="3" t="s">
        <v>45</v>
      </c>
      <c r="K591" s="3" t="s">
        <v>1276</v>
      </c>
      <c r="L591" s="3" t="s">
        <v>1544</v>
      </c>
      <c r="M591" s="3" t="s">
        <v>262</v>
      </c>
      <c r="N591" s="4" t="s">
        <v>1468</v>
      </c>
      <c r="O591" s="67" t="s">
        <v>586</v>
      </c>
      <c r="P591" s="3" t="s">
        <v>1545</v>
      </c>
      <c r="Q591" s="3" t="s">
        <v>51</v>
      </c>
      <c r="R591" s="3">
        <v>44</v>
      </c>
      <c r="S591" s="3" t="s">
        <v>52</v>
      </c>
      <c r="T591" s="3" t="s">
        <v>53</v>
      </c>
      <c r="U591" s="3" t="s">
        <v>281</v>
      </c>
      <c r="V591" s="7"/>
      <c r="W591" s="7"/>
      <c r="X591" s="7"/>
      <c r="Y591" s="7"/>
      <c r="Z591" s="3" t="s">
        <v>265</v>
      </c>
      <c r="AA591" s="3" t="s">
        <v>88</v>
      </c>
      <c r="AB591" s="3" t="s">
        <v>57</v>
      </c>
      <c r="AD591" s="3">
        <v>0.21181818181818182</v>
      </c>
      <c r="AE591" s="3">
        <v>0.21181818181818182</v>
      </c>
      <c r="AG591" s="3">
        <v>0.55000000000000004</v>
      </c>
      <c r="AH591" s="3">
        <v>61.6</v>
      </c>
      <c r="AI591" s="3">
        <v>23</v>
      </c>
      <c r="AJ591" s="89">
        <f t="shared" si="19"/>
        <v>49.916666666666664</v>
      </c>
      <c r="AK591" s="3" t="s">
        <v>58</v>
      </c>
      <c r="AL591" s="3">
        <f t="shared" si="18"/>
        <v>59.899999999999991</v>
      </c>
      <c r="AN591" t="s">
        <v>5518</v>
      </c>
      <c r="AO591" s="74" t="s">
        <v>5631</v>
      </c>
    </row>
    <row r="592" spans="1:41" ht="14.25" customHeight="1" x14ac:dyDescent="0.3">
      <c r="A592" s="3" t="s">
        <v>1541</v>
      </c>
      <c r="B592" s="3" t="s">
        <v>1558</v>
      </c>
      <c r="C592" s="3" t="s">
        <v>1451</v>
      </c>
      <c r="D592" s="3" t="s">
        <v>1559</v>
      </c>
      <c r="E592" s="3" t="s">
        <v>1453</v>
      </c>
      <c r="F592" s="3" t="s">
        <v>41</v>
      </c>
      <c r="G592" s="5" t="s">
        <v>42</v>
      </c>
      <c r="H592" s="5" t="s">
        <v>43</v>
      </c>
      <c r="I592" s="5" t="s">
        <v>44</v>
      </c>
      <c r="J592" s="3" t="s">
        <v>45</v>
      </c>
      <c r="K592" s="3" t="s">
        <v>1276</v>
      </c>
      <c r="L592" s="3" t="s">
        <v>1544</v>
      </c>
      <c r="M592" s="3" t="s">
        <v>262</v>
      </c>
      <c r="N592" s="4" t="s">
        <v>1468</v>
      </c>
      <c r="O592" s="67" t="s">
        <v>586</v>
      </c>
      <c r="P592" s="3" t="s">
        <v>1545</v>
      </c>
      <c r="Q592" s="3" t="s">
        <v>51</v>
      </c>
      <c r="R592" s="3">
        <v>44</v>
      </c>
      <c r="S592" s="3" t="s">
        <v>52</v>
      </c>
      <c r="T592" s="3" t="s">
        <v>53</v>
      </c>
      <c r="U592" s="3" t="s">
        <v>54</v>
      </c>
      <c r="V592" s="7"/>
      <c r="W592" s="7"/>
      <c r="X592" s="7"/>
      <c r="Y592" s="7"/>
      <c r="Z592" s="3" t="s">
        <v>265</v>
      </c>
      <c r="AA592" s="3" t="s">
        <v>88</v>
      </c>
      <c r="AB592" s="3" t="s">
        <v>57</v>
      </c>
      <c r="AD592" s="3">
        <v>0.21181818181818182</v>
      </c>
      <c r="AE592" s="3">
        <v>0.21181818181818182</v>
      </c>
      <c r="AG592" s="3">
        <v>0.55000000000000004</v>
      </c>
      <c r="AH592" s="3">
        <v>61.6</v>
      </c>
      <c r="AI592" s="3">
        <v>23</v>
      </c>
      <c r="AJ592" s="89">
        <f t="shared" si="19"/>
        <v>49.916666666666664</v>
      </c>
      <c r="AK592" s="3" t="s">
        <v>58</v>
      </c>
      <c r="AL592" s="3">
        <f t="shared" si="18"/>
        <v>59.899999999999991</v>
      </c>
      <c r="AN592" t="s">
        <v>5518</v>
      </c>
      <c r="AO592" s="74" t="s">
        <v>5631</v>
      </c>
    </row>
    <row r="593" spans="1:41" ht="14.25" customHeight="1" x14ac:dyDescent="0.3">
      <c r="A593" s="3" t="s">
        <v>1541</v>
      </c>
      <c r="B593" s="3" t="s">
        <v>1560</v>
      </c>
      <c r="C593" s="3" t="s">
        <v>1451</v>
      </c>
      <c r="D593" s="3" t="s">
        <v>1561</v>
      </c>
      <c r="E593" s="3" t="s">
        <v>1453</v>
      </c>
      <c r="F593" s="3" t="s">
        <v>41</v>
      </c>
      <c r="G593" s="5" t="s">
        <v>42</v>
      </c>
      <c r="H593" s="5" t="s">
        <v>43</v>
      </c>
      <c r="I593" s="5" t="s">
        <v>44</v>
      </c>
      <c r="J593" s="3" t="s">
        <v>45</v>
      </c>
      <c r="K593" s="3" t="s">
        <v>1276</v>
      </c>
      <c r="L593" s="3" t="s">
        <v>1544</v>
      </c>
      <c r="M593" s="3" t="s">
        <v>262</v>
      </c>
      <c r="N593" s="4" t="s">
        <v>454</v>
      </c>
      <c r="O593" s="67" t="s">
        <v>454</v>
      </c>
      <c r="P593" s="3" t="s">
        <v>1545</v>
      </c>
      <c r="Q593" s="3" t="s">
        <v>51</v>
      </c>
      <c r="R593" s="3">
        <v>44</v>
      </c>
      <c r="S593" s="3" t="s">
        <v>52</v>
      </c>
      <c r="T593" s="3" t="s">
        <v>53</v>
      </c>
      <c r="U593" s="3" t="s">
        <v>281</v>
      </c>
      <c r="V593" s="7"/>
      <c r="W593" s="7"/>
      <c r="X593" s="7"/>
      <c r="Y593" s="7"/>
      <c r="Z593" s="3" t="s">
        <v>265</v>
      </c>
      <c r="AA593" s="3" t="s">
        <v>88</v>
      </c>
      <c r="AB593" s="3" t="s">
        <v>57</v>
      </c>
      <c r="AD593" s="3">
        <v>0.21181818181818182</v>
      </c>
      <c r="AE593" s="3">
        <v>0.21181818181818182</v>
      </c>
      <c r="AG593" s="3">
        <v>0.55000000000000004</v>
      </c>
      <c r="AH593" s="3">
        <v>61.6</v>
      </c>
      <c r="AI593" s="3">
        <v>23</v>
      </c>
      <c r="AJ593" s="89">
        <f t="shared" si="19"/>
        <v>49.916666666666664</v>
      </c>
      <c r="AK593" s="3" t="s">
        <v>58</v>
      </c>
      <c r="AL593" s="3">
        <f t="shared" si="18"/>
        <v>59.899999999999991</v>
      </c>
      <c r="AN593" t="s">
        <v>5518</v>
      </c>
      <c r="AO593" s="74" t="s">
        <v>5631</v>
      </c>
    </row>
    <row r="594" spans="1:41" ht="14.25" customHeight="1" x14ac:dyDescent="0.3">
      <c r="A594" s="3" t="s">
        <v>1541</v>
      </c>
      <c r="B594" s="3" t="s">
        <v>1562</v>
      </c>
      <c r="C594" s="3" t="s">
        <v>1451</v>
      </c>
      <c r="D594" s="3" t="s">
        <v>1563</v>
      </c>
      <c r="E594" s="3" t="s">
        <v>1453</v>
      </c>
      <c r="F594" s="3" t="s">
        <v>41</v>
      </c>
      <c r="G594" s="5" t="s">
        <v>42</v>
      </c>
      <c r="H594" s="5" t="s">
        <v>43</v>
      </c>
      <c r="I594" s="5" t="s">
        <v>44</v>
      </c>
      <c r="J594" s="3" t="s">
        <v>45</v>
      </c>
      <c r="K594" s="3" t="s">
        <v>1276</v>
      </c>
      <c r="L594" s="3" t="s">
        <v>1544</v>
      </c>
      <c r="M594" s="3" t="s">
        <v>262</v>
      </c>
      <c r="N594" s="4" t="s">
        <v>454</v>
      </c>
      <c r="O594" s="67" t="s">
        <v>454</v>
      </c>
      <c r="P594" s="3" t="s">
        <v>1545</v>
      </c>
      <c r="Q594" s="3" t="s">
        <v>51</v>
      </c>
      <c r="R594" s="3">
        <v>44</v>
      </c>
      <c r="S594" s="3" t="s">
        <v>52</v>
      </c>
      <c r="T594" s="3" t="s">
        <v>53</v>
      </c>
      <c r="U594" s="3" t="s">
        <v>54</v>
      </c>
      <c r="V594" s="7"/>
      <c r="W594" s="7"/>
      <c r="X594" s="7"/>
      <c r="Y594" s="7"/>
      <c r="Z594" s="3" t="s">
        <v>265</v>
      </c>
      <c r="AA594" s="3" t="s">
        <v>88</v>
      </c>
      <c r="AB594" s="3" t="s">
        <v>57</v>
      </c>
      <c r="AD594" s="3">
        <v>0.21181818181818182</v>
      </c>
      <c r="AE594" s="3">
        <v>0.21181818181818182</v>
      </c>
      <c r="AG594" s="3">
        <v>0.55000000000000004</v>
      </c>
      <c r="AH594" s="3">
        <v>61.6</v>
      </c>
      <c r="AI594" s="3">
        <v>23</v>
      </c>
      <c r="AJ594" s="89">
        <f t="shared" si="19"/>
        <v>49.916666666666664</v>
      </c>
      <c r="AK594" s="3" t="s">
        <v>58</v>
      </c>
      <c r="AL594" s="3">
        <f t="shared" si="18"/>
        <v>59.899999999999991</v>
      </c>
      <c r="AN594" t="s">
        <v>5518</v>
      </c>
      <c r="AO594" s="74" t="s">
        <v>5631</v>
      </c>
    </row>
    <row r="595" spans="1:41" ht="14.25" customHeight="1" x14ac:dyDescent="0.3">
      <c r="A595" s="3" t="s">
        <v>1541</v>
      </c>
      <c r="B595" s="3" t="s">
        <v>1564</v>
      </c>
      <c r="C595" s="3" t="s">
        <v>1451</v>
      </c>
      <c r="D595" s="3" t="s">
        <v>1565</v>
      </c>
      <c r="E595" s="3" t="s">
        <v>1453</v>
      </c>
      <c r="F595" s="3" t="s">
        <v>41</v>
      </c>
      <c r="G595" s="5" t="s">
        <v>42</v>
      </c>
      <c r="H595" s="5" t="s">
        <v>43</v>
      </c>
      <c r="I595" s="5" t="s">
        <v>44</v>
      </c>
      <c r="J595" s="3" t="s">
        <v>45</v>
      </c>
      <c r="K595" s="3" t="s">
        <v>1276</v>
      </c>
      <c r="L595" s="3" t="s">
        <v>1544</v>
      </c>
      <c r="M595" s="3" t="s">
        <v>262</v>
      </c>
      <c r="N595" s="4" t="s">
        <v>61</v>
      </c>
      <c r="O595" s="67" t="s">
        <v>61</v>
      </c>
      <c r="P595" s="3" t="s">
        <v>1545</v>
      </c>
      <c r="Q595" s="3" t="s">
        <v>51</v>
      </c>
      <c r="R595" s="3">
        <v>44</v>
      </c>
      <c r="S595" s="3" t="s">
        <v>52</v>
      </c>
      <c r="T595" s="3" t="s">
        <v>53</v>
      </c>
      <c r="U595" s="3" t="s">
        <v>281</v>
      </c>
      <c r="V595" s="7"/>
      <c r="W595" s="7"/>
      <c r="X595" s="7"/>
      <c r="Y595" s="7"/>
      <c r="Z595" s="3" t="s">
        <v>265</v>
      </c>
      <c r="AA595" s="3" t="s">
        <v>88</v>
      </c>
      <c r="AB595" s="3" t="s">
        <v>57</v>
      </c>
      <c r="AD595" s="3">
        <v>0.21181818181818182</v>
      </c>
      <c r="AE595" s="3">
        <v>0.21181818181818182</v>
      </c>
      <c r="AG595" s="3">
        <v>0.55000000000000004</v>
      </c>
      <c r="AH595" s="3">
        <v>61.6</v>
      </c>
      <c r="AI595" s="3">
        <v>23</v>
      </c>
      <c r="AJ595" s="89">
        <f t="shared" si="19"/>
        <v>49.916666666666664</v>
      </c>
      <c r="AK595" s="3" t="s">
        <v>58</v>
      </c>
      <c r="AL595" s="3">
        <f t="shared" si="18"/>
        <v>59.899999999999991</v>
      </c>
      <c r="AN595" t="s">
        <v>5518</v>
      </c>
      <c r="AO595" s="74" t="s">
        <v>5631</v>
      </c>
    </row>
    <row r="596" spans="1:41" ht="14.25" customHeight="1" x14ac:dyDescent="0.3">
      <c r="A596" s="3" t="s">
        <v>1541</v>
      </c>
      <c r="B596" s="3" t="s">
        <v>1566</v>
      </c>
      <c r="C596" s="3" t="s">
        <v>1451</v>
      </c>
      <c r="D596" s="3" t="s">
        <v>1567</v>
      </c>
      <c r="E596" s="3" t="s">
        <v>1453</v>
      </c>
      <c r="F596" s="3" t="s">
        <v>41</v>
      </c>
      <c r="G596" s="5" t="s">
        <v>42</v>
      </c>
      <c r="H596" s="5" t="s">
        <v>43</v>
      </c>
      <c r="I596" s="5" t="s">
        <v>44</v>
      </c>
      <c r="J596" s="3" t="s">
        <v>45</v>
      </c>
      <c r="K596" s="3" t="s">
        <v>1276</v>
      </c>
      <c r="L596" s="3" t="s">
        <v>1544</v>
      </c>
      <c r="M596" s="3" t="s">
        <v>262</v>
      </c>
      <c r="N596" s="4" t="s">
        <v>61</v>
      </c>
      <c r="O596" s="67" t="s">
        <v>61</v>
      </c>
      <c r="P596" s="3" t="s">
        <v>1545</v>
      </c>
      <c r="Q596" s="3" t="s">
        <v>51</v>
      </c>
      <c r="R596" s="3">
        <v>44</v>
      </c>
      <c r="S596" s="3" t="s">
        <v>52</v>
      </c>
      <c r="T596" s="3" t="s">
        <v>53</v>
      </c>
      <c r="U596" s="3" t="s">
        <v>54</v>
      </c>
      <c r="V596" s="7"/>
      <c r="W596" s="7"/>
      <c r="X596" s="7"/>
      <c r="Y596" s="7"/>
      <c r="Z596" s="3" t="s">
        <v>265</v>
      </c>
      <c r="AA596" s="3" t="s">
        <v>88</v>
      </c>
      <c r="AB596" s="3" t="s">
        <v>57</v>
      </c>
      <c r="AD596" s="3">
        <v>0.21181818181818182</v>
      </c>
      <c r="AE596" s="3">
        <v>0.21181818181818182</v>
      </c>
      <c r="AG596" s="3">
        <v>0.55000000000000004</v>
      </c>
      <c r="AH596" s="3">
        <v>61.6</v>
      </c>
      <c r="AI596" s="3">
        <v>23</v>
      </c>
      <c r="AJ596" s="89">
        <f t="shared" si="19"/>
        <v>49.916666666666664</v>
      </c>
      <c r="AK596" s="3" t="s">
        <v>58</v>
      </c>
      <c r="AL596" s="3">
        <f t="shared" si="18"/>
        <v>59.899999999999991</v>
      </c>
      <c r="AN596" t="s">
        <v>5518</v>
      </c>
      <c r="AO596" s="74" t="s">
        <v>5631</v>
      </c>
    </row>
    <row r="597" spans="1:41" ht="14.25" customHeight="1" x14ac:dyDescent="0.3">
      <c r="A597" s="3" t="s">
        <v>1541</v>
      </c>
      <c r="B597" s="3" t="s">
        <v>1568</v>
      </c>
      <c r="C597" s="3" t="s">
        <v>1451</v>
      </c>
      <c r="D597" s="3" t="s">
        <v>1569</v>
      </c>
      <c r="E597" s="3" t="s">
        <v>1453</v>
      </c>
      <c r="F597" s="3" t="s">
        <v>41</v>
      </c>
      <c r="G597" s="5" t="s">
        <v>42</v>
      </c>
      <c r="H597" s="5" t="s">
        <v>43</v>
      </c>
      <c r="I597" s="5" t="s">
        <v>44</v>
      </c>
      <c r="J597" s="3" t="s">
        <v>45</v>
      </c>
      <c r="K597" s="3" t="s">
        <v>1276</v>
      </c>
      <c r="L597" s="3" t="s">
        <v>1544</v>
      </c>
      <c r="M597" s="3" t="s">
        <v>262</v>
      </c>
      <c r="N597" s="4" t="s">
        <v>49</v>
      </c>
      <c r="O597" s="67" t="s">
        <v>49</v>
      </c>
      <c r="P597" s="3" t="s">
        <v>1545</v>
      </c>
      <c r="Q597" s="3" t="s">
        <v>51</v>
      </c>
      <c r="R597" s="3">
        <v>44</v>
      </c>
      <c r="S597" s="3" t="s">
        <v>52</v>
      </c>
      <c r="T597" s="3" t="s">
        <v>53</v>
      </c>
      <c r="U597" s="3" t="s">
        <v>281</v>
      </c>
      <c r="V597" s="7"/>
      <c r="W597" s="7"/>
      <c r="X597" s="7"/>
      <c r="Y597" s="7"/>
      <c r="Z597" s="3" t="s">
        <v>265</v>
      </c>
      <c r="AA597" s="3" t="s">
        <v>88</v>
      </c>
      <c r="AB597" s="3" t="s">
        <v>57</v>
      </c>
      <c r="AD597" s="3">
        <v>0.21181818181818182</v>
      </c>
      <c r="AE597" s="3">
        <v>0.21181818181818182</v>
      </c>
      <c r="AG597" s="3">
        <v>0.55000000000000004</v>
      </c>
      <c r="AH597" s="3">
        <v>61.6</v>
      </c>
      <c r="AI597" s="3">
        <v>23</v>
      </c>
      <c r="AJ597" s="89">
        <f t="shared" si="19"/>
        <v>49.916666666666664</v>
      </c>
      <c r="AK597" s="3" t="s">
        <v>58</v>
      </c>
      <c r="AL597" s="3">
        <f t="shared" si="18"/>
        <v>59.899999999999991</v>
      </c>
      <c r="AN597" t="s">
        <v>5518</v>
      </c>
      <c r="AO597" s="74" t="s">
        <v>5631</v>
      </c>
    </row>
    <row r="598" spans="1:41" ht="14.25" customHeight="1" x14ac:dyDescent="0.3">
      <c r="A598" s="3" t="s">
        <v>1541</v>
      </c>
      <c r="B598" s="3" t="s">
        <v>1570</v>
      </c>
      <c r="C598" s="3" t="s">
        <v>1451</v>
      </c>
      <c r="D598" s="3" t="s">
        <v>1571</v>
      </c>
      <c r="E598" s="3" t="s">
        <v>1453</v>
      </c>
      <c r="F598" s="3" t="s">
        <v>41</v>
      </c>
      <c r="G598" s="5" t="s">
        <v>42</v>
      </c>
      <c r="H598" s="5" t="s">
        <v>43</v>
      </c>
      <c r="I598" s="5" t="s">
        <v>44</v>
      </c>
      <c r="J598" s="3" t="s">
        <v>45</v>
      </c>
      <c r="K598" s="3" t="s">
        <v>1276</v>
      </c>
      <c r="L598" s="3" t="s">
        <v>1544</v>
      </c>
      <c r="M598" s="3" t="s">
        <v>262</v>
      </c>
      <c r="N598" s="4" t="s">
        <v>49</v>
      </c>
      <c r="O598" s="67" t="s">
        <v>49</v>
      </c>
      <c r="P598" s="3" t="s">
        <v>1545</v>
      </c>
      <c r="Q598" s="3" t="s">
        <v>51</v>
      </c>
      <c r="R598" s="3">
        <v>44</v>
      </c>
      <c r="S598" s="3" t="s">
        <v>52</v>
      </c>
      <c r="T598" s="3" t="s">
        <v>53</v>
      </c>
      <c r="U598" s="3" t="s">
        <v>54</v>
      </c>
      <c r="V598" s="7"/>
      <c r="W598" s="7"/>
      <c r="X598" s="7"/>
      <c r="Y598" s="7"/>
      <c r="Z598" s="3" t="s">
        <v>265</v>
      </c>
      <c r="AA598" s="3" t="s">
        <v>88</v>
      </c>
      <c r="AB598" s="3" t="s">
        <v>57</v>
      </c>
      <c r="AD598" s="3">
        <v>0.21181818181818182</v>
      </c>
      <c r="AE598" s="3">
        <v>0.21181818181818182</v>
      </c>
      <c r="AG598" s="3">
        <v>0.55000000000000004</v>
      </c>
      <c r="AH598" s="3">
        <v>61.6</v>
      </c>
      <c r="AI598" s="3">
        <v>23</v>
      </c>
      <c r="AJ598" s="89">
        <f t="shared" si="19"/>
        <v>49.916666666666664</v>
      </c>
      <c r="AK598" s="3" t="s">
        <v>58</v>
      </c>
      <c r="AL598" s="3">
        <f t="shared" si="18"/>
        <v>59.899999999999991</v>
      </c>
      <c r="AN598" t="s">
        <v>5518</v>
      </c>
      <c r="AO598" s="74" t="s">
        <v>5631</v>
      </c>
    </row>
    <row r="599" spans="1:41" ht="14.25" customHeight="1" x14ac:dyDescent="0.3">
      <c r="A599" s="3" t="s">
        <v>1572</v>
      </c>
      <c r="B599" s="3" t="s">
        <v>1573</v>
      </c>
      <c r="C599" s="3" t="s">
        <v>1451</v>
      </c>
      <c r="D599" s="3" t="s">
        <v>1574</v>
      </c>
      <c r="E599" s="3" t="s">
        <v>1453</v>
      </c>
      <c r="F599" s="3" t="s">
        <v>41</v>
      </c>
      <c r="G599" s="5" t="s">
        <v>42</v>
      </c>
      <c r="H599" s="5" t="s">
        <v>43</v>
      </c>
      <c r="I599" s="5" t="s">
        <v>44</v>
      </c>
      <c r="J599" s="3" t="s">
        <v>45</v>
      </c>
      <c r="K599" s="3" t="s">
        <v>1276</v>
      </c>
      <c r="L599" s="3" t="s">
        <v>1544</v>
      </c>
      <c r="M599" s="3" t="s">
        <v>262</v>
      </c>
      <c r="N599" s="4" t="s">
        <v>1454</v>
      </c>
      <c r="O599" s="67" t="s">
        <v>1802</v>
      </c>
      <c r="P599" s="3" t="s">
        <v>1545</v>
      </c>
      <c r="Q599" s="3" t="s">
        <v>51</v>
      </c>
      <c r="R599" s="3">
        <v>34</v>
      </c>
      <c r="S599" s="3" t="s">
        <v>52</v>
      </c>
      <c r="T599" s="3" t="s">
        <v>53</v>
      </c>
      <c r="U599" s="3" t="s">
        <v>281</v>
      </c>
      <c r="V599" s="7"/>
      <c r="W599" s="7"/>
      <c r="X599" s="7"/>
      <c r="Y599" s="7"/>
      <c r="Z599" s="3" t="s">
        <v>265</v>
      </c>
      <c r="AA599" s="3" t="s">
        <v>88</v>
      </c>
      <c r="AB599" s="3" t="s">
        <v>57</v>
      </c>
      <c r="AD599" s="3">
        <v>0.17941176470588235</v>
      </c>
      <c r="AE599" s="3">
        <v>0.17941176470588235</v>
      </c>
      <c r="AG599" s="3">
        <v>0.43</v>
      </c>
      <c r="AH599" s="3">
        <v>48.16</v>
      </c>
      <c r="AI599" s="3">
        <v>23</v>
      </c>
      <c r="AJ599" s="89">
        <f t="shared" si="19"/>
        <v>49.916666666666664</v>
      </c>
      <c r="AK599" s="3" t="s">
        <v>58</v>
      </c>
      <c r="AL599" s="3">
        <f t="shared" si="18"/>
        <v>59.899999999999991</v>
      </c>
      <c r="AN599" t="s">
        <v>5518</v>
      </c>
      <c r="AO599" s="74" t="s">
        <v>5631</v>
      </c>
    </row>
    <row r="600" spans="1:41" ht="14.25" customHeight="1" x14ac:dyDescent="0.3">
      <c r="A600" s="3" t="s">
        <v>1572</v>
      </c>
      <c r="B600" s="3" t="s">
        <v>1575</v>
      </c>
      <c r="C600" s="3" t="s">
        <v>1451</v>
      </c>
      <c r="D600" s="3" t="s">
        <v>1576</v>
      </c>
      <c r="E600" s="3" t="s">
        <v>1453</v>
      </c>
      <c r="F600" s="3" t="s">
        <v>41</v>
      </c>
      <c r="G600" s="5" t="s">
        <v>42</v>
      </c>
      <c r="H600" s="5" t="s">
        <v>43</v>
      </c>
      <c r="I600" s="5" t="s">
        <v>44</v>
      </c>
      <c r="J600" s="3" t="s">
        <v>45</v>
      </c>
      <c r="K600" s="3" t="s">
        <v>1276</v>
      </c>
      <c r="L600" s="3" t="s">
        <v>1544</v>
      </c>
      <c r="M600" s="3" t="s">
        <v>262</v>
      </c>
      <c r="N600" s="4" t="s">
        <v>1454</v>
      </c>
      <c r="O600" s="67" t="s">
        <v>1802</v>
      </c>
      <c r="P600" s="3" t="s">
        <v>1545</v>
      </c>
      <c r="Q600" s="3" t="s">
        <v>51</v>
      </c>
      <c r="R600" s="3">
        <v>34</v>
      </c>
      <c r="S600" s="3" t="s">
        <v>52</v>
      </c>
      <c r="T600" s="3" t="s">
        <v>53</v>
      </c>
      <c r="U600" s="3" t="s">
        <v>54</v>
      </c>
      <c r="V600" s="7"/>
      <c r="W600" s="7"/>
      <c r="X600" s="7"/>
      <c r="Y600" s="7"/>
      <c r="Z600" s="3" t="s">
        <v>265</v>
      </c>
      <c r="AA600" s="3" t="s">
        <v>88</v>
      </c>
      <c r="AB600" s="3" t="s">
        <v>57</v>
      </c>
      <c r="AD600" s="3">
        <v>0.17941176470588235</v>
      </c>
      <c r="AE600" s="3">
        <v>0.17941176470588235</v>
      </c>
      <c r="AG600" s="3">
        <v>0.43</v>
      </c>
      <c r="AH600" s="3">
        <v>48.16</v>
      </c>
      <c r="AI600" s="3">
        <v>23</v>
      </c>
      <c r="AJ600" s="89">
        <f t="shared" si="19"/>
        <v>49.916666666666664</v>
      </c>
      <c r="AK600" s="3" t="s">
        <v>58</v>
      </c>
      <c r="AL600" s="3">
        <f t="shared" si="18"/>
        <v>59.899999999999991</v>
      </c>
      <c r="AN600" t="s">
        <v>5518</v>
      </c>
      <c r="AO600" s="74" t="s">
        <v>5631</v>
      </c>
    </row>
    <row r="601" spans="1:41" ht="14.25" customHeight="1" x14ac:dyDescent="0.3">
      <c r="A601" s="3" t="s">
        <v>1572</v>
      </c>
      <c r="B601" s="3" t="s">
        <v>1577</v>
      </c>
      <c r="C601" s="3" t="s">
        <v>1451</v>
      </c>
      <c r="D601" s="3" t="s">
        <v>1578</v>
      </c>
      <c r="E601" s="3" t="s">
        <v>1453</v>
      </c>
      <c r="F601" s="3" t="s">
        <v>41</v>
      </c>
      <c r="G601" s="5" t="s">
        <v>42</v>
      </c>
      <c r="H601" s="5" t="s">
        <v>43</v>
      </c>
      <c r="I601" s="5" t="s">
        <v>44</v>
      </c>
      <c r="J601" s="3" t="s">
        <v>45</v>
      </c>
      <c r="K601" s="3" t="s">
        <v>1276</v>
      </c>
      <c r="L601" s="3" t="s">
        <v>1544</v>
      </c>
      <c r="M601" s="3" t="s">
        <v>262</v>
      </c>
      <c r="N601" s="4" t="s">
        <v>279</v>
      </c>
      <c r="O601" s="67" t="s">
        <v>279</v>
      </c>
      <c r="P601" s="3" t="s">
        <v>1545</v>
      </c>
      <c r="Q601" s="3" t="s">
        <v>51</v>
      </c>
      <c r="R601" s="3">
        <v>34</v>
      </c>
      <c r="S601" s="3" t="s">
        <v>52</v>
      </c>
      <c r="T601" s="3" t="s">
        <v>53</v>
      </c>
      <c r="U601" s="3" t="s">
        <v>281</v>
      </c>
      <c r="V601" s="7"/>
      <c r="W601" s="7"/>
      <c r="X601" s="7"/>
      <c r="Y601" s="7"/>
      <c r="Z601" s="3" t="s">
        <v>265</v>
      </c>
      <c r="AA601" s="3" t="s">
        <v>88</v>
      </c>
      <c r="AB601" s="3" t="s">
        <v>57</v>
      </c>
      <c r="AD601" s="3">
        <v>0.17941176470588235</v>
      </c>
      <c r="AE601" s="3">
        <v>0.17941176470588235</v>
      </c>
      <c r="AG601" s="3">
        <v>0.43</v>
      </c>
      <c r="AH601" s="3">
        <v>48.16</v>
      </c>
      <c r="AI601" s="3">
        <v>23</v>
      </c>
      <c r="AJ601" s="89">
        <f t="shared" si="19"/>
        <v>49.916666666666664</v>
      </c>
      <c r="AK601" s="3" t="s">
        <v>58</v>
      </c>
      <c r="AL601" s="3">
        <f t="shared" si="18"/>
        <v>59.899999999999991</v>
      </c>
      <c r="AN601" t="s">
        <v>5518</v>
      </c>
      <c r="AO601" s="74" t="s">
        <v>5631</v>
      </c>
    </row>
    <row r="602" spans="1:41" ht="14.25" customHeight="1" x14ac:dyDescent="0.3">
      <c r="A602" s="3" t="s">
        <v>1572</v>
      </c>
      <c r="B602" s="3" t="s">
        <v>1579</v>
      </c>
      <c r="C602" s="3" t="s">
        <v>1451</v>
      </c>
      <c r="D602" s="3" t="s">
        <v>1580</v>
      </c>
      <c r="E602" s="3" t="s">
        <v>1453</v>
      </c>
      <c r="F602" s="3" t="s">
        <v>41</v>
      </c>
      <c r="G602" s="5" t="s">
        <v>42</v>
      </c>
      <c r="H602" s="5" t="s">
        <v>43</v>
      </c>
      <c r="I602" s="5" t="s">
        <v>44</v>
      </c>
      <c r="J602" s="3" t="s">
        <v>45</v>
      </c>
      <c r="K602" s="3" t="s">
        <v>1276</v>
      </c>
      <c r="L602" s="3" t="s">
        <v>1544</v>
      </c>
      <c r="M602" s="3" t="s">
        <v>262</v>
      </c>
      <c r="N602" s="4" t="s">
        <v>279</v>
      </c>
      <c r="O602" s="67" t="s">
        <v>279</v>
      </c>
      <c r="P602" s="3" t="s">
        <v>1545</v>
      </c>
      <c r="Q602" s="3" t="s">
        <v>51</v>
      </c>
      <c r="R602" s="3">
        <v>34</v>
      </c>
      <c r="S602" s="3" t="s">
        <v>52</v>
      </c>
      <c r="T602" s="3" t="s">
        <v>53</v>
      </c>
      <c r="U602" s="3" t="s">
        <v>54</v>
      </c>
      <c r="V602" s="7"/>
      <c r="W602" s="7"/>
      <c r="X602" s="7"/>
      <c r="Y602" s="7"/>
      <c r="Z602" s="3" t="s">
        <v>265</v>
      </c>
      <c r="AA602" s="3" t="s">
        <v>88</v>
      </c>
      <c r="AB602" s="3" t="s">
        <v>57</v>
      </c>
      <c r="AD602" s="3">
        <v>0.17941176470588235</v>
      </c>
      <c r="AE602" s="3">
        <v>0.17941176470588235</v>
      </c>
      <c r="AG602" s="3">
        <v>0.43</v>
      </c>
      <c r="AH602" s="3">
        <v>48.16</v>
      </c>
      <c r="AI602" s="3">
        <v>23</v>
      </c>
      <c r="AJ602" s="89">
        <f t="shared" si="19"/>
        <v>49.916666666666664</v>
      </c>
      <c r="AK602" s="3" t="s">
        <v>58</v>
      </c>
      <c r="AL602" s="3">
        <f t="shared" si="18"/>
        <v>59.899999999999991</v>
      </c>
      <c r="AN602" t="s">
        <v>5518</v>
      </c>
      <c r="AO602" s="74" t="s">
        <v>5631</v>
      </c>
    </row>
    <row r="603" spans="1:41" ht="14.25" customHeight="1" x14ac:dyDescent="0.3">
      <c r="A603" s="3" t="s">
        <v>1572</v>
      </c>
      <c r="B603" s="3" t="s">
        <v>1581</v>
      </c>
      <c r="C603" s="3" t="s">
        <v>1451</v>
      </c>
      <c r="D603" s="3" t="s">
        <v>1582</v>
      </c>
      <c r="E603" s="3" t="s">
        <v>1453</v>
      </c>
      <c r="F603" s="3" t="s">
        <v>41</v>
      </c>
      <c r="G603" s="5" t="s">
        <v>42</v>
      </c>
      <c r="H603" s="5" t="s">
        <v>43</v>
      </c>
      <c r="I603" s="5" t="s">
        <v>44</v>
      </c>
      <c r="J603" s="3" t="s">
        <v>45</v>
      </c>
      <c r="K603" s="3" t="s">
        <v>1276</v>
      </c>
      <c r="L603" s="3" t="s">
        <v>1544</v>
      </c>
      <c r="M603" s="3" t="s">
        <v>262</v>
      </c>
      <c r="N603" s="4" t="s">
        <v>1463</v>
      </c>
      <c r="O603" s="67" t="s">
        <v>1463</v>
      </c>
      <c r="P603" s="3" t="s">
        <v>1545</v>
      </c>
      <c r="Q603" s="3" t="s">
        <v>51</v>
      </c>
      <c r="R603" s="3">
        <v>34</v>
      </c>
      <c r="S603" s="3" t="s">
        <v>52</v>
      </c>
      <c r="T603" s="3" t="s">
        <v>53</v>
      </c>
      <c r="U603" s="3" t="s">
        <v>281</v>
      </c>
      <c r="V603" s="7"/>
      <c r="W603" s="7"/>
      <c r="X603" s="7"/>
      <c r="Y603" s="7"/>
      <c r="Z603" s="3" t="s">
        <v>265</v>
      </c>
      <c r="AA603" s="3" t="s">
        <v>88</v>
      </c>
      <c r="AB603" s="3" t="s">
        <v>57</v>
      </c>
      <c r="AD603" s="3">
        <v>0.17941176470588235</v>
      </c>
      <c r="AE603" s="3">
        <v>0.17941176470588235</v>
      </c>
      <c r="AG603" s="3">
        <v>0.43</v>
      </c>
      <c r="AH603" s="3">
        <v>48.16</v>
      </c>
      <c r="AI603" s="3">
        <v>23</v>
      </c>
      <c r="AJ603" s="89">
        <f t="shared" si="19"/>
        <v>49.916666666666664</v>
      </c>
      <c r="AK603" s="3" t="s">
        <v>58</v>
      </c>
      <c r="AL603" s="3">
        <f t="shared" si="18"/>
        <v>59.899999999999991</v>
      </c>
      <c r="AN603" t="s">
        <v>5518</v>
      </c>
      <c r="AO603" s="74" t="s">
        <v>5631</v>
      </c>
    </row>
    <row r="604" spans="1:41" ht="14.25" customHeight="1" x14ac:dyDescent="0.3">
      <c r="A604" s="3" t="s">
        <v>1572</v>
      </c>
      <c r="B604" s="3" t="s">
        <v>1583</v>
      </c>
      <c r="C604" s="3" t="s">
        <v>1451</v>
      </c>
      <c r="D604" s="3" t="s">
        <v>1584</v>
      </c>
      <c r="E604" s="3" t="s">
        <v>1453</v>
      </c>
      <c r="F604" s="3" t="s">
        <v>41</v>
      </c>
      <c r="G604" s="5" t="s">
        <v>42</v>
      </c>
      <c r="H604" s="5" t="s">
        <v>43</v>
      </c>
      <c r="I604" s="5" t="s">
        <v>44</v>
      </c>
      <c r="J604" s="3" t="s">
        <v>45</v>
      </c>
      <c r="K604" s="3" t="s">
        <v>1276</v>
      </c>
      <c r="L604" s="3" t="s">
        <v>1544</v>
      </c>
      <c r="M604" s="3" t="s">
        <v>262</v>
      </c>
      <c r="N604" s="4" t="s">
        <v>1463</v>
      </c>
      <c r="O604" s="67" t="s">
        <v>1463</v>
      </c>
      <c r="P604" s="3" t="s">
        <v>1545</v>
      </c>
      <c r="Q604" s="3" t="s">
        <v>51</v>
      </c>
      <c r="R604" s="3">
        <v>34</v>
      </c>
      <c r="S604" s="3" t="s">
        <v>52</v>
      </c>
      <c r="T604" s="3" t="s">
        <v>53</v>
      </c>
      <c r="U604" s="3" t="s">
        <v>54</v>
      </c>
      <c r="V604" s="7"/>
      <c r="W604" s="7"/>
      <c r="X604" s="7"/>
      <c r="Y604" s="7"/>
      <c r="Z604" s="3" t="s">
        <v>265</v>
      </c>
      <c r="AA604" s="3" t="s">
        <v>88</v>
      </c>
      <c r="AB604" s="3" t="s">
        <v>57</v>
      </c>
      <c r="AD604" s="3">
        <v>0.17941176470588235</v>
      </c>
      <c r="AE604" s="3">
        <v>0.17941176470588235</v>
      </c>
      <c r="AG604" s="3">
        <v>0.43</v>
      </c>
      <c r="AH604" s="3">
        <v>48.16</v>
      </c>
      <c r="AI604" s="3">
        <v>23</v>
      </c>
      <c r="AJ604" s="89">
        <f t="shared" si="19"/>
        <v>49.916666666666664</v>
      </c>
      <c r="AK604" s="3" t="s">
        <v>58</v>
      </c>
      <c r="AL604" s="3">
        <f t="shared" si="18"/>
        <v>59.899999999999991</v>
      </c>
      <c r="AN604" t="s">
        <v>5518</v>
      </c>
      <c r="AO604" s="74" t="s">
        <v>5631</v>
      </c>
    </row>
    <row r="605" spans="1:41" ht="14.25" customHeight="1" x14ac:dyDescent="0.3">
      <c r="A605" s="3" t="s">
        <v>1572</v>
      </c>
      <c r="B605" s="3" t="s">
        <v>1585</v>
      </c>
      <c r="C605" s="3" t="s">
        <v>1451</v>
      </c>
      <c r="D605" s="3" t="s">
        <v>1586</v>
      </c>
      <c r="E605" s="3" t="s">
        <v>1453</v>
      </c>
      <c r="F605" s="3" t="s">
        <v>41</v>
      </c>
      <c r="G605" s="5" t="s">
        <v>42</v>
      </c>
      <c r="H605" s="5" t="s">
        <v>43</v>
      </c>
      <c r="I605" s="5" t="s">
        <v>44</v>
      </c>
      <c r="J605" s="3" t="s">
        <v>45</v>
      </c>
      <c r="K605" s="3" t="s">
        <v>1276</v>
      </c>
      <c r="L605" s="3" t="s">
        <v>1544</v>
      </c>
      <c r="M605" s="3" t="s">
        <v>262</v>
      </c>
      <c r="N605" s="4" t="s">
        <v>1468</v>
      </c>
      <c r="O605" s="67" t="s">
        <v>586</v>
      </c>
      <c r="P605" s="3" t="s">
        <v>1545</v>
      </c>
      <c r="Q605" s="3" t="s">
        <v>51</v>
      </c>
      <c r="R605" s="3">
        <v>34</v>
      </c>
      <c r="S605" s="3" t="s">
        <v>52</v>
      </c>
      <c r="T605" s="3" t="s">
        <v>53</v>
      </c>
      <c r="U605" s="3" t="s">
        <v>281</v>
      </c>
      <c r="V605" s="7"/>
      <c r="W605" s="7"/>
      <c r="X605" s="7"/>
      <c r="Y605" s="7"/>
      <c r="Z605" s="3" t="s">
        <v>265</v>
      </c>
      <c r="AA605" s="3" t="s">
        <v>88</v>
      </c>
      <c r="AB605" s="3" t="s">
        <v>57</v>
      </c>
      <c r="AD605" s="3">
        <v>0.17941176470588235</v>
      </c>
      <c r="AE605" s="3">
        <v>0.17941176470588235</v>
      </c>
      <c r="AG605" s="3">
        <v>0.43</v>
      </c>
      <c r="AH605" s="3">
        <v>48.16</v>
      </c>
      <c r="AI605" s="3">
        <v>23</v>
      </c>
      <c r="AJ605" s="89">
        <f t="shared" si="19"/>
        <v>49.916666666666664</v>
      </c>
      <c r="AK605" s="3" t="s">
        <v>58</v>
      </c>
      <c r="AL605" s="3">
        <f t="shared" si="18"/>
        <v>59.899999999999991</v>
      </c>
      <c r="AN605" t="s">
        <v>5518</v>
      </c>
      <c r="AO605" s="74" t="s">
        <v>5631</v>
      </c>
    </row>
    <row r="606" spans="1:41" ht="14.25" customHeight="1" x14ac:dyDescent="0.3">
      <c r="A606" s="3" t="s">
        <v>1572</v>
      </c>
      <c r="B606" s="3" t="s">
        <v>1587</v>
      </c>
      <c r="C606" s="3" t="s">
        <v>1451</v>
      </c>
      <c r="D606" s="3" t="s">
        <v>1588</v>
      </c>
      <c r="E606" s="3" t="s">
        <v>1453</v>
      </c>
      <c r="F606" s="3" t="s">
        <v>41</v>
      </c>
      <c r="G606" s="5" t="s">
        <v>42</v>
      </c>
      <c r="H606" s="5" t="s">
        <v>43</v>
      </c>
      <c r="I606" s="5" t="s">
        <v>44</v>
      </c>
      <c r="J606" s="3" t="s">
        <v>45</v>
      </c>
      <c r="K606" s="3" t="s">
        <v>1276</v>
      </c>
      <c r="L606" s="3" t="s">
        <v>1544</v>
      </c>
      <c r="M606" s="3" t="s">
        <v>262</v>
      </c>
      <c r="N606" s="4" t="s">
        <v>1468</v>
      </c>
      <c r="O606" s="67" t="s">
        <v>586</v>
      </c>
      <c r="P606" s="3" t="s">
        <v>1545</v>
      </c>
      <c r="Q606" s="3" t="s">
        <v>51</v>
      </c>
      <c r="R606" s="3">
        <v>34</v>
      </c>
      <c r="S606" s="3" t="s">
        <v>52</v>
      </c>
      <c r="T606" s="3" t="s">
        <v>53</v>
      </c>
      <c r="U606" s="3" t="s">
        <v>54</v>
      </c>
      <c r="V606" s="7"/>
      <c r="W606" s="7"/>
      <c r="X606" s="7"/>
      <c r="Y606" s="7"/>
      <c r="Z606" s="3" t="s">
        <v>265</v>
      </c>
      <c r="AA606" s="3" t="s">
        <v>88</v>
      </c>
      <c r="AB606" s="3" t="s">
        <v>57</v>
      </c>
      <c r="AD606" s="3">
        <v>0.17941176470588235</v>
      </c>
      <c r="AE606" s="3">
        <v>0.17941176470588235</v>
      </c>
      <c r="AG606" s="3">
        <v>0.43</v>
      </c>
      <c r="AH606" s="3">
        <v>48.16</v>
      </c>
      <c r="AI606" s="3">
        <v>23</v>
      </c>
      <c r="AJ606" s="89">
        <f t="shared" si="19"/>
        <v>49.916666666666664</v>
      </c>
      <c r="AK606" s="3" t="s">
        <v>58</v>
      </c>
      <c r="AL606" s="3">
        <f t="shared" si="18"/>
        <v>59.899999999999991</v>
      </c>
      <c r="AN606" t="s">
        <v>5518</v>
      </c>
      <c r="AO606" s="74" t="s">
        <v>5631</v>
      </c>
    </row>
    <row r="607" spans="1:41" ht="14.25" customHeight="1" x14ac:dyDescent="0.3">
      <c r="A607" s="3" t="s">
        <v>1572</v>
      </c>
      <c r="B607" s="3" t="s">
        <v>1589</v>
      </c>
      <c r="C607" s="3" t="s">
        <v>1451</v>
      </c>
      <c r="D607" s="3" t="s">
        <v>1590</v>
      </c>
      <c r="E607" s="3" t="s">
        <v>1453</v>
      </c>
      <c r="F607" s="3" t="s">
        <v>41</v>
      </c>
      <c r="G607" s="5" t="s">
        <v>42</v>
      </c>
      <c r="H607" s="5" t="s">
        <v>43</v>
      </c>
      <c r="I607" s="5" t="s">
        <v>44</v>
      </c>
      <c r="J607" s="3" t="s">
        <v>45</v>
      </c>
      <c r="K607" s="3" t="s">
        <v>1276</v>
      </c>
      <c r="L607" s="3" t="s">
        <v>1544</v>
      </c>
      <c r="M607" s="3" t="s">
        <v>262</v>
      </c>
      <c r="N607" s="4" t="s">
        <v>454</v>
      </c>
      <c r="O607" s="67" t="s">
        <v>454</v>
      </c>
      <c r="P607" s="3" t="s">
        <v>1545</v>
      </c>
      <c r="Q607" s="3" t="s">
        <v>51</v>
      </c>
      <c r="R607" s="3">
        <v>34</v>
      </c>
      <c r="S607" s="3" t="s">
        <v>52</v>
      </c>
      <c r="T607" s="3" t="s">
        <v>53</v>
      </c>
      <c r="U607" s="3" t="s">
        <v>281</v>
      </c>
      <c r="V607" s="7"/>
      <c r="W607" s="7"/>
      <c r="X607" s="7"/>
      <c r="Y607" s="7"/>
      <c r="Z607" s="3" t="s">
        <v>265</v>
      </c>
      <c r="AA607" s="3" t="s">
        <v>88</v>
      </c>
      <c r="AB607" s="3" t="s">
        <v>57</v>
      </c>
      <c r="AD607" s="3">
        <v>0.17941176470588235</v>
      </c>
      <c r="AE607" s="3">
        <v>0.17941176470588235</v>
      </c>
      <c r="AG607" s="3">
        <v>0.43</v>
      </c>
      <c r="AH607" s="3">
        <v>48.16</v>
      </c>
      <c r="AI607" s="3">
        <v>23</v>
      </c>
      <c r="AJ607" s="89">
        <f t="shared" ref="AJ607:AJ640" si="20">59.9/1.2</f>
        <v>49.916666666666664</v>
      </c>
      <c r="AK607" s="3" t="s">
        <v>58</v>
      </c>
      <c r="AL607" s="3">
        <f t="shared" ref="AL607:AL660" si="21">AJ607*1.2</f>
        <v>59.899999999999991</v>
      </c>
      <c r="AN607" t="s">
        <v>5518</v>
      </c>
      <c r="AO607" s="74" t="s">
        <v>5631</v>
      </c>
    </row>
    <row r="608" spans="1:41" ht="14.25" customHeight="1" x14ac:dyDescent="0.3">
      <c r="A608" s="3" t="s">
        <v>1572</v>
      </c>
      <c r="B608" s="3" t="s">
        <v>1591</v>
      </c>
      <c r="C608" s="3" t="s">
        <v>1451</v>
      </c>
      <c r="D608" s="3" t="s">
        <v>1592</v>
      </c>
      <c r="E608" s="3" t="s">
        <v>1453</v>
      </c>
      <c r="F608" s="3" t="s">
        <v>41</v>
      </c>
      <c r="G608" s="5" t="s">
        <v>42</v>
      </c>
      <c r="H608" s="5" t="s">
        <v>43</v>
      </c>
      <c r="I608" s="5" t="s">
        <v>44</v>
      </c>
      <c r="J608" s="3" t="s">
        <v>45</v>
      </c>
      <c r="K608" s="3" t="s">
        <v>1276</v>
      </c>
      <c r="L608" s="3" t="s">
        <v>1544</v>
      </c>
      <c r="M608" s="3" t="s">
        <v>262</v>
      </c>
      <c r="N608" s="4" t="s">
        <v>454</v>
      </c>
      <c r="O608" s="67" t="s">
        <v>454</v>
      </c>
      <c r="P608" s="3" t="s">
        <v>1545</v>
      </c>
      <c r="Q608" s="3" t="s">
        <v>51</v>
      </c>
      <c r="R608" s="3">
        <v>34</v>
      </c>
      <c r="S608" s="3" t="s">
        <v>52</v>
      </c>
      <c r="T608" s="3" t="s">
        <v>53</v>
      </c>
      <c r="U608" s="3" t="s">
        <v>54</v>
      </c>
      <c r="V608" s="7"/>
      <c r="W608" s="7"/>
      <c r="X608" s="7"/>
      <c r="Y608" s="7"/>
      <c r="Z608" s="3" t="s">
        <v>265</v>
      </c>
      <c r="AA608" s="3" t="s">
        <v>88</v>
      </c>
      <c r="AB608" s="3" t="s">
        <v>57</v>
      </c>
      <c r="AD608" s="3">
        <v>0.17941176470588235</v>
      </c>
      <c r="AE608" s="3">
        <v>0.17941176470588235</v>
      </c>
      <c r="AG608" s="3">
        <v>0.43</v>
      </c>
      <c r="AH608" s="3">
        <v>48.16</v>
      </c>
      <c r="AI608" s="3">
        <v>23</v>
      </c>
      <c r="AJ608" s="89">
        <f t="shared" si="20"/>
        <v>49.916666666666664</v>
      </c>
      <c r="AK608" s="3" t="s">
        <v>58</v>
      </c>
      <c r="AL608" s="3">
        <f t="shared" si="21"/>
        <v>59.899999999999991</v>
      </c>
      <c r="AN608" t="s">
        <v>5518</v>
      </c>
      <c r="AO608" s="74" t="s">
        <v>5631</v>
      </c>
    </row>
    <row r="609" spans="1:41" ht="14.25" customHeight="1" x14ac:dyDescent="0.3">
      <c r="A609" s="3" t="s">
        <v>1572</v>
      </c>
      <c r="B609" s="3" t="s">
        <v>1593</v>
      </c>
      <c r="C609" s="3" t="s">
        <v>1451</v>
      </c>
      <c r="D609" s="3" t="s">
        <v>1594</v>
      </c>
      <c r="E609" s="3" t="s">
        <v>1453</v>
      </c>
      <c r="F609" s="3" t="s">
        <v>41</v>
      </c>
      <c r="G609" s="5" t="s">
        <v>42</v>
      </c>
      <c r="H609" s="5" t="s">
        <v>43</v>
      </c>
      <c r="I609" s="5" t="s">
        <v>44</v>
      </c>
      <c r="J609" s="3" t="s">
        <v>45</v>
      </c>
      <c r="K609" s="3" t="s">
        <v>1276</v>
      </c>
      <c r="L609" s="3" t="s">
        <v>1544</v>
      </c>
      <c r="M609" s="3" t="s">
        <v>262</v>
      </c>
      <c r="N609" s="4" t="s">
        <v>61</v>
      </c>
      <c r="O609" s="67" t="s">
        <v>61</v>
      </c>
      <c r="P609" s="3" t="s">
        <v>1545</v>
      </c>
      <c r="Q609" s="3" t="s">
        <v>51</v>
      </c>
      <c r="R609" s="3">
        <v>34</v>
      </c>
      <c r="S609" s="3" t="s">
        <v>52</v>
      </c>
      <c r="T609" s="3" t="s">
        <v>53</v>
      </c>
      <c r="U609" s="3" t="s">
        <v>281</v>
      </c>
      <c r="V609" s="7"/>
      <c r="W609" s="7"/>
      <c r="X609" s="7"/>
      <c r="Y609" s="7"/>
      <c r="Z609" s="3" t="s">
        <v>265</v>
      </c>
      <c r="AA609" s="3" t="s">
        <v>88</v>
      </c>
      <c r="AB609" s="3" t="s">
        <v>57</v>
      </c>
      <c r="AD609" s="3">
        <v>0.17941176470588235</v>
      </c>
      <c r="AE609" s="3">
        <v>0.17941176470588235</v>
      </c>
      <c r="AG609" s="3">
        <v>0.43</v>
      </c>
      <c r="AH609" s="3">
        <v>48.16</v>
      </c>
      <c r="AI609" s="3">
        <v>23</v>
      </c>
      <c r="AJ609" s="89">
        <f t="shared" si="20"/>
        <v>49.916666666666664</v>
      </c>
      <c r="AK609" s="3" t="s">
        <v>58</v>
      </c>
      <c r="AL609" s="3">
        <f t="shared" si="21"/>
        <v>59.899999999999991</v>
      </c>
      <c r="AN609" t="s">
        <v>5518</v>
      </c>
      <c r="AO609" s="74" t="s">
        <v>5631</v>
      </c>
    </row>
    <row r="610" spans="1:41" ht="14.25" customHeight="1" x14ac:dyDescent="0.3">
      <c r="A610" s="3" t="s">
        <v>1572</v>
      </c>
      <c r="B610" s="3" t="s">
        <v>1595</v>
      </c>
      <c r="C610" s="3" t="s">
        <v>1451</v>
      </c>
      <c r="D610" s="3" t="s">
        <v>1596</v>
      </c>
      <c r="E610" s="3" t="s">
        <v>1453</v>
      </c>
      <c r="F610" s="3" t="s">
        <v>41</v>
      </c>
      <c r="G610" s="5" t="s">
        <v>42</v>
      </c>
      <c r="H610" s="5" t="s">
        <v>43</v>
      </c>
      <c r="I610" s="5" t="s">
        <v>44</v>
      </c>
      <c r="J610" s="3" t="s">
        <v>45</v>
      </c>
      <c r="K610" s="3" t="s">
        <v>1276</v>
      </c>
      <c r="L610" s="3" t="s">
        <v>1544</v>
      </c>
      <c r="M610" s="3" t="s">
        <v>262</v>
      </c>
      <c r="N610" s="4" t="s">
        <v>61</v>
      </c>
      <c r="O610" s="67" t="s">
        <v>61</v>
      </c>
      <c r="P610" s="3" t="s">
        <v>1545</v>
      </c>
      <c r="Q610" s="3" t="s">
        <v>51</v>
      </c>
      <c r="R610" s="3">
        <v>34</v>
      </c>
      <c r="S610" s="3" t="s">
        <v>52</v>
      </c>
      <c r="T610" s="3" t="s">
        <v>53</v>
      </c>
      <c r="U610" s="3" t="s">
        <v>54</v>
      </c>
      <c r="V610" s="7"/>
      <c r="W610" s="7"/>
      <c r="X610" s="7"/>
      <c r="Y610" s="7"/>
      <c r="Z610" s="3" t="s">
        <v>265</v>
      </c>
      <c r="AA610" s="3" t="s">
        <v>88</v>
      </c>
      <c r="AB610" s="3" t="s">
        <v>57</v>
      </c>
      <c r="AD610" s="3">
        <v>0.17941176470588235</v>
      </c>
      <c r="AE610" s="3">
        <v>0.17941176470588235</v>
      </c>
      <c r="AG610" s="3">
        <v>0.43</v>
      </c>
      <c r="AH610" s="3">
        <v>48.16</v>
      </c>
      <c r="AI610" s="3">
        <v>23</v>
      </c>
      <c r="AJ610" s="89">
        <f t="shared" si="20"/>
        <v>49.916666666666664</v>
      </c>
      <c r="AK610" s="3" t="s">
        <v>58</v>
      </c>
      <c r="AL610" s="3">
        <f t="shared" si="21"/>
        <v>59.899999999999991</v>
      </c>
      <c r="AN610" t="s">
        <v>5518</v>
      </c>
      <c r="AO610" s="74" t="s">
        <v>5631</v>
      </c>
    </row>
    <row r="611" spans="1:41" ht="14.25" customHeight="1" x14ac:dyDescent="0.3">
      <c r="A611" s="3" t="s">
        <v>1572</v>
      </c>
      <c r="B611" s="3" t="s">
        <v>1597</v>
      </c>
      <c r="C611" s="3" t="s">
        <v>1451</v>
      </c>
      <c r="D611" s="3" t="s">
        <v>1598</v>
      </c>
      <c r="E611" s="3" t="s">
        <v>1453</v>
      </c>
      <c r="F611" s="3" t="s">
        <v>41</v>
      </c>
      <c r="G611" s="5" t="s">
        <v>42</v>
      </c>
      <c r="H611" s="5" t="s">
        <v>43</v>
      </c>
      <c r="I611" s="5" t="s">
        <v>44</v>
      </c>
      <c r="J611" s="3" t="s">
        <v>45</v>
      </c>
      <c r="K611" s="3" t="s">
        <v>1276</v>
      </c>
      <c r="L611" s="3" t="s">
        <v>1544</v>
      </c>
      <c r="M611" s="3" t="s">
        <v>262</v>
      </c>
      <c r="N611" s="4" t="s">
        <v>49</v>
      </c>
      <c r="O611" s="67" t="s">
        <v>49</v>
      </c>
      <c r="P611" s="3" t="s">
        <v>1545</v>
      </c>
      <c r="Q611" s="3" t="s">
        <v>51</v>
      </c>
      <c r="R611" s="3">
        <v>34</v>
      </c>
      <c r="S611" s="3" t="s">
        <v>52</v>
      </c>
      <c r="T611" s="3" t="s">
        <v>53</v>
      </c>
      <c r="U611" s="3" t="s">
        <v>281</v>
      </c>
      <c r="V611" s="7"/>
      <c r="W611" s="7"/>
      <c r="X611" s="7"/>
      <c r="Y611" s="7"/>
      <c r="Z611" s="3" t="s">
        <v>265</v>
      </c>
      <c r="AA611" s="3" t="s">
        <v>88</v>
      </c>
      <c r="AB611" s="3" t="s">
        <v>57</v>
      </c>
      <c r="AD611" s="3">
        <v>0.17941176470588235</v>
      </c>
      <c r="AE611" s="3">
        <v>0.17941176470588235</v>
      </c>
      <c r="AG611" s="3">
        <v>0.43</v>
      </c>
      <c r="AH611" s="3">
        <v>48.16</v>
      </c>
      <c r="AI611" s="3">
        <v>23</v>
      </c>
      <c r="AJ611" s="89">
        <f t="shared" si="20"/>
        <v>49.916666666666664</v>
      </c>
      <c r="AK611" s="3" t="s">
        <v>58</v>
      </c>
      <c r="AL611" s="3">
        <f t="shared" si="21"/>
        <v>59.899999999999991</v>
      </c>
      <c r="AN611" t="s">
        <v>5518</v>
      </c>
      <c r="AO611" s="74" t="s">
        <v>5631</v>
      </c>
    </row>
    <row r="612" spans="1:41" ht="14.25" customHeight="1" x14ac:dyDescent="0.3">
      <c r="A612" s="3" t="s">
        <v>1572</v>
      </c>
      <c r="B612" s="3" t="s">
        <v>1599</v>
      </c>
      <c r="C612" s="3" t="s">
        <v>1451</v>
      </c>
      <c r="D612" s="3" t="s">
        <v>1600</v>
      </c>
      <c r="E612" s="3" t="s">
        <v>1453</v>
      </c>
      <c r="F612" s="3" t="s">
        <v>41</v>
      </c>
      <c r="G612" s="5" t="s">
        <v>42</v>
      </c>
      <c r="H612" s="5" t="s">
        <v>43</v>
      </c>
      <c r="I612" s="5" t="s">
        <v>44</v>
      </c>
      <c r="J612" s="3" t="s">
        <v>45</v>
      </c>
      <c r="K612" s="3" t="s">
        <v>1276</v>
      </c>
      <c r="L612" s="3" t="s">
        <v>1544</v>
      </c>
      <c r="M612" s="3" t="s">
        <v>262</v>
      </c>
      <c r="N612" s="4" t="s">
        <v>49</v>
      </c>
      <c r="O612" s="67" t="s">
        <v>49</v>
      </c>
      <c r="P612" s="3" t="s">
        <v>1545</v>
      </c>
      <c r="Q612" s="3" t="s">
        <v>51</v>
      </c>
      <c r="R612" s="3">
        <v>34</v>
      </c>
      <c r="S612" s="3" t="s">
        <v>52</v>
      </c>
      <c r="T612" s="3" t="s">
        <v>53</v>
      </c>
      <c r="U612" s="3" t="s">
        <v>54</v>
      </c>
      <c r="V612" s="7"/>
      <c r="W612" s="7"/>
      <c r="X612" s="7"/>
      <c r="Y612" s="7"/>
      <c r="Z612" s="3" t="s">
        <v>265</v>
      </c>
      <c r="AA612" s="3" t="s">
        <v>88</v>
      </c>
      <c r="AB612" s="3" t="s">
        <v>57</v>
      </c>
      <c r="AD612" s="3">
        <v>0.17941176470588235</v>
      </c>
      <c r="AE612" s="3">
        <v>0.17941176470588235</v>
      </c>
      <c r="AG612" s="3">
        <v>0.43</v>
      </c>
      <c r="AH612" s="3">
        <v>48.16</v>
      </c>
      <c r="AI612" s="3">
        <v>23</v>
      </c>
      <c r="AJ612" s="89">
        <f t="shared" si="20"/>
        <v>49.916666666666664</v>
      </c>
      <c r="AK612" s="3" t="s">
        <v>58</v>
      </c>
      <c r="AL612" s="3">
        <f t="shared" si="21"/>
        <v>59.899999999999991</v>
      </c>
      <c r="AN612" t="s">
        <v>5518</v>
      </c>
      <c r="AO612" s="74" t="s">
        <v>5631</v>
      </c>
    </row>
    <row r="613" spans="1:41" ht="14.25" customHeight="1" x14ac:dyDescent="0.3">
      <c r="A613" s="3" t="s">
        <v>1630</v>
      </c>
      <c r="B613" s="3" t="s">
        <v>1631</v>
      </c>
      <c r="C613" s="3" t="s">
        <v>1451</v>
      </c>
      <c r="D613" s="3" t="s">
        <v>1632</v>
      </c>
      <c r="E613" s="3" t="s">
        <v>1453</v>
      </c>
      <c r="F613" s="3" t="s">
        <v>41</v>
      </c>
      <c r="G613" s="5" t="s">
        <v>42</v>
      </c>
      <c r="H613" s="5" t="s">
        <v>43</v>
      </c>
      <c r="I613" s="5" t="s">
        <v>44</v>
      </c>
      <c r="J613" s="3" t="s">
        <v>45</v>
      </c>
      <c r="K613" s="3" t="s">
        <v>1276</v>
      </c>
      <c r="L613" s="3" t="s">
        <v>1544</v>
      </c>
      <c r="M613" s="3" t="s">
        <v>262</v>
      </c>
      <c r="N613" s="4" t="s">
        <v>1454</v>
      </c>
      <c r="O613" s="67" t="s">
        <v>1802</v>
      </c>
      <c r="P613" s="3" t="s">
        <v>1545</v>
      </c>
      <c r="Q613" s="3" t="s">
        <v>51</v>
      </c>
      <c r="R613" s="3">
        <v>36</v>
      </c>
      <c r="S613" s="3" t="s">
        <v>52</v>
      </c>
      <c r="T613" s="3" t="s">
        <v>53</v>
      </c>
      <c r="U613" s="3" t="s">
        <v>281</v>
      </c>
      <c r="V613" s="7"/>
      <c r="W613" s="7"/>
      <c r="X613" s="7"/>
      <c r="Y613" s="7"/>
      <c r="Z613" s="3" t="s">
        <v>265</v>
      </c>
      <c r="AA613" s="3" t="s">
        <v>88</v>
      </c>
      <c r="AB613" s="3" t="s">
        <v>57</v>
      </c>
      <c r="AD613" s="3">
        <v>0.17222222222222222</v>
      </c>
      <c r="AE613" s="3">
        <v>0.17222222222222222</v>
      </c>
      <c r="AG613" s="3">
        <v>0.45</v>
      </c>
      <c r="AH613" s="3">
        <v>50.4</v>
      </c>
      <c r="AI613" s="3">
        <v>23</v>
      </c>
      <c r="AJ613" s="89">
        <f t="shared" si="20"/>
        <v>49.916666666666664</v>
      </c>
      <c r="AK613" s="3" t="s">
        <v>58</v>
      </c>
      <c r="AL613" s="3">
        <f t="shared" si="21"/>
        <v>59.899999999999991</v>
      </c>
      <c r="AN613" t="s">
        <v>5518</v>
      </c>
      <c r="AO613" s="74" t="s">
        <v>5631</v>
      </c>
    </row>
    <row r="614" spans="1:41" ht="14.25" customHeight="1" x14ac:dyDescent="0.3">
      <c r="A614" s="3" t="s">
        <v>1630</v>
      </c>
      <c r="B614" s="3" t="s">
        <v>1633</v>
      </c>
      <c r="C614" s="3" t="s">
        <v>1451</v>
      </c>
      <c r="D614" s="3" t="s">
        <v>1634</v>
      </c>
      <c r="E614" s="3" t="s">
        <v>1453</v>
      </c>
      <c r="F614" s="3" t="s">
        <v>41</v>
      </c>
      <c r="G614" s="5" t="s">
        <v>42</v>
      </c>
      <c r="H614" s="5" t="s">
        <v>43</v>
      </c>
      <c r="I614" s="5" t="s">
        <v>44</v>
      </c>
      <c r="J614" s="3" t="s">
        <v>45</v>
      </c>
      <c r="K614" s="3" t="s">
        <v>1276</v>
      </c>
      <c r="L614" s="3" t="s">
        <v>1544</v>
      </c>
      <c r="M614" s="3" t="s">
        <v>262</v>
      </c>
      <c r="N614" s="4" t="s">
        <v>1454</v>
      </c>
      <c r="O614" s="67" t="s">
        <v>1802</v>
      </c>
      <c r="P614" s="3" t="s">
        <v>1545</v>
      </c>
      <c r="Q614" s="3" t="s">
        <v>51</v>
      </c>
      <c r="R614" s="3">
        <v>36</v>
      </c>
      <c r="S614" s="3" t="s">
        <v>52</v>
      </c>
      <c r="T614" s="3" t="s">
        <v>53</v>
      </c>
      <c r="U614" s="3" t="s">
        <v>54</v>
      </c>
      <c r="V614" s="7"/>
      <c r="W614" s="7"/>
      <c r="X614" s="7"/>
      <c r="Y614" s="7"/>
      <c r="Z614" s="3" t="s">
        <v>265</v>
      </c>
      <c r="AA614" s="3" t="s">
        <v>88</v>
      </c>
      <c r="AB614" s="3" t="s">
        <v>57</v>
      </c>
      <c r="AD614" s="3">
        <v>0.17222222222222222</v>
      </c>
      <c r="AE614" s="3">
        <v>0.17222222222222222</v>
      </c>
      <c r="AG614" s="3">
        <v>0.45</v>
      </c>
      <c r="AH614" s="3">
        <v>50.4</v>
      </c>
      <c r="AI614" s="3">
        <v>23</v>
      </c>
      <c r="AJ614" s="89">
        <f t="shared" si="20"/>
        <v>49.916666666666664</v>
      </c>
      <c r="AK614" s="3" t="s">
        <v>58</v>
      </c>
      <c r="AL614" s="3">
        <f t="shared" si="21"/>
        <v>59.899999999999991</v>
      </c>
      <c r="AN614" t="s">
        <v>5518</v>
      </c>
      <c r="AO614" s="74" t="s">
        <v>5631</v>
      </c>
    </row>
    <row r="615" spans="1:41" ht="14.25" customHeight="1" x14ac:dyDescent="0.3">
      <c r="A615" s="3" t="s">
        <v>1630</v>
      </c>
      <c r="B615" s="3" t="s">
        <v>1635</v>
      </c>
      <c r="C615" s="3" t="s">
        <v>1451</v>
      </c>
      <c r="D615" s="3" t="s">
        <v>1636</v>
      </c>
      <c r="E615" s="3" t="s">
        <v>1453</v>
      </c>
      <c r="F615" s="3" t="s">
        <v>41</v>
      </c>
      <c r="G615" s="5" t="s">
        <v>42</v>
      </c>
      <c r="H615" s="5" t="s">
        <v>43</v>
      </c>
      <c r="I615" s="5" t="s">
        <v>44</v>
      </c>
      <c r="J615" s="3" t="s">
        <v>45</v>
      </c>
      <c r="K615" s="3" t="s">
        <v>1276</v>
      </c>
      <c r="L615" s="3" t="s">
        <v>1544</v>
      </c>
      <c r="M615" s="3" t="s">
        <v>262</v>
      </c>
      <c r="N615" s="4" t="s">
        <v>279</v>
      </c>
      <c r="O615" s="67" t="s">
        <v>279</v>
      </c>
      <c r="P615" s="3" t="s">
        <v>1545</v>
      </c>
      <c r="Q615" s="3" t="s">
        <v>51</v>
      </c>
      <c r="R615" s="3">
        <v>36</v>
      </c>
      <c r="S615" s="3" t="s">
        <v>52</v>
      </c>
      <c r="T615" s="3" t="s">
        <v>53</v>
      </c>
      <c r="U615" s="3" t="s">
        <v>281</v>
      </c>
      <c r="V615" s="7"/>
      <c r="W615" s="7"/>
      <c r="X615" s="7"/>
      <c r="Y615" s="7"/>
      <c r="Z615" s="3" t="s">
        <v>265</v>
      </c>
      <c r="AA615" s="3" t="s">
        <v>88</v>
      </c>
      <c r="AB615" s="3" t="s">
        <v>57</v>
      </c>
      <c r="AD615" s="3">
        <v>0.17222222222222222</v>
      </c>
      <c r="AE615" s="3">
        <v>0.17222222222222222</v>
      </c>
      <c r="AG615" s="3">
        <v>0.45</v>
      </c>
      <c r="AH615" s="3">
        <v>50.4</v>
      </c>
      <c r="AI615" s="3">
        <v>23</v>
      </c>
      <c r="AJ615" s="89">
        <f t="shared" si="20"/>
        <v>49.916666666666664</v>
      </c>
      <c r="AK615" s="3" t="s">
        <v>58</v>
      </c>
      <c r="AL615" s="3">
        <f t="shared" si="21"/>
        <v>59.899999999999991</v>
      </c>
      <c r="AN615" t="s">
        <v>5518</v>
      </c>
      <c r="AO615" s="74" t="s">
        <v>5631</v>
      </c>
    </row>
    <row r="616" spans="1:41" ht="14.25" customHeight="1" x14ac:dyDescent="0.3">
      <c r="A616" s="3" t="s">
        <v>1630</v>
      </c>
      <c r="B616" s="3" t="s">
        <v>1637</v>
      </c>
      <c r="C616" s="3" t="s">
        <v>1451</v>
      </c>
      <c r="D616" s="3" t="s">
        <v>1638</v>
      </c>
      <c r="E616" s="3" t="s">
        <v>1453</v>
      </c>
      <c r="F616" s="3" t="s">
        <v>41</v>
      </c>
      <c r="G616" s="5" t="s">
        <v>42</v>
      </c>
      <c r="H616" s="5" t="s">
        <v>43</v>
      </c>
      <c r="I616" s="5" t="s">
        <v>44</v>
      </c>
      <c r="J616" s="3" t="s">
        <v>45</v>
      </c>
      <c r="K616" s="3" t="s">
        <v>1276</v>
      </c>
      <c r="L616" s="3" t="s">
        <v>1544</v>
      </c>
      <c r="M616" s="3" t="s">
        <v>262</v>
      </c>
      <c r="N616" s="4" t="s">
        <v>279</v>
      </c>
      <c r="O616" s="67" t="s">
        <v>279</v>
      </c>
      <c r="P616" s="3" t="s">
        <v>1545</v>
      </c>
      <c r="Q616" s="3" t="s">
        <v>51</v>
      </c>
      <c r="R616" s="3">
        <v>36</v>
      </c>
      <c r="S616" s="3" t="s">
        <v>52</v>
      </c>
      <c r="T616" s="3" t="s">
        <v>53</v>
      </c>
      <c r="U616" s="3" t="s">
        <v>54</v>
      </c>
      <c r="V616" s="7"/>
      <c r="W616" s="7"/>
      <c r="X616" s="7"/>
      <c r="Y616" s="7"/>
      <c r="Z616" s="3" t="s">
        <v>265</v>
      </c>
      <c r="AA616" s="3" t="s">
        <v>88</v>
      </c>
      <c r="AB616" s="3" t="s">
        <v>57</v>
      </c>
      <c r="AD616" s="3">
        <v>0.17222222222222222</v>
      </c>
      <c r="AE616" s="3">
        <v>0.17222222222222222</v>
      </c>
      <c r="AG616" s="3">
        <v>0.45</v>
      </c>
      <c r="AH616" s="3">
        <v>50.4</v>
      </c>
      <c r="AI616" s="3">
        <v>23</v>
      </c>
      <c r="AJ616" s="89">
        <f t="shared" si="20"/>
        <v>49.916666666666664</v>
      </c>
      <c r="AK616" s="3" t="s">
        <v>58</v>
      </c>
      <c r="AL616" s="3">
        <f t="shared" si="21"/>
        <v>59.899999999999991</v>
      </c>
      <c r="AN616" t="s">
        <v>5518</v>
      </c>
      <c r="AO616" s="74" t="s">
        <v>5631</v>
      </c>
    </row>
    <row r="617" spans="1:41" ht="14.25" customHeight="1" x14ac:dyDescent="0.3">
      <c r="A617" s="3" t="s">
        <v>1630</v>
      </c>
      <c r="B617" s="3" t="s">
        <v>1639</v>
      </c>
      <c r="C617" s="3" t="s">
        <v>1451</v>
      </c>
      <c r="D617" s="3" t="s">
        <v>1640</v>
      </c>
      <c r="E617" s="3" t="s">
        <v>1453</v>
      </c>
      <c r="F617" s="3" t="s">
        <v>41</v>
      </c>
      <c r="G617" s="5" t="s">
        <v>42</v>
      </c>
      <c r="H617" s="5" t="s">
        <v>43</v>
      </c>
      <c r="I617" s="5" t="s">
        <v>44</v>
      </c>
      <c r="J617" s="3" t="s">
        <v>45</v>
      </c>
      <c r="K617" s="3" t="s">
        <v>1276</v>
      </c>
      <c r="L617" s="3" t="s">
        <v>1544</v>
      </c>
      <c r="M617" s="3" t="s">
        <v>262</v>
      </c>
      <c r="N617" s="4" t="s">
        <v>1463</v>
      </c>
      <c r="O617" s="68" t="s">
        <v>1463</v>
      </c>
      <c r="P617" s="3" t="s">
        <v>1545</v>
      </c>
      <c r="Q617" s="3" t="s">
        <v>51</v>
      </c>
      <c r="R617" s="3">
        <v>36</v>
      </c>
      <c r="S617" s="3" t="s">
        <v>52</v>
      </c>
      <c r="T617" s="3" t="s">
        <v>53</v>
      </c>
      <c r="U617" s="3" t="s">
        <v>281</v>
      </c>
      <c r="V617" s="7"/>
      <c r="W617" s="7"/>
      <c r="X617" s="7"/>
      <c r="Y617" s="7"/>
      <c r="Z617" s="3" t="s">
        <v>265</v>
      </c>
      <c r="AA617" s="3" t="s">
        <v>88</v>
      </c>
      <c r="AB617" s="3" t="s">
        <v>57</v>
      </c>
      <c r="AD617" s="3">
        <v>0.17222222222222222</v>
      </c>
      <c r="AE617" s="3">
        <v>0.17222222222222222</v>
      </c>
      <c r="AG617" s="3">
        <v>0.45</v>
      </c>
      <c r="AH617" s="3">
        <v>50.4</v>
      </c>
      <c r="AI617" s="3">
        <v>23</v>
      </c>
      <c r="AJ617" s="89">
        <f t="shared" si="20"/>
        <v>49.916666666666664</v>
      </c>
      <c r="AK617" s="3" t="s">
        <v>58</v>
      </c>
      <c r="AL617" s="3">
        <f t="shared" si="21"/>
        <v>59.899999999999991</v>
      </c>
      <c r="AN617" t="s">
        <v>5518</v>
      </c>
      <c r="AO617" s="74" t="s">
        <v>5631</v>
      </c>
    </row>
    <row r="618" spans="1:41" ht="14.25" customHeight="1" x14ac:dyDescent="0.3">
      <c r="A618" s="3" t="s">
        <v>1630</v>
      </c>
      <c r="B618" s="3" t="s">
        <v>1641</v>
      </c>
      <c r="C618" s="3" t="s">
        <v>1451</v>
      </c>
      <c r="D618" s="3" t="s">
        <v>1642</v>
      </c>
      <c r="E618" s="3" t="s">
        <v>1453</v>
      </c>
      <c r="F618" s="3" t="s">
        <v>41</v>
      </c>
      <c r="G618" s="5" t="s">
        <v>42</v>
      </c>
      <c r="H618" s="5" t="s">
        <v>43</v>
      </c>
      <c r="I618" s="5" t="s">
        <v>44</v>
      </c>
      <c r="J618" s="3" t="s">
        <v>45</v>
      </c>
      <c r="K618" s="3" t="s">
        <v>1276</v>
      </c>
      <c r="L618" s="3" t="s">
        <v>1544</v>
      </c>
      <c r="M618" s="3" t="s">
        <v>262</v>
      </c>
      <c r="N618" s="4" t="s">
        <v>1463</v>
      </c>
      <c r="O618" s="68" t="s">
        <v>1463</v>
      </c>
      <c r="P618" s="3" t="s">
        <v>1545</v>
      </c>
      <c r="Q618" s="3" t="s">
        <v>51</v>
      </c>
      <c r="R618" s="3">
        <v>36</v>
      </c>
      <c r="S618" s="3" t="s">
        <v>52</v>
      </c>
      <c r="T618" s="3" t="s">
        <v>53</v>
      </c>
      <c r="U618" s="3" t="s">
        <v>54</v>
      </c>
      <c r="V618" s="7"/>
      <c r="W618" s="7"/>
      <c r="X618" s="7"/>
      <c r="Y618" s="7"/>
      <c r="Z618" s="3" t="s">
        <v>265</v>
      </c>
      <c r="AA618" s="3" t="s">
        <v>88</v>
      </c>
      <c r="AB618" s="3" t="s">
        <v>57</v>
      </c>
      <c r="AD618" s="3">
        <v>0.17222222222222222</v>
      </c>
      <c r="AE618" s="3">
        <v>0.17222222222222222</v>
      </c>
      <c r="AG618" s="3">
        <v>0.45</v>
      </c>
      <c r="AH618" s="3">
        <v>50.4</v>
      </c>
      <c r="AI618" s="3">
        <v>23</v>
      </c>
      <c r="AJ618" s="89">
        <f t="shared" si="20"/>
        <v>49.916666666666664</v>
      </c>
      <c r="AK618" s="3" t="s">
        <v>58</v>
      </c>
      <c r="AL618" s="3">
        <f t="shared" si="21"/>
        <v>59.899999999999991</v>
      </c>
      <c r="AN618" t="s">
        <v>5518</v>
      </c>
      <c r="AO618" s="74" t="s">
        <v>5631</v>
      </c>
    </row>
    <row r="619" spans="1:41" ht="14.25" customHeight="1" x14ac:dyDescent="0.3">
      <c r="A619" s="3" t="s">
        <v>1630</v>
      </c>
      <c r="B619" s="3" t="s">
        <v>1643</v>
      </c>
      <c r="C619" s="3" t="s">
        <v>1451</v>
      </c>
      <c r="D619" s="3" t="s">
        <v>1644</v>
      </c>
      <c r="E619" s="3" t="s">
        <v>1453</v>
      </c>
      <c r="F619" s="3" t="s">
        <v>41</v>
      </c>
      <c r="G619" s="5" t="s">
        <v>42</v>
      </c>
      <c r="H619" s="5" t="s">
        <v>43</v>
      </c>
      <c r="I619" s="5" t="s">
        <v>44</v>
      </c>
      <c r="J619" s="3" t="s">
        <v>45</v>
      </c>
      <c r="K619" s="3" t="s">
        <v>1276</v>
      </c>
      <c r="L619" s="3" t="s">
        <v>1544</v>
      </c>
      <c r="M619" s="3" t="s">
        <v>262</v>
      </c>
      <c r="N619" s="4" t="s">
        <v>1468</v>
      </c>
      <c r="O619" s="67" t="s">
        <v>586</v>
      </c>
      <c r="P619" s="3" t="s">
        <v>1545</v>
      </c>
      <c r="Q619" s="3" t="s">
        <v>51</v>
      </c>
      <c r="R619" s="3">
        <v>36</v>
      </c>
      <c r="S619" s="3" t="s">
        <v>52</v>
      </c>
      <c r="T619" s="3" t="s">
        <v>53</v>
      </c>
      <c r="U619" s="3" t="s">
        <v>281</v>
      </c>
      <c r="V619" s="7"/>
      <c r="W619" s="7"/>
      <c r="X619" s="7"/>
      <c r="Y619" s="7"/>
      <c r="Z619" s="3" t="s">
        <v>265</v>
      </c>
      <c r="AA619" s="3" t="s">
        <v>88</v>
      </c>
      <c r="AB619" s="3" t="s">
        <v>57</v>
      </c>
      <c r="AD619" s="3">
        <v>0.17222222222222222</v>
      </c>
      <c r="AE619" s="3">
        <v>0.17222222222222222</v>
      </c>
      <c r="AG619" s="3">
        <v>0.45</v>
      </c>
      <c r="AH619" s="3">
        <v>50.4</v>
      </c>
      <c r="AI619" s="3">
        <v>23</v>
      </c>
      <c r="AJ619" s="89">
        <f t="shared" si="20"/>
        <v>49.916666666666664</v>
      </c>
      <c r="AK619" s="3" t="s">
        <v>58</v>
      </c>
      <c r="AL619" s="3">
        <f t="shared" si="21"/>
        <v>59.899999999999991</v>
      </c>
      <c r="AN619" t="s">
        <v>5518</v>
      </c>
      <c r="AO619" s="74" t="s">
        <v>5631</v>
      </c>
    </row>
    <row r="620" spans="1:41" ht="14.25" customHeight="1" x14ac:dyDescent="0.3">
      <c r="A620" s="3" t="s">
        <v>1630</v>
      </c>
      <c r="B620" s="3" t="s">
        <v>1645</v>
      </c>
      <c r="C620" s="3" t="s">
        <v>1451</v>
      </c>
      <c r="D620" s="3" t="s">
        <v>1646</v>
      </c>
      <c r="E620" s="3" t="s">
        <v>1453</v>
      </c>
      <c r="F620" s="3" t="s">
        <v>41</v>
      </c>
      <c r="G620" s="5" t="s">
        <v>42</v>
      </c>
      <c r="H620" s="5" t="s">
        <v>43</v>
      </c>
      <c r="I620" s="5" t="s">
        <v>44</v>
      </c>
      <c r="J620" s="3" t="s">
        <v>45</v>
      </c>
      <c r="K620" s="3" t="s">
        <v>1276</v>
      </c>
      <c r="L620" s="3" t="s">
        <v>1544</v>
      </c>
      <c r="M620" s="3" t="s">
        <v>262</v>
      </c>
      <c r="N620" s="4" t="s">
        <v>1468</v>
      </c>
      <c r="O620" s="67" t="s">
        <v>586</v>
      </c>
      <c r="P620" s="3" t="s">
        <v>1545</v>
      </c>
      <c r="Q620" s="3" t="s">
        <v>51</v>
      </c>
      <c r="R620" s="3">
        <v>36</v>
      </c>
      <c r="S620" s="3" t="s">
        <v>52</v>
      </c>
      <c r="T620" s="3" t="s">
        <v>53</v>
      </c>
      <c r="U620" s="3" t="s">
        <v>54</v>
      </c>
      <c r="V620" s="7"/>
      <c r="W620" s="7"/>
      <c r="X620" s="7"/>
      <c r="Y620" s="7"/>
      <c r="Z620" s="3" t="s">
        <v>265</v>
      </c>
      <c r="AA620" s="3" t="s">
        <v>88</v>
      </c>
      <c r="AB620" s="3" t="s">
        <v>57</v>
      </c>
      <c r="AD620" s="3">
        <v>0.17222222222222222</v>
      </c>
      <c r="AE620" s="3">
        <v>0.17222222222222222</v>
      </c>
      <c r="AG620" s="3">
        <v>0.45</v>
      </c>
      <c r="AH620" s="3">
        <v>50.4</v>
      </c>
      <c r="AI620" s="3">
        <v>23</v>
      </c>
      <c r="AJ620" s="89">
        <f t="shared" si="20"/>
        <v>49.916666666666664</v>
      </c>
      <c r="AK620" s="3" t="s">
        <v>58</v>
      </c>
      <c r="AL620" s="3">
        <f t="shared" si="21"/>
        <v>59.899999999999991</v>
      </c>
      <c r="AN620" t="s">
        <v>5518</v>
      </c>
      <c r="AO620" s="74" t="s">
        <v>5631</v>
      </c>
    </row>
    <row r="621" spans="1:41" ht="14.25" customHeight="1" x14ac:dyDescent="0.3">
      <c r="A621" s="3" t="s">
        <v>1630</v>
      </c>
      <c r="B621" s="3" t="s">
        <v>1647</v>
      </c>
      <c r="C621" s="3" t="s">
        <v>1451</v>
      </c>
      <c r="D621" s="3" t="s">
        <v>1648</v>
      </c>
      <c r="E621" s="3" t="s">
        <v>1453</v>
      </c>
      <c r="F621" s="3" t="s">
        <v>41</v>
      </c>
      <c r="G621" s="5" t="s">
        <v>42</v>
      </c>
      <c r="H621" s="5" t="s">
        <v>43</v>
      </c>
      <c r="I621" s="5" t="s">
        <v>44</v>
      </c>
      <c r="J621" s="3" t="s">
        <v>45</v>
      </c>
      <c r="K621" s="3" t="s">
        <v>1276</v>
      </c>
      <c r="L621" s="3" t="s">
        <v>1544</v>
      </c>
      <c r="M621" s="3" t="s">
        <v>262</v>
      </c>
      <c r="N621" s="4" t="s">
        <v>454</v>
      </c>
      <c r="O621" s="67" t="s">
        <v>454</v>
      </c>
      <c r="P621" s="3" t="s">
        <v>1545</v>
      </c>
      <c r="Q621" s="3" t="s">
        <v>51</v>
      </c>
      <c r="R621" s="3">
        <v>36</v>
      </c>
      <c r="S621" s="3" t="s">
        <v>52</v>
      </c>
      <c r="T621" s="3" t="s">
        <v>53</v>
      </c>
      <c r="U621" s="3" t="s">
        <v>281</v>
      </c>
      <c r="V621" s="7"/>
      <c r="W621" s="7"/>
      <c r="X621" s="7"/>
      <c r="Y621" s="7"/>
      <c r="Z621" s="3" t="s">
        <v>265</v>
      </c>
      <c r="AA621" s="3" t="s">
        <v>88</v>
      </c>
      <c r="AB621" s="3" t="s">
        <v>57</v>
      </c>
      <c r="AD621" s="3">
        <v>0.17222222222222222</v>
      </c>
      <c r="AE621" s="3">
        <v>0.17222222222222222</v>
      </c>
      <c r="AG621" s="3">
        <v>0.45</v>
      </c>
      <c r="AH621" s="3">
        <v>50.4</v>
      </c>
      <c r="AI621" s="3">
        <v>23</v>
      </c>
      <c r="AJ621" s="89">
        <f t="shared" si="20"/>
        <v>49.916666666666664</v>
      </c>
      <c r="AK621" s="3" t="s">
        <v>58</v>
      </c>
      <c r="AL621" s="3">
        <f t="shared" si="21"/>
        <v>59.899999999999991</v>
      </c>
      <c r="AN621" t="s">
        <v>5518</v>
      </c>
      <c r="AO621" s="74" t="s">
        <v>5631</v>
      </c>
    </row>
    <row r="622" spans="1:41" ht="14.25" customHeight="1" x14ac:dyDescent="0.3">
      <c r="A622" s="3" t="s">
        <v>1630</v>
      </c>
      <c r="B622" s="3" t="s">
        <v>1649</v>
      </c>
      <c r="C622" s="3" t="s">
        <v>1451</v>
      </c>
      <c r="D622" s="3" t="s">
        <v>1650</v>
      </c>
      <c r="E622" s="3" t="s">
        <v>1453</v>
      </c>
      <c r="F622" s="3" t="s">
        <v>41</v>
      </c>
      <c r="G622" s="5" t="s">
        <v>42</v>
      </c>
      <c r="H622" s="5" t="s">
        <v>43</v>
      </c>
      <c r="I622" s="5" t="s">
        <v>44</v>
      </c>
      <c r="J622" s="3" t="s">
        <v>45</v>
      </c>
      <c r="K622" s="3" t="s">
        <v>1276</v>
      </c>
      <c r="L622" s="3" t="s">
        <v>1544</v>
      </c>
      <c r="M622" s="3" t="s">
        <v>262</v>
      </c>
      <c r="N622" s="4" t="s">
        <v>454</v>
      </c>
      <c r="O622" s="68" t="s">
        <v>454</v>
      </c>
      <c r="P622" s="3" t="s">
        <v>1545</v>
      </c>
      <c r="Q622" s="3" t="s">
        <v>51</v>
      </c>
      <c r="R622" s="3">
        <v>36</v>
      </c>
      <c r="S622" s="3" t="s">
        <v>52</v>
      </c>
      <c r="T622" s="3" t="s">
        <v>53</v>
      </c>
      <c r="U622" s="3" t="s">
        <v>54</v>
      </c>
      <c r="V622" s="7"/>
      <c r="W622" s="7"/>
      <c r="X622" s="7"/>
      <c r="Y622" s="7"/>
      <c r="Z622" s="3" t="s">
        <v>265</v>
      </c>
      <c r="AA622" s="3" t="s">
        <v>88</v>
      </c>
      <c r="AB622" s="3" t="s">
        <v>57</v>
      </c>
      <c r="AD622" s="3">
        <v>0.17222222222222222</v>
      </c>
      <c r="AE622" s="3">
        <v>0.17222222222222222</v>
      </c>
      <c r="AG622" s="3">
        <v>0.45</v>
      </c>
      <c r="AH622" s="3">
        <v>50.4</v>
      </c>
      <c r="AI622" s="3">
        <v>23</v>
      </c>
      <c r="AJ622" s="89">
        <f t="shared" si="20"/>
        <v>49.916666666666664</v>
      </c>
      <c r="AK622" s="3" t="s">
        <v>58</v>
      </c>
      <c r="AL622" s="3">
        <f t="shared" si="21"/>
        <v>59.899999999999991</v>
      </c>
      <c r="AN622" t="s">
        <v>5518</v>
      </c>
      <c r="AO622" s="74" t="s">
        <v>5631</v>
      </c>
    </row>
    <row r="623" spans="1:41" ht="14.25" customHeight="1" x14ac:dyDescent="0.3">
      <c r="A623" s="3" t="s">
        <v>1630</v>
      </c>
      <c r="B623" s="3" t="s">
        <v>1651</v>
      </c>
      <c r="C623" s="3" t="s">
        <v>1451</v>
      </c>
      <c r="D623" s="3" t="s">
        <v>1652</v>
      </c>
      <c r="E623" s="3" t="s">
        <v>1453</v>
      </c>
      <c r="F623" s="3" t="s">
        <v>41</v>
      </c>
      <c r="G623" s="5" t="s">
        <v>42</v>
      </c>
      <c r="H623" s="5" t="s">
        <v>43</v>
      </c>
      <c r="I623" s="5" t="s">
        <v>44</v>
      </c>
      <c r="J623" s="3" t="s">
        <v>45</v>
      </c>
      <c r="K623" s="3" t="s">
        <v>1276</v>
      </c>
      <c r="L623" s="3" t="s">
        <v>1544</v>
      </c>
      <c r="M623" s="3" t="s">
        <v>262</v>
      </c>
      <c r="N623" s="4" t="s">
        <v>61</v>
      </c>
      <c r="O623" s="68" t="s">
        <v>61</v>
      </c>
      <c r="P623" s="3" t="s">
        <v>1545</v>
      </c>
      <c r="Q623" s="3" t="s">
        <v>51</v>
      </c>
      <c r="R623" s="3">
        <v>36</v>
      </c>
      <c r="S623" s="3" t="s">
        <v>52</v>
      </c>
      <c r="T623" s="3" t="s">
        <v>53</v>
      </c>
      <c r="U623" s="3" t="s">
        <v>281</v>
      </c>
      <c r="V623" s="7"/>
      <c r="W623" s="7"/>
      <c r="X623" s="7"/>
      <c r="Y623" s="7"/>
      <c r="Z623" s="3" t="s">
        <v>265</v>
      </c>
      <c r="AA623" s="3" t="s">
        <v>88</v>
      </c>
      <c r="AB623" s="3" t="s">
        <v>57</v>
      </c>
      <c r="AD623" s="3">
        <v>0.17222222222222222</v>
      </c>
      <c r="AE623" s="3">
        <v>0.17222222222222222</v>
      </c>
      <c r="AG623" s="3">
        <v>0.45</v>
      </c>
      <c r="AH623" s="3">
        <v>50.4</v>
      </c>
      <c r="AI623" s="3">
        <v>23</v>
      </c>
      <c r="AJ623" s="89">
        <f t="shared" si="20"/>
        <v>49.916666666666664</v>
      </c>
      <c r="AK623" s="3" t="s">
        <v>58</v>
      </c>
      <c r="AL623" s="3">
        <f t="shared" si="21"/>
        <v>59.899999999999991</v>
      </c>
      <c r="AN623" t="s">
        <v>5518</v>
      </c>
      <c r="AO623" s="74" t="s">
        <v>5631</v>
      </c>
    </row>
    <row r="624" spans="1:41" ht="14.25" customHeight="1" x14ac:dyDescent="0.3">
      <c r="A624" s="3" t="s">
        <v>1630</v>
      </c>
      <c r="B624" s="3" t="s">
        <v>1653</v>
      </c>
      <c r="C624" s="3" t="s">
        <v>1451</v>
      </c>
      <c r="D624" s="3" t="s">
        <v>1654</v>
      </c>
      <c r="E624" s="3" t="s">
        <v>1453</v>
      </c>
      <c r="F624" s="3" t="s">
        <v>41</v>
      </c>
      <c r="G624" s="5" t="s">
        <v>42</v>
      </c>
      <c r="H624" s="5" t="s">
        <v>43</v>
      </c>
      <c r="I624" s="5" t="s">
        <v>44</v>
      </c>
      <c r="J624" s="3" t="s">
        <v>45</v>
      </c>
      <c r="K624" s="3" t="s">
        <v>1276</v>
      </c>
      <c r="L624" s="3" t="s">
        <v>1544</v>
      </c>
      <c r="M624" s="3" t="s">
        <v>262</v>
      </c>
      <c r="N624" s="4" t="s">
        <v>61</v>
      </c>
      <c r="O624" s="67" t="s">
        <v>61</v>
      </c>
      <c r="P624" s="3" t="s">
        <v>1545</v>
      </c>
      <c r="Q624" s="3" t="s">
        <v>51</v>
      </c>
      <c r="R624" s="3">
        <v>36</v>
      </c>
      <c r="S624" s="3" t="s">
        <v>52</v>
      </c>
      <c r="T624" s="3" t="s">
        <v>53</v>
      </c>
      <c r="U624" s="3" t="s">
        <v>54</v>
      </c>
      <c r="V624" s="7"/>
      <c r="W624" s="7"/>
      <c r="X624" s="7"/>
      <c r="Y624" s="7"/>
      <c r="Z624" s="3" t="s">
        <v>265</v>
      </c>
      <c r="AA624" s="3" t="s">
        <v>88</v>
      </c>
      <c r="AB624" s="3" t="s">
        <v>57</v>
      </c>
      <c r="AD624" s="3">
        <v>0.17222222222222222</v>
      </c>
      <c r="AE624" s="3">
        <v>0.17222222222222222</v>
      </c>
      <c r="AG624" s="3">
        <v>0.45</v>
      </c>
      <c r="AH624" s="3">
        <v>50.4</v>
      </c>
      <c r="AI624" s="3">
        <v>23</v>
      </c>
      <c r="AJ624" s="89">
        <f t="shared" si="20"/>
        <v>49.916666666666664</v>
      </c>
      <c r="AK624" s="3" t="s">
        <v>58</v>
      </c>
      <c r="AL624" s="3">
        <f t="shared" si="21"/>
        <v>59.899999999999991</v>
      </c>
      <c r="AN624" t="s">
        <v>5518</v>
      </c>
      <c r="AO624" s="74" t="s">
        <v>5631</v>
      </c>
    </row>
    <row r="625" spans="1:41" ht="14.25" customHeight="1" x14ac:dyDescent="0.3">
      <c r="A625" s="3" t="s">
        <v>1630</v>
      </c>
      <c r="B625" s="3" t="s">
        <v>1655</v>
      </c>
      <c r="C625" s="3" t="s">
        <v>1451</v>
      </c>
      <c r="D625" s="3" t="s">
        <v>1656</v>
      </c>
      <c r="E625" s="3" t="s">
        <v>1453</v>
      </c>
      <c r="F625" s="3" t="s">
        <v>41</v>
      </c>
      <c r="G625" s="5" t="s">
        <v>42</v>
      </c>
      <c r="H625" s="5" t="s">
        <v>43</v>
      </c>
      <c r="I625" s="5" t="s">
        <v>44</v>
      </c>
      <c r="J625" s="3" t="s">
        <v>45</v>
      </c>
      <c r="K625" s="3" t="s">
        <v>1276</v>
      </c>
      <c r="L625" s="3" t="s">
        <v>1544</v>
      </c>
      <c r="M625" s="3" t="s">
        <v>262</v>
      </c>
      <c r="N625" s="4" t="s">
        <v>49</v>
      </c>
      <c r="O625" s="67" t="s">
        <v>49</v>
      </c>
      <c r="P625" s="3" t="s">
        <v>1545</v>
      </c>
      <c r="Q625" s="3" t="s">
        <v>51</v>
      </c>
      <c r="R625" s="3">
        <v>36</v>
      </c>
      <c r="S625" s="3" t="s">
        <v>52</v>
      </c>
      <c r="T625" s="3" t="s">
        <v>53</v>
      </c>
      <c r="U625" s="3" t="s">
        <v>281</v>
      </c>
      <c r="V625" s="7"/>
      <c r="W625" s="7"/>
      <c r="X625" s="7"/>
      <c r="Y625" s="7"/>
      <c r="Z625" s="3" t="s">
        <v>265</v>
      </c>
      <c r="AA625" s="3" t="s">
        <v>88</v>
      </c>
      <c r="AB625" s="3" t="s">
        <v>57</v>
      </c>
      <c r="AD625" s="3">
        <v>0.17222222222222222</v>
      </c>
      <c r="AE625" s="3">
        <v>0.17222222222222222</v>
      </c>
      <c r="AG625" s="3">
        <v>0.45</v>
      </c>
      <c r="AH625" s="3">
        <v>50.4</v>
      </c>
      <c r="AI625" s="3">
        <v>23</v>
      </c>
      <c r="AJ625" s="89">
        <f t="shared" si="20"/>
        <v>49.916666666666664</v>
      </c>
      <c r="AK625" s="3" t="s">
        <v>58</v>
      </c>
      <c r="AL625" s="3">
        <f t="shared" si="21"/>
        <v>59.899999999999991</v>
      </c>
      <c r="AN625" t="s">
        <v>5518</v>
      </c>
      <c r="AO625" s="74" t="s">
        <v>5631</v>
      </c>
    </row>
    <row r="626" spans="1:41" ht="14.25" customHeight="1" x14ac:dyDescent="0.3">
      <c r="A626" s="3" t="s">
        <v>1630</v>
      </c>
      <c r="B626" s="3" t="s">
        <v>1657</v>
      </c>
      <c r="C626" s="3" t="s">
        <v>1451</v>
      </c>
      <c r="D626" s="3" t="s">
        <v>1658</v>
      </c>
      <c r="E626" s="3" t="s">
        <v>1453</v>
      </c>
      <c r="F626" s="3" t="s">
        <v>41</v>
      </c>
      <c r="G626" s="5" t="s">
        <v>42</v>
      </c>
      <c r="H626" s="5" t="s">
        <v>43</v>
      </c>
      <c r="I626" s="5" t="s">
        <v>44</v>
      </c>
      <c r="J626" s="3" t="s">
        <v>45</v>
      </c>
      <c r="K626" s="3" t="s">
        <v>1276</v>
      </c>
      <c r="L626" s="3" t="s">
        <v>1544</v>
      </c>
      <c r="M626" s="3" t="s">
        <v>262</v>
      </c>
      <c r="N626" s="4" t="s">
        <v>49</v>
      </c>
      <c r="O626" s="67" t="s">
        <v>49</v>
      </c>
      <c r="P626" s="3" t="s">
        <v>1545</v>
      </c>
      <c r="Q626" s="3" t="s">
        <v>51</v>
      </c>
      <c r="R626" s="3">
        <v>36</v>
      </c>
      <c r="S626" s="3" t="s">
        <v>52</v>
      </c>
      <c r="T626" s="3" t="s">
        <v>53</v>
      </c>
      <c r="U626" s="3" t="s">
        <v>54</v>
      </c>
      <c r="V626" s="7"/>
      <c r="W626" s="7"/>
      <c r="X626" s="7"/>
      <c r="Y626" s="7"/>
      <c r="Z626" s="3" t="s">
        <v>265</v>
      </c>
      <c r="AA626" s="3" t="s">
        <v>88</v>
      </c>
      <c r="AB626" s="3" t="s">
        <v>57</v>
      </c>
      <c r="AD626" s="3">
        <v>0.17222222222222222</v>
      </c>
      <c r="AE626" s="3">
        <v>0.17222222222222222</v>
      </c>
      <c r="AG626" s="3">
        <v>0.45</v>
      </c>
      <c r="AH626" s="3">
        <v>50.4</v>
      </c>
      <c r="AI626" s="3">
        <v>23</v>
      </c>
      <c r="AJ626" s="89">
        <f t="shared" si="20"/>
        <v>49.916666666666664</v>
      </c>
      <c r="AK626" s="3" t="s">
        <v>58</v>
      </c>
      <c r="AL626" s="3">
        <f t="shared" si="21"/>
        <v>59.899999999999991</v>
      </c>
      <c r="AN626" t="s">
        <v>5518</v>
      </c>
      <c r="AO626" s="74" t="s">
        <v>5631</v>
      </c>
    </row>
    <row r="627" spans="1:41" ht="14.25" customHeight="1" x14ac:dyDescent="0.3">
      <c r="A627" s="3" t="s">
        <v>1601</v>
      </c>
      <c r="B627" s="3" t="s">
        <v>1602</v>
      </c>
      <c r="C627" s="3" t="s">
        <v>1451</v>
      </c>
      <c r="D627" s="3" t="s">
        <v>1603</v>
      </c>
      <c r="E627" s="3" t="s">
        <v>1453</v>
      </c>
      <c r="F627" s="3" t="s">
        <v>41</v>
      </c>
      <c r="G627" s="5" t="s">
        <v>42</v>
      </c>
      <c r="H627" s="5" t="s">
        <v>43</v>
      </c>
      <c r="I627" s="5" t="s">
        <v>44</v>
      </c>
      <c r="J627" s="3" t="s">
        <v>45</v>
      </c>
      <c r="K627" s="3" t="s">
        <v>1276</v>
      </c>
      <c r="L627" s="3" t="s">
        <v>1544</v>
      </c>
      <c r="M627" s="3" t="s">
        <v>262</v>
      </c>
      <c r="N627" s="4" t="s">
        <v>1454</v>
      </c>
      <c r="O627" s="68" t="s">
        <v>1802</v>
      </c>
      <c r="P627" s="3" t="s">
        <v>1545</v>
      </c>
      <c r="Q627" s="3" t="s">
        <v>51</v>
      </c>
      <c r="R627" s="3">
        <v>32</v>
      </c>
      <c r="S627" s="3" t="s">
        <v>52</v>
      </c>
      <c r="T627" s="3" t="s">
        <v>53</v>
      </c>
      <c r="U627" s="3" t="s">
        <v>281</v>
      </c>
      <c r="V627" s="7"/>
      <c r="W627" s="7"/>
      <c r="X627" s="7"/>
      <c r="Y627" s="7"/>
      <c r="Z627" s="3" t="s">
        <v>265</v>
      </c>
      <c r="AA627" s="3" t="s">
        <v>88</v>
      </c>
      <c r="AB627" s="3" t="s">
        <v>57</v>
      </c>
      <c r="AD627" s="3">
        <v>0.19375000000000001</v>
      </c>
      <c r="AE627" s="3">
        <v>0.19375000000000001</v>
      </c>
      <c r="AG627" s="3">
        <v>0.4</v>
      </c>
      <c r="AH627" s="3">
        <v>44.8</v>
      </c>
      <c r="AI627" s="3">
        <v>23</v>
      </c>
      <c r="AJ627" s="89">
        <f t="shared" si="20"/>
        <v>49.916666666666664</v>
      </c>
      <c r="AK627" s="3" t="s">
        <v>58</v>
      </c>
      <c r="AL627" s="3">
        <f t="shared" si="21"/>
        <v>59.899999999999991</v>
      </c>
      <c r="AN627" t="s">
        <v>5518</v>
      </c>
      <c r="AO627" s="74" t="s">
        <v>5631</v>
      </c>
    </row>
    <row r="628" spans="1:41" ht="14.25" customHeight="1" x14ac:dyDescent="0.3">
      <c r="A628" s="3" t="s">
        <v>1601</v>
      </c>
      <c r="B628" s="3" t="s">
        <v>1604</v>
      </c>
      <c r="C628" s="3" t="s">
        <v>1451</v>
      </c>
      <c r="D628" s="3" t="s">
        <v>1605</v>
      </c>
      <c r="E628" s="3" t="s">
        <v>1453</v>
      </c>
      <c r="F628" s="3" t="s">
        <v>41</v>
      </c>
      <c r="G628" s="5" t="s">
        <v>42</v>
      </c>
      <c r="H628" s="5" t="s">
        <v>43</v>
      </c>
      <c r="I628" s="5" t="s">
        <v>44</v>
      </c>
      <c r="J628" s="3" t="s">
        <v>45</v>
      </c>
      <c r="K628" s="3" t="s">
        <v>1276</v>
      </c>
      <c r="L628" s="3" t="s">
        <v>1544</v>
      </c>
      <c r="M628" s="3" t="s">
        <v>262</v>
      </c>
      <c r="N628" s="4" t="s">
        <v>1454</v>
      </c>
      <c r="O628" s="68" t="s">
        <v>1802</v>
      </c>
      <c r="P628" s="3" t="s">
        <v>1545</v>
      </c>
      <c r="Q628" s="3" t="s">
        <v>51</v>
      </c>
      <c r="R628" s="3">
        <v>32</v>
      </c>
      <c r="S628" s="3" t="s">
        <v>52</v>
      </c>
      <c r="T628" s="3" t="s">
        <v>53</v>
      </c>
      <c r="U628" s="3" t="s">
        <v>54</v>
      </c>
      <c r="V628" s="7"/>
      <c r="W628" s="7"/>
      <c r="X628" s="7"/>
      <c r="Y628" s="7"/>
      <c r="Z628" s="3" t="s">
        <v>265</v>
      </c>
      <c r="AA628" s="3" t="s">
        <v>88</v>
      </c>
      <c r="AB628" s="3" t="s">
        <v>57</v>
      </c>
      <c r="AD628" s="3">
        <v>0.19375000000000001</v>
      </c>
      <c r="AE628" s="3">
        <v>0.19375000000000001</v>
      </c>
      <c r="AG628" s="3">
        <v>0.4</v>
      </c>
      <c r="AH628" s="3">
        <v>44.8</v>
      </c>
      <c r="AI628" s="3">
        <v>23</v>
      </c>
      <c r="AJ628" s="89">
        <f t="shared" si="20"/>
        <v>49.916666666666664</v>
      </c>
      <c r="AK628" s="3" t="s">
        <v>58</v>
      </c>
      <c r="AL628" s="3">
        <f t="shared" si="21"/>
        <v>59.899999999999991</v>
      </c>
      <c r="AN628" t="s">
        <v>5518</v>
      </c>
      <c r="AO628" s="74" t="s">
        <v>5631</v>
      </c>
    </row>
    <row r="629" spans="1:41" ht="14.25" customHeight="1" x14ac:dyDescent="0.3">
      <c r="A629" s="3" t="s">
        <v>1601</v>
      </c>
      <c r="B629" s="3" t="s">
        <v>1606</v>
      </c>
      <c r="C629" s="3" t="s">
        <v>1451</v>
      </c>
      <c r="D629" s="3" t="s">
        <v>1607</v>
      </c>
      <c r="E629" s="3" t="s">
        <v>1453</v>
      </c>
      <c r="F629" s="3" t="s">
        <v>41</v>
      </c>
      <c r="G629" s="5" t="s">
        <v>42</v>
      </c>
      <c r="H629" s="5" t="s">
        <v>43</v>
      </c>
      <c r="I629" s="5" t="s">
        <v>44</v>
      </c>
      <c r="J629" s="3" t="s">
        <v>45</v>
      </c>
      <c r="K629" s="3" t="s">
        <v>1276</v>
      </c>
      <c r="L629" s="3" t="s">
        <v>1544</v>
      </c>
      <c r="M629" s="3" t="s">
        <v>262</v>
      </c>
      <c r="N629" s="4" t="s">
        <v>279</v>
      </c>
      <c r="O629" s="67" t="s">
        <v>279</v>
      </c>
      <c r="P629" s="3" t="s">
        <v>1545</v>
      </c>
      <c r="Q629" s="3" t="s">
        <v>51</v>
      </c>
      <c r="R629" s="3">
        <v>32</v>
      </c>
      <c r="S629" s="3" t="s">
        <v>52</v>
      </c>
      <c r="T629" s="3" t="s">
        <v>53</v>
      </c>
      <c r="U629" s="3" t="s">
        <v>281</v>
      </c>
      <c r="V629" s="7"/>
      <c r="W629" s="7"/>
      <c r="X629" s="7"/>
      <c r="Y629" s="7"/>
      <c r="Z629" s="3" t="s">
        <v>265</v>
      </c>
      <c r="AA629" s="3" t="s">
        <v>88</v>
      </c>
      <c r="AB629" s="3" t="s">
        <v>57</v>
      </c>
      <c r="AD629" s="3">
        <v>0.19375000000000001</v>
      </c>
      <c r="AE629" s="3">
        <v>0.19375000000000001</v>
      </c>
      <c r="AG629" s="3">
        <v>0.4</v>
      </c>
      <c r="AH629" s="3">
        <v>44.8</v>
      </c>
      <c r="AI629" s="3">
        <v>23</v>
      </c>
      <c r="AJ629" s="89">
        <f t="shared" si="20"/>
        <v>49.916666666666664</v>
      </c>
      <c r="AK629" s="3" t="s">
        <v>58</v>
      </c>
      <c r="AL629" s="3">
        <f t="shared" si="21"/>
        <v>59.899999999999991</v>
      </c>
      <c r="AN629" t="s">
        <v>5518</v>
      </c>
      <c r="AO629" s="74" t="s">
        <v>5631</v>
      </c>
    </row>
    <row r="630" spans="1:41" ht="14.25" customHeight="1" x14ac:dyDescent="0.3">
      <c r="A630" s="3" t="s">
        <v>1601</v>
      </c>
      <c r="B630" s="3" t="s">
        <v>1608</v>
      </c>
      <c r="C630" s="3" t="s">
        <v>1451</v>
      </c>
      <c r="D630" s="3" t="s">
        <v>1609</v>
      </c>
      <c r="E630" s="3" t="s">
        <v>1453</v>
      </c>
      <c r="F630" s="3" t="s">
        <v>41</v>
      </c>
      <c r="G630" s="5" t="s">
        <v>42</v>
      </c>
      <c r="H630" s="5" t="s">
        <v>43</v>
      </c>
      <c r="I630" s="5" t="s">
        <v>44</v>
      </c>
      <c r="J630" s="3" t="s">
        <v>45</v>
      </c>
      <c r="K630" s="3" t="s">
        <v>1276</v>
      </c>
      <c r="L630" s="3" t="s">
        <v>1544</v>
      </c>
      <c r="M630" s="3" t="s">
        <v>262</v>
      </c>
      <c r="N630" s="4" t="s">
        <v>279</v>
      </c>
      <c r="O630" s="67" t="s">
        <v>279</v>
      </c>
      <c r="P630" s="3" t="s">
        <v>1545</v>
      </c>
      <c r="Q630" s="3" t="s">
        <v>51</v>
      </c>
      <c r="R630" s="3">
        <v>32</v>
      </c>
      <c r="S630" s="3" t="s">
        <v>52</v>
      </c>
      <c r="T630" s="3" t="s">
        <v>53</v>
      </c>
      <c r="U630" s="3" t="s">
        <v>54</v>
      </c>
      <c r="V630" s="7"/>
      <c r="W630" s="7"/>
      <c r="X630" s="7"/>
      <c r="Y630" s="7"/>
      <c r="Z630" s="3" t="s">
        <v>265</v>
      </c>
      <c r="AA630" s="3" t="s">
        <v>88</v>
      </c>
      <c r="AB630" s="3" t="s">
        <v>57</v>
      </c>
      <c r="AD630" s="3">
        <v>0.19375000000000001</v>
      </c>
      <c r="AE630" s="3">
        <v>0.19375000000000001</v>
      </c>
      <c r="AG630" s="3">
        <v>0.4</v>
      </c>
      <c r="AH630" s="3">
        <v>44.8</v>
      </c>
      <c r="AI630" s="3">
        <v>23</v>
      </c>
      <c r="AJ630" s="89">
        <f t="shared" si="20"/>
        <v>49.916666666666664</v>
      </c>
      <c r="AK630" s="3" t="s">
        <v>58</v>
      </c>
      <c r="AL630" s="3">
        <f t="shared" si="21"/>
        <v>59.899999999999991</v>
      </c>
      <c r="AN630" t="s">
        <v>5518</v>
      </c>
      <c r="AO630" s="74" t="s">
        <v>5631</v>
      </c>
    </row>
    <row r="631" spans="1:41" ht="14.25" customHeight="1" x14ac:dyDescent="0.3">
      <c r="A631" s="3" t="s">
        <v>1601</v>
      </c>
      <c r="B631" s="3" t="s">
        <v>1610</v>
      </c>
      <c r="C631" s="3" t="s">
        <v>1451</v>
      </c>
      <c r="D631" s="3" t="s">
        <v>1611</v>
      </c>
      <c r="E631" s="3" t="s">
        <v>1453</v>
      </c>
      <c r="F631" s="3" t="s">
        <v>41</v>
      </c>
      <c r="G631" s="5" t="s">
        <v>42</v>
      </c>
      <c r="H631" s="5" t="s">
        <v>43</v>
      </c>
      <c r="I631" s="5" t="s">
        <v>44</v>
      </c>
      <c r="J631" s="3" t="s">
        <v>45</v>
      </c>
      <c r="K631" s="3" t="s">
        <v>1276</v>
      </c>
      <c r="L631" s="3" t="s">
        <v>1544</v>
      </c>
      <c r="M631" s="3" t="s">
        <v>262</v>
      </c>
      <c r="N631" s="4" t="s">
        <v>1463</v>
      </c>
      <c r="O631" s="67" t="s">
        <v>1463</v>
      </c>
      <c r="P631" s="3" t="s">
        <v>1545</v>
      </c>
      <c r="Q631" s="3" t="s">
        <v>51</v>
      </c>
      <c r="R631" s="3">
        <v>32</v>
      </c>
      <c r="S631" s="3" t="s">
        <v>52</v>
      </c>
      <c r="T631" s="3" t="s">
        <v>53</v>
      </c>
      <c r="U631" s="3" t="s">
        <v>281</v>
      </c>
      <c r="V631" s="7"/>
      <c r="W631" s="7"/>
      <c r="X631" s="7"/>
      <c r="Y631" s="7"/>
      <c r="Z631" s="3" t="s">
        <v>265</v>
      </c>
      <c r="AA631" s="3" t="s">
        <v>88</v>
      </c>
      <c r="AB631" s="3" t="s">
        <v>57</v>
      </c>
      <c r="AD631" s="3">
        <v>0.19375000000000001</v>
      </c>
      <c r="AE631" s="3">
        <v>0.19375000000000001</v>
      </c>
      <c r="AG631" s="3">
        <v>0.4</v>
      </c>
      <c r="AH631" s="3">
        <v>44.8</v>
      </c>
      <c r="AI631" s="3">
        <v>23</v>
      </c>
      <c r="AJ631" s="89">
        <f t="shared" si="20"/>
        <v>49.916666666666664</v>
      </c>
      <c r="AK631" s="3" t="s">
        <v>58</v>
      </c>
      <c r="AL631" s="3">
        <f t="shared" si="21"/>
        <v>59.899999999999991</v>
      </c>
      <c r="AN631" t="s">
        <v>5518</v>
      </c>
      <c r="AO631" s="74" t="s">
        <v>5631</v>
      </c>
    </row>
    <row r="632" spans="1:41" ht="14.25" customHeight="1" x14ac:dyDescent="0.3">
      <c r="A632" s="3" t="s">
        <v>1601</v>
      </c>
      <c r="B632" s="3" t="s">
        <v>1612</v>
      </c>
      <c r="C632" s="3" t="s">
        <v>1451</v>
      </c>
      <c r="D632" s="3" t="s">
        <v>1613</v>
      </c>
      <c r="E632" s="3" t="s">
        <v>1453</v>
      </c>
      <c r="F632" s="3" t="s">
        <v>41</v>
      </c>
      <c r="G632" s="5" t="s">
        <v>42</v>
      </c>
      <c r="H632" s="5" t="s">
        <v>43</v>
      </c>
      <c r="I632" s="5" t="s">
        <v>44</v>
      </c>
      <c r="J632" s="3" t="s">
        <v>45</v>
      </c>
      <c r="K632" s="3" t="s">
        <v>1276</v>
      </c>
      <c r="L632" s="3" t="s">
        <v>1544</v>
      </c>
      <c r="M632" s="3" t="s">
        <v>262</v>
      </c>
      <c r="N632" s="4" t="s">
        <v>1463</v>
      </c>
      <c r="O632" s="68" t="s">
        <v>1463</v>
      </c>
      <c r="P632" s="3" t="s">
        <v>1545</v>
      </c>
      <c r="Q632" s="3" t="s">
        <v>51</v>
      </c>
      <c r="R632" s="3">
        <v>32</v>
      </c>
      <c r="S632" s="3" t="s">
        <v>52</v>
      </c>
      <c r="T632" s="3" t="s">
        <v>53</v>
      </c>
      <c r="U632" s="3" t="s">
        <v>54</v>
      </c>
      <c r="V632" s="7"/>
      <c r="W632" s="7"/>
      <c r="X632" s="7"/>
      <c r="Y632" s="7"/>
      <c r="Z632" s="3" t="s">
        <v>265</v>
      </c>
      <c r="AA632" s="3" t="s">
        <v>88</v>
      </c>
      <c r="AB632" s="3" t="s">
        <v>57</v>
      </c>
      <c r="AD632" s="3">
        <v>0.19375000000000001</v>
      </c>
      <c r="AE632" s="3">
        <v>0.19375000000000001</v>
      </c>
      <c r="AG632" s="3">
        <v>0.4</v>
      </c>
      <c r="AH632" s="3">
        <v>44.8</v>
      </c>
      <c r="AI632" s="3">
        <v>23</v>
      </c>
      <c r="AJ632" s="89">
        <f t="shared" si="20"/>
        <v>49.916666666666664</v>
      </c>
      <c r="AK632" s="3" t="s">
        <v>58</v>
      </c>
      <c r="AL632" s="3">
        <f t="shared" si="21"/>
        <v>59.899999999999991</v>
      </c>
      <c r="AN632" t="s">
        <v>5518</v>
      </c>
      <c r="AO632" s="74" t="s">
        <v>5631</v>
      </c>
    </row>
    <row r="633" spans="1:41" ht="14.25" customHeight="1" x14ac:dyDescent="0.3">
      <c r="A633" s="3" t="s">
        <v>1601</v>
      </c>
      <c r="B633" s="3" t="s">
        <v>1614</v>
      </c>
      <c r="C633" s="3" t="s">
        <v>1451</v>
      </c>
      <c r="D633" s="3" t="s">
        <v>1615</v>
      </c>
      <c r="E633" s="3" t="s">
        <v>1453</v>
      </c>
      <c r="F633" s="3" t="s">
        <v>41</v>
      </c>
      <c r="G633" s="5" t="s">
        <v>42</v>
      </c>
      <c r="H633" s="5" t="s">
        <v>43</v>
      </c>
      <c r="I633" s="5" t="s">
        <v>44</v>
      </c>
      <c r="J633" s="3" t="s">
        <v>45</v>
      </c>
      <c r="K633" s="3" t="s">
        <v>1276</v>
      </c>
      <c r="L633" s="3" t="s">
        <v>1544</v>
      </c>
      <c r="M633" s="3" t="s">
        <v>262</v>
      </c>
      <c r="N633" s="4" t="s">
        <v>1468</v>
      </c>
      <c r="O633" s="68" t="s">
        <v>586</v>
      </c>
      <c r="P633" s="3" t="s">
        <v>1545</v>
      </c>
      <c r="Q633" s="3" t="s">
        <v>51</v>
      </c>
      <c r="R633" s="3">
        <v>32</v>
      </c>
      <c r="S633" s="3" t="s">
        <v>52</v>
      </c>
      <c r="T633" s="3" t="s">
        <v>53</v>
      </c>
      <c r="U633" s="3" t="s">
        <v>281</v>
      </c>
      <c r="V633" s="7"/>
      <c r="W633" s="7"/>
      <c r="X633" s="7"/>
      <c r="Y633" s="7"/>
      <c r="Z633" s="3" t="s">
        <v>265</v>
      </c>
      <c r="AA633" s="3" t="s">
        <v>88</v>
      </c>
      <c r="AB633" s="3" t="s">
        <v>57</v>
      </c>
      <c r="AD633" s="3">
        <v>0.19375000000000001</v>
      </c>
      <c r="AE633" s="3">
        <v>0.19375000000000001</v>
      </c>
      <c r="AG633" s="3">
        <v>0.4</v>
      </c>
      <c r="AH633" s="3">
        <v>44.8</v>
      </c>
      <c r="AI633" s="3">
        <v>23</v>
      </c>
      <c r="AJ633" s="89">
        <f t="shared" si="20"/>
        <v>49.916666666666664</v>
      </c>
      <c r="AK633" s="3" t="s">
        <v>58</v>
      </c>
      <c r="AL633" s="3">
        <f t="shared" si="21"/>
        <v>59.899999999999991</v>
      </c>
      <c r="AN633" t="s">
        <v>5518</v>
      </c>
      <c r="AO633" s="74" t="s">
        <v>5631</v>
      </c>
    </row>
    <row r="634" spans="1:41" ht="14.25" customHeight="1" x14ac:dyDescent="0.3">
      <c r="A634" s="3" t="s">
        <v>1601</v>
      </c>
      <c r="B634" s="3" t="s">
        <v>1616</v>
      </c>
      <c r="C634" s="3" t="s">
        <v>1451</v>
      </c>
      <c r="D634" s="3" t="s">
        <v>1617</v>
      </c>
      <c r="E634" s="3" t="s">
        <v>1453</v>
      </c>
      <c r="F634" s="3" t="s">
        <v>41</v>
      </c>
      <c r="G634" s="5" t="s">
        <v>42</v>
      </c>
      <c r="H634" s="5" t="s">
        <v>43</v>
      </c>
      <c r="I634" s="5" t="s">
        <v>44</v>
      </c>
      <c r="J634" s="3" t="s">
        <v>45</v>
      </c>
      <c r="K634" s="3" t="s">
        <v>1276</v>
      </c>
      <c r="L634" s="3" t="s">
        <v>1544</v>
      </c>
      <c r="M634" s="3" t="s">
        <v>262</v>
      </c>
      <c r="N634" s="4" t="s">
        <v>1468</v>
      </c>
      <c r="O634" s="67" t="s">
        <v>586</v>
      </c>
      <c r="P634" s="3" t="s">
        <v>1545</v>
      </c>
      <c r="Q634" s="3" t="s">
        <v>51</v>
      </c>
      <c r="R634" s="3">
        <v>32</v>
      </c>
      <c r="S634" s="3" t="s">
        <v>52</v>
      </c>
      <c r="T634" s="3" t="s">
        <v>53</v>
      </c>
      <c r="U634" s="3" t="s">
        <v>54</v>
      </c>
      <c r="V634" s="7"/>
      <c r="W634" s="7"/>
      <c r="X634" s="7"/>
      <c r="Y634" s="7"/>
      <c r="Z634" s="3" t="s">
        <v>265</v>
      </c>
      <c r="AA634" s="3" t="s">
        <v>88</v>
      </c>
      <c r="AB634" s="3" t="s">
        <v>57</v>
      </c>
      <c r="AD634" s="3">
        <v>0.19375000000000001</v>
      </c>
      <c r="AE634" s="3">
        <v>0.19375000000000001</v>
      </c>
      <c r="AG634" s="3">
        <v>0.4</v>
      </c>
      <c r="AH634" s="3">
        <v>44.8</v>
      </c>
      <c r="AI634" s="3">
        <v>23</v>
      </c>
      <c r="AJ634" s="89">
        <f t="shared" si="20"/>
        <v>49.916666666666664</v>
      </c>
      <c r="AK634" s="3" t="s">
        <v>58</v>
      </c>
      <c r="AL634" s="3">
        <f t="shared" si="21"/>
        <v>59.899999999999991</v>
      </c>
      <c r="AN634" t="s">
        <v>5518</v>
      </c>
      <c r="AO634" s="74" t="s">
        <v>5631</v>
      </c>
    </row>
    <row r="635" spans="1:41" ht="14.25" customHeight="1" x14ac:dyDescent="0.3">
      <c r="A635" s="3" t="s">
        <v>1601</v>
      </c>
      <c r="B635" s="3" t="s">
        <v>1618</v>
      </c>
      <c r="C635" s="3" t="s">
        <v>1451</v>
      </c>
      <c r="D635" s="3" t="s">
        <v>1619</v>
      </c>
      <c r="E635" s="3" t="s">
        <v>1453</v>
      </c>
      <c r="F635" s="3" t="s">
        <v>41</v>
      </c>
      <c r="G635" s="5" t="s">
        <v>42</v>
      </c>
      <c r="H635" s="5" t="s">
        <v>43</v>
      </c>
      <c r="I635" s="5" t="s">
        <v>44</v>
      </c>
      <c r="J635" s="3" t="s">
        <v>45</v>
      </c>
      <c r="K635" s="3" t="s">
        <v>1276</v>
      </c>
      <c r="L635" s="3" t="s">
        <v>1544</v>
      </c>
      <c r="M635" s="3" t="s">
        <v>262</v>
      </c>
      <c r="N635" s="4" t="s">
        <v>454</v>
      </c>
      <c r="O635" s="67" t="s">
        <v>454</v>
      </c>
      <c r="P635" s="3" t="s">
        <v>1545</v>
      </c>
      <c r="Q635" s="3" t="s">
        <v>51</v>
      </c>
      <c r="R635" s="3">
        <v>32</v>
      </c>
      <c r="S635" s="3" t="s">
        <v>52</v>
      </c>
      <c r="T635" s="3" t="s">
        <v>53</v>
      </c>
      <c r="U635" s="3" t="s">
        <v>281</v>
      </c>
      <c r="V635" s="7"/>
      <c r="W635" s="7"/>
      <c r="X635" s="7"/>
      <c r="Y635" s="7"/>
      <c r="Z635" s="3" t="s">
        <v>265</v>
      </c>
      <c r="AA635" s="3" t="s">
        <v>88</v>
      </c>
      <c r="AB635" s="3" t="s">
        <v>57</v>
      </c>
      <c r="AD635" s="3">
        <v>0.19375000000000001</v>
      </c>
      <c r="AE635" s="3">
        <v>0.19375000000000001</v>
      </c>
      <c r="AG635" s="3">
        <v>0.4</v>
      </c>
      <c r="AH635" s="3">
        <v>44.8</v>
      </c>
      <c r="AI635" s="3">
        <v>23</v>
      </c>
      <c r="AJ635" s="89">
        <f t="shared" si="20"/>
        <v>49.916666666666664</v>
      </c>
      <c r="AK635" s="3" t="s">
        <v>58</v>
      </c>
      <c r="AL635" s="3">
        <f t="shared" si="21"/>
        <v>59.899999999999991</v>
      </c>
      <c r="AN635" t="s">
        <v>5518</v>
      </c>
      <c r="AO635" s="74" t="s">
        <v>5631</v>
      </c>
    </row>
    <row r="636" spans="1:41" ht="14.25" customHeight="1" x14ac:dyDescent="0.3">
      <c r="A636" s="3" t="s">
        <v>1601</v>
      </c>
      <c r="B636" s="3" t="s">
        <v>1620</v>
      </c>
      <c r="C636" s="3" t="s">
        <v>1451</v>
      </c>
      <c r="D636" s="3" t="s">
        <v>1621</v>
      </c>
      <c r="E636" s="3" t="s">
        <v>1453</v>
      </c>
      <c r="F636" s="3" t="s">
        <v>41</v>
      </c>
      <c r="G636" s="5" t="s">
        <v>42</v>
      </c>
      <c r="H636" s="5" t="s">
        <v>43</v>
      </c>
      <c r="I636" s="5" t="s">
        <v>44</v>
      </c>
      <c r="J636" s="3" t="s">
        <v>45</v>
      </c>
      <c r="K636" s="3" t="s">
        <v>1276</v>
      </c>
      <c r="L636" s="3" t="s">
        <v>1544</v>
      </c>
      <c r="M636" s="3" t="s">
        <v>262</v>
      </c>
      <c r="N636" s="4" t="s">
        <v>454</v>
      </c>
      <c r="O636" s="67" t="s">
        <v>454</v>
      </c>
      <c r="P636" s="3" t="s">
        <v>1545</v>
      </c>
      <c r="Q636" s="3" t="s">
        <v>51</v>
      </c>
      <c r="R636" s="3">
        <v>32</v>
      </c>
      <c r="S636" s="3" t="s">
        <v>52</v>
      </c>
      <c r="T636" s="3" t="s">
        <v>53</v>
      </c>
      <c r="U636" s="3" t="s">
        <v>54</v>
      </c>
      <c r="V636" s="7"/>
      <c r="W636" s="7"/>
      <c r="X636" s="7"/>
      <c r="Y636" s="7"/>
      <c r="Z636" s="3" t="s">
        <v>265</v>
      </c>
      <c r="AA636" s="3" t="s">
        <v>88</v>
      </c>
      <c r="AB636" s="3" t="s">
        <v>57</v>
      </c>
      <c r="AD636" s="3">
        <v>0.19375000000000001</v>
      </c>
      <c r="AE636" s="3">
        <v>0.19375000000000001</v>
      </c>
      <c r="AG636" s="3">
        <v>0.4</v>
      </c>
      <c r="AH636" s="3">
        <v>44.8</v>
      </c>
      <c r="AI636" s="3">
        <v>23</v>
      </c>
      <c r="AJ636" s="89">
        <f t="shared" si="20"/>
        <v>49.916666666666664</v>
      </c>
      <c r="AK636" s="3" t="s">
        <v>58</v>
      </c>
      <c r="AL636" s="3">
        <f t="shared" si="21"/>
        <v>59.899999999999991</v>
      </c>
      <c r="AN636" t="s">
        <v>5518</v>
      </c>
      <c r="AO636" s="74" t="s">
        <v>5631</v>
      </c>
    </row>
    <row r="637" spans="1:41" ht="14.25" customHeight="1" x14ac:dyDescent="0.3">
      <c r="A637" s="3" t="s">
        <v>1601</v>
      </c>
      <c r="B637" s="3" t="s">
        <v>1622</v>
      </c>
      <c r="C637" s="3" t="s">
        <v>1451</v>
      </c>
      <c r="D637" s="3" t="s">
        <v>1623</v>
      </c>
      <c r="E637" s="3" t="s">
        <v>1453</v>
      </c>
      <c r="F637" s="3" t="s">
        <v>41</v>
      </c>
      <c r="G637" s="5" t="s">
        <v>42</v>
      </c>
      <c r="H637" s="5" t="s">
        <v>43</v>
      </c>
      <c r="I637" s="5" t="s">
        <v>44</v>
      </c>
      <c r="J637" s="3" t="s">
        <v>45</v>
      </c>
      <c r="K637" s="3" t="s">
        <v>1276</v>
      </c>
      <c r="L637" s="3" t="s">
        <v>1544</v>
      </c>
      <c r="M637" s="3" t="s">
        <v>262</v>
      </c>
      <c r="N637" s="4" t="s">
        <v>61</v>
      </c>
      <c r="O637" s="68" t="s">
        <v>61</v>
      </c>
      <c r="P637" s="3" t="s">
        <v>1545</v>
      </c>
      <c r="Q637" s="3" t="s">
        <v>51</v>
      </c>
      <c r="R637" s="3">
        <v>32</v>
      </c>
      <c r="S637" s="3" t="s">
        <v>52</v>
      </c>
      <c r="T637" s="3" t="s">
        <v>53</v>
      </c>
      <c r="U637" s="3" t="s">
        <v>281</v>
      </c>
      <c r="V637" s="7"/>
      <c r="W637" s="7"/>
      <c r="X637" s="7"/>
      <c r="Y637" s="7"/>
      <c r="Z637" s="3" t="s">
        <v>265</v>
      </c>
      <c r="AA637" s="3" t="s">
        <v>88</v>
      </c>
      <c r="AB637" s="3" t="s">
        <v>57</v>
      </c>
      <c r="AD637" s="3">
        <v>0.19375000000000001</v>
      </c>
      <c r="AE637" s="3">
        <v>0.19375000000000001</v>
      </c>
      <c r="AG637" s="3">
        <v>0.4</v>
      </c>
      <c r="AH637" s="3">
        <v>44.8</v>
      </c>
      <c r="AI637" s="3">
        <v>23</v>
      </c>
      <c r="AJ637" s="89">
        <f t="shared" si="20"/>
        <v>49.916666666666664</v>
      </c>
      <c r="AK637" s="3" t="s">
        <v>58</v>
      </c>
      <c r="AL637" s="3">
        <f t="shared" si="21"/>
        <v>59.899999999999991</v>
      </c>
      <c r="AN637" t="s">
        <v>5518</v>
      </c>
      <c r="AO637" s="74" t="s">
        <v>5631</v>
      </c>
    </row>
    <row r="638" spans="1:41" ht="14.25" customHeight="1" x14ac:dyDescent="0.3">
      <c r="A638" s="3" t="s">
        <v>1601</v>
      </c>
      <c r="B638" s="3" t="s">
        <v>1624</v>
      </c>
      <c r="C638" s="3" t="s">
        <v>1451</v>
      </c>
      <c r="D638" s="3" t="s">
        <v>1625</v>
      </c>
      <c r="E638" s="3" t="s">
        <v>1453</v>
      </c>
      <c r="F638" s="3" t="s">
        <v>41</v>
      </c>
      <c r="G638" s="5" t="s">
        <v>42</v>
      </c>
      <c r="H638" s="5" t="s">
        <v>43</v>
      </c>
      <c r="I638" s="5" t="s">
        <v>44</v>
      </c>
      <c r="J638" s="3" t="s">
        <v>45</v>
      </c>
      <c r="K638" s="3" t="s">
        <v>1276</v>
      </c>
      <c r="L638" s="3" t="s">
        <v>1544</v>
      </c>
      <c r="M638" s="3" t="s">
        <v>262</v>
      </c>
      <c r="N638" s="4" t="s">
        <v>61</v>
      </c>
      <c r="O638" s="68" t="s">
        <v>61</v>
      </c>
      <c r="P638" s="3" t="s">
        <v>1545</v>
      </c>
      <c r="Q638" s="3" t="s">
        <v>51</v>
      </c>
      <c r="R638" s="3">
        <v>32</v>
      </c>
      <c r="S638" s="3" t="s">
        <v>52</v>
      </c>
      <c r="T638" s="3" t="s">
        <v>53</v>
      </c>
      <c r="U638" s="3" t="s">
        <v>54</v>
      </c>
      <c r="V638" s="7"/>
      <c r="W638" s="7"/>
      <c r="X638" s="7"/>
      <c r="Y638" s="7"/>
      <c r="Z638" s="3" t="s">
        <v>265</v>
      </c>
      <c r="AA638" s="3" t="s">
        <v>88</v>
      </c>
      <c r="AB638" s="3" t="s">
        <v>57</v>
      </c>
      <c r="AD638" s="3">
        <v>0.19375000000000001</v>
      </c>
      <c r="AE638" s="3">
        <v>0.19375000000000001</v>
      </c>
      <c r="AG638" s="3">
        <v>0.4</v>
      </c>
      <c r="AH638" s="3">
        <v>44.8</v>
      </c>
      <c r="AI638" s="3">
        <v>23</v>
      </c>
      <c r="AJ638" s="89">
        <f t="shared" si="20"/>
        <v>49.916666666666664</v>
      </c>
      <c r="AK638" s="3" t="s">
        <v>58</v>
      </c>
      <c r="AL638" s="3">
        <f t="shared" si="21"/>
        <v>59.899999999999991</v>
      </c>
      <c r="AN638" t="s">
        <v>5518</v>
      </c>
      <c r="AO638" s="74" t="s">
        <v>5631</v>
      </c>
    </row>
    <row r="639" spans="1:41" ht="14.25" customHeight="1" x14ac:dyDescent="0.3">
      <c r="A639" s="3" t="s">
        <v>1601</v>
      </c>
      <c r="B639" s="3" t="s">
        <v>1626</v>
      </c>
      <c r="C639" s="3" t="s">
        <v>1451</v>
      </c>
      <c r="D639" s="3" t="s">
        <v>1627</v>
      </c>
      <c r="E639" s="3" t="s">
        <v>1453</v>
      </c>
      <c r="F639" s="3" t="s">
        <v>41</v>
      </c>
      <c r="G639" s="5" t="s">
        <v>42</v>
      </c>
      <c r="H639" s="5" t="s">
        <v>43</v>
      </c>
      <c r="I639" s="5" t="s">
        <v>44</v>
      </c>
      <c r="J639" s="3" t="s">
        <v>45</v>
      </c>
      <c r="K639" s="3" t="s">
        <v>1276</v>
      </c>
      <c r="L639" s="3" t="s">
        <v>1544</v>
      </c>
      <c r="M639" s="3" t="s">
        <v>262</v>
      </c>
      <c r="N639" s="4" t="s">
        <v>49</v>
      </c>
      <c r="O639" s="67" t="s">
        <v>49</v>
      </c>
      <c r="P639" s="3" t="s">
        <v>1545</v>
      </c>
      <c r="Q639" s="3" t="s">
        <v>51</v>
      </c>
      <c r="R639" s="3">
        <v>32</v>
      </c>
      <c r="S639" s="3" t="s">
        <v>52</v>
      </c>
      <c r="T639" s="3" t="s">
        <v>53</v>
      </c>
      <c r="U639" s="3" t="s">
        <v>281</v>
      </c>
      <c r="V639" s="7"/>
      <c r="W639" s="7"/>
      <c r="X639" s="7"/>
      <c r="Y639" s="7"/>
      <c r="Z639" s="3" t="s">
        <v>265</v>
      </c>
      <c r="AA639" s="3" t="s">
        <v>88</v>
      </c>
      <c r="AB639" s="3" t="s">
        <v>57</v>
      </c>
      <c r="AD639" s="3">
        <v>0.19375000000000001</v>
      </c>
      <c r="AE639" s="3">
        <v>0.19375000000000001</v>
      </c>
      <c r="AG639" s="3">
        <v>0.4</v>
      </c>
      <c r="AH639" s="3">
        <v>44.8</v>
      </c>
      <c r="AI639" s="3">
        <v>23</v>
      </c>
      <c r="AJ639" s="89">
        <f t="shared" si="20"/>
        <v>49.916666666666664</v>
      </c>
      <c r="AK639" s="3" t="s">
        <v>58</v>
      </c>
      <c r="AL639" s="3">
        <f t="shared" si="21"/>
        <v>59.899999999999991</v>
      </c>
      <c r="AN639" t="s">
        <v>5518</v>
      </c>
      <c r="AO639" s="74" t="s">
        <v>5631</v>
      </c>
    </row>
    <row r="640" spans="1:41" ht="14.25" customHeight="1" x14ac:dyDescent="0.3">
      <c r="A640" s="3" t="s">
        <v>1601</v>
      </c>
      <c r="B640" s="3" t="s">
        <v>1628</v>
      </c>
      <c r="C640" s="3" t="s">
        <v>1451</v>
      </c>
      <c r="D640" s="3" t="s">
        <v>1629</v>
      </c>
      <c r="E640" s="3" t="s">
        <v>1453</v>
      </c>
      <c r="F640" s="3" t="s">
        <v>41</v>
      </c>
      <c r="G640" s="5" t="s">
        <v>42</v>
      </c>
      <c r="H640" s="5" t="s">
        <v>43</v>
      </c>
      <c r="I640" s="5" t="s">
        <v>44</v>
      </c>
      <c r="J640" s="3" t="s">
        <v>45</v>
      </c>
      <c r="K640" s="3" t="s">
        <v>1276</v>
      </c>
      <c r="L640" s="3" t="s">
        <v>1544</v>
      </c>
      <c r="M640" s="3" t="s">
        <v>262</v>
      </c>
      <c r="N640" s="4" t="s">
        <v>49</v>
      </c>
      <c r="O640" s="67" t="s">
        <v>49</v>
      </c>
      <c r="P640" s="3" t="s">
        <v>1545</v>
      </c>
      <c r="Q640" s="3" t="s">
        <v>51</v>
      </c>
      <c r="R640" s="3">
        <v>32</v>
      </c>
      <c r="S640" s="3" t="s">
        <v>52</v>
      </c>
      <c r="T640" s="3" t="s">
        <v>53</v>
      </c>
      <c r="U640" s="3" t="s">
        <v>54</v>
      </c>
      <c r="V640" s="7"/>
      <c r="W640" s="7"/>
      <c r="X640" s="7"/>
      <c r="Y640" s="7"/>
      <c r="Z640" s="3" t="s">
        <v>265</v>
      </c>
      <c r="AA640" s="3" t="s">
        <v>88</v>
      </c>
      <c r="AB640" s="3" t="s">
        <v>57</v>
      </c>
      <c r="AD640" s="3">
        <v>0.19375000000000001</v>
      </c>
      <c r="AE640" s="3">
        <v>0.19375000000000001</v>
      </c>
      <c r="AG640" s="3">
        <v>0.4</v>
      </c>
      <c r="AH640" s="3">
        <v>44.8</v>
      </c>
      <c r="AI640" s="3">
        <v>23</v>
      </c>
      <c r="AJ640" s="89">
        <f t="shared" si="20"/>
        <v>49.916666666666664</v>
      </c>
      <c r="AK640" s="3" t="s">
        <v>58</v>
      </c>
      <c r="AL640" s="3">
        <f t="shared" si="21"/>
        <v>59.899999999999991</v>
      </c>
      <c r="AN640" t="s">
        <v>5518</v>
      </c>
      <c r="AO640" s="74" t="s">
        <v>5631</v>
      </c>
    </row>
    <row r="641" spans="1:41" ht="14.25" customHeight="1" x14ac:dyDescent="0.3">
      <c r="A641" s="3" t="s">
        <v>255</v>
      </c>
      <c r="B641" s="3" t="s">
        <v>256</v>
      </c>
      <c r="C641" s="3" t="s">
        <v>257</v>
      </c>
      <c r="D641" s="3" t="s">
        <v>258</v>
      </c>
      <c r="E641" s="3" t="s">
        <v>259</v>
      </c>
      <c r="F641" s="3" t="s">
        <v>41</v>
      </c>
      <c r="G641" s="5" t="s">
        <v>42</v>
      </c>
      <c r="H641" s="5" t="s">
        <v>43</v>
      </c>
      <c r="I641" s="5" t="s">
        <v>44</v>
      </c>
      <c r="J641" s="3" t="s">
        <v>45</v>
      </c>
      <c r="K641" s="3" t="s">
        <v>260</v>
      </c>
      <c r="L641" s="3" t="s">
        <v>261</v>
      </c>
      <c r="M641" s="3" t="s">
        <v>262</v>
      </c>
      <c r="N641" s="4" t="s">
        <v>263</v>
      </c>
      <c r="O641" s="67" t="s">
        <v>263</v>
      </c>
      <c r="P641" s="3" t="s">
        <v>50</v>
      </c>
      <c r="Q641" s="3" t="s">
        <v>68</v>
      </c>
      <c r="R641" s="3">
        <v>16</v>
      </c>
      <c r="S641" s="3" t="s">
        <v>264</v>
      </c>
      <c r="T641" s="3" t="s">
        <v>53</v>
      </c>
      <c r="U641" s="3" t="s">
        <v>54</v>
      </c>
      <c r="V641" s="7"/>
      <c r="W641" s="7"/>
      <c r="X641" s="7"/>
      <c r="Y641" s="7"/>
      <c r="Z641" s="3" t="s">
        <v>265</v>
      </c>
      <c r="AA641" s="3" t="s">
        <v>56</v>
      </c>
      <c r="AB641" s="3" t="s">
        <v>57</v>
      </c>
      <c r="AD641" s="3">
        <f t="shared" ref="AD641:AE652" si="22">16.6/16</f>
        <v>1.0375000000000001</v>
      </c>
      <c r="AE641" s="3">
        <f t="shared" si="22"/>
        <v>1.0375000000000001</v>
      </c>
      <c r="AF641" s="3">
        <v>920</v>
      </c>
      <c r="AG641" s="3">
        <v>1</v>
      </c>
      <c r="AH641" s="3">
        <v>54</v>
      </c>
      <c r="AI641" s="3">
        <v>17.170000000000002</v>
      </c>
      <c r="AJ641" s="93">
        <f t="shared" ref="AJ641:AJ660" si="23">43.9/1.2</f>
        <v>36.583333333333336</v>
      </c>
      <c r="AK641" s="3" t="s">
        <v>58</v>
      </c>
      <c r="AL641" s="9">
        <f t="shared" si="21"/>
        <v>43.9</v>
      </c>
      <c r="AN641" t="s">
        <v>5518</v>
      </c>
      <c r="AO641" s="74" t="s">
        <v>5632</v>
      </c>
    </row>
    <row r="642" spans="1:41" ht="14.25" customHeight="1" x14ac:dyDescent="0.3">
      <c r="A642" s="3" t="s">
        <v>255</v>
      </c>
      <c r="B642" s="3" t="s">
        <v>266</v>
      </c>
      <c r="C642" s="3" t="s">
        <v>257</v>
      </c>
      <c r="D642" s="3" t="s">
        <v>267</v>
      </c>
      <c r="E642" s="3" t="s">
        <v>259</v>
      </c>
      <c r="F642" s="3" t="s">
        <v>41</v>
      </c>
      <c r="G642" s="5" t="s">
        <v>42</v>
      </c>
      <c r="H642" s="5" t="s">
        <v>43</v>
      </c>
      <c r="I642" s="5" t="s">
        <v>44</v>
      </c>
      <c r="J642" s="3" t="s">
        <v>45</v>
      </c>
      <c r="K642" s="3" t="s">
        <v>260</v>
      </c>
      <c r="L642" s="3" t="s">
        <v>261</v>
      </c>
      <c r="M642" s="3" t="s">
        <v>262</v>
      </c>
      <c r="N642" s="4" t="s">
        <v>263</v>
      </c>
      <c r="O642" s="68" t="s">
        <v>263</v>
      </c>
      <c r="P642" s="3" t="s">
        <v>50</v>
      </c>
      <c r="Q642" s="3" t="s">
        <v>68</v>
      </c>
      <c r="R642" s="3">
        <v>16</v>
      </c>
      <c r="S642" s="3" t="s">
        <v>264</v>
      </c>
      <c r="T642" s="3" t="s">
        <v>53</v>
      </c>
      <c r="U642" s="3" t="s">
        <v>54</v>
      </c>
      <c r="V642" s="7"/>
      <c r="W642" s="7"/>
      <c r="X642" s="7"/>
      <c r="Y642" s="7"/>
      <c r="Z642" s="3" t="s">
        <v>265</v>
      </c>
      <c r="AA642" s="3" t="s">
        <v>56</v>
      </c>
      <c r="AB642" s="3" t="s">
        <v>57</v>
      </c>
      <c r="AD642" s="3">
        <f t="shared" si="22"/>
        <v>1.0375000000000001</v>
      </c>
      <c r="AE642" s="3">
        <f t="shared" si="22"/>
        <v>1.0375000000000001</v>
      </c>
      <c r="AF642" s="3">
        <v>920</v>
      </c>
      <c r="AG642" s="3">
        <v>1</v>
      </c>
      <c r="AH642" s="3">
        <v>54</v>
      </c>
      <c r="AI642" s="3">
        <v>17.170000000000002</v>
      </c>
      <c r="AJ642" s="93">
        <f t="shared" si="23"/>
        <v>36.583333333333336</v>
      </c>
      <c r="AK642" s="3" t="s">
        <v>58</v>
      </c>
      <c r="AL642" s="9">
        <f t="shared" si="21"/>
        <v>43.9</v>
      </c>
      <c r="AN642" t="s">
        <v>5518</v>
      </c>
      <c r="AO642" s="74" t="s">
        <v>5632</v>
      </c>
    </row>
    <row r="643" spans="1:41" ht="14.25" customHeight="1" x14ac:dyDescent="0.3">
      <c r="A643" s="3" t="s">
        <v>255</v>
      </c>
      <c r="B643" s="3" t="s">
        <v>268</v>
      </c>
      <c r="C643" s="3" t="s">
        <v>257</v>
      </c>
      <c r="D643" s="3" t="s">
        <v>269</v>
      </c>
      <c r="E643" s="3" t="s">
        <v>259</v>
      </c>
      <c r="F643" s="3" t="s">
        <v>41</v>
      </c>
      <c r="G643" s="5" t="s">
        <v>42</v>
      </c>
      <c r="H643" s="5" t="s">
        <v>43</v>
      </c>
      <c r="I643" s="5" t="s">
        <v>44</v>
      </c>
      <c r="J643" s="3" t="s">
        <v>45</v>
      </c>
      <c r="K643" s="3" t="s">
        <v>260</v>
      </c>
      <c r="L643" s="3" t="s">
        <v>261</v>
      </c>
      <c r="M643" s="3" t="s">
        <v>262</v>
      </c>
      <c r="N643" s="4" t="s">
        <v>263</v>
      </c>
      <c r="O643" s="68" t="s">
        <v>263</v>
      </c>
      <c r="P643" s="3" t="s">
        <v>50</v>
      </c>
      <c r="Q643" s="3" t="s">
        <v>68</v>
      </c>
      <c r="R643" s="3">
        <v>16</v>
      </c>
      <c r="S643" s="3" t="s">
        <v>264</v>
      </c>
      <c r="T643" s="3" t="s">
        <v>53</v>
      </c>
      <c r="U643" s="3" t="s">
        <v>54</v>
      </c>
      <c r="V643" s="7"/>
      <c r="W643" s="7"/>
      <c r="X643" s="7"/>
      <c r="Y643" s="7"/>
      <c r="Z643" s="3" t="s">
        <v>265</v>
      </c>
      <c r="AA643" s="3" t="s">
        <v>56</v>
      </c>
      <c r="AB643" s="3" t="s">
        <v>57</v>
      </c>
      <c r="AD643" s="3">
        <f t="shared" si="22"/>
        <v>1.0375000000000001</v>
      </c>
      <c r="AE643" s="3">
        <f t="shared" si="22"/>
        <v>1.0375000000000001</v>
      </c>
      <c r="AF643" s="3">
        <v>920</v>
      </c>
      <c r="AG643" s="3">
        <v>1</v>
      </c>
      <c r="AH643" s="3">
        <v>54</v>
      </c>
      <c r="AI643" s="3">
        <v>17.170000000000002</v>
      </c>
      <c r="AJ643" s="93">
        <f t="shared" si="23"/>
        <v>36.583333333333336</v>
      </c>
      <c r="AK643" s="3" t="s">
        <v>58</v>
      </c>
      <c r="AL643" s="9">
        <f t="shared" si="21"/>
        <v>43.9</v>
      </c>
      <c r="AN643" t="s">
        <v>5518</v>
      </c>
      <c r="AO643" s="74" t="s">
        <v>5632</v>
      </c>
    </row>
    <row r="644" spans="1:41" ht="14.25" customHeight="1" x14ac:dyDescent="0.3">
      <c r="A644" s="3" t="s">
        <v>255</v>
      </c>
      <c r="B644" s="3" t="s">
        <v>270</v>
      </c>
      <c r="C644" s="3" t="s">
        <v>257</v>
      </c>
      <c r="D644" s="3" t="s">
        <v>271</v>
      </c>
      <c r="E644" s="3" t="s">
        <v>259</v>
      </c>
      <c r="F644" s="3" t="s">
        <v>41</v>
      </c>
      <c r="G644" s="5" t="s">
        <v>42</v>
      </c>
      <c r="H644" s="5" t="s">
        <v>43</v>
      </c>
      <c r="I644" s="5" t="s">
        <v>44</v>
      </c>
      <c r="J644" s="3" t="s">
        <v>45</v>
      </c>
      <c r="K644" s="3" t="s">
        <v>260</v>
      </c>
      <c r="L644" s="3" t="s">
        <v>261</v>
      </c>
      <c r="M644" s="3" t="s">
        <v>262</v>
      </c>
      <c r="N644" s="4" t="s">
        <v>263</v>
      </c>
      <c r="O644" s="67" t="s">
        <v>263</v>
      </c>
      <c r="P644" s="3" t="s">
        <v>50</v>
      </c>
      <c r="Q644" s="3" t="s">
        <v>68</v>
      </c>
      <c r="R644" s="3">
        <v>16</v>
      </c>
      <c r="S644" s="3" t="s">
        <v>264</v>
      </c>
      <c r="T644" s="3" t="s">
        <v>53</v>
      </c>
      <c r="U644" s="3" t="s">
        <v>54</v>
      </c>
      <c r="V644" s="7"/>
      <c r="W644" s="7"/>
      <c r="X644" s="7"/>
      <c r="Y644" s="7"/>
      <c r="Z644" s="3" t="s">
        <v>265</v>
      </c>
      <c r="AA644" s="3" t="s">
        <v>56</v>
      </c>
      <c r="AB644" s="3" t="s">
        <v>57</v>
      </c>
      <c r="AD644" s="3">
        <f t="shared" si="22"/>
        <v>1.0375000000000001</v>
      </c>
      <c r="AE644" s="3">
        <f t="shared" si="22"/>
        <v>1.0375000000000001</v>
      </c>
      <c r="AF644" s="3">
        <v>920</v>
      </c>
      <c r="AG644" s="3">
        <v>1</v>
      </c>
      <c r="AH644" s="3">
        <v>54</v>
      </c>
      <c r="AI644" s="3">
        <v>17.170000000000002</v>
      </c>
      <c r="AJ644" s="93">
        <f t="shared" si="23"/>
        <v>36.583333333333336</v>
      </c>
      <c r="AK644" s="3" t="s">
        <v>58</v>
      </c>
      <c r="AL644" s="9">
        <f t="shared" si="21"/>
        <v>43.9</v>
      </c>
      <c r="AN644" t="s">
        <v>5518</v>
      </c>
      <c r="AO644" s="74" t="s">
        <v>5632</v>
      </c>
    </row>
    <row r="645" spans="1:41" ht="14.25" customHeight="1" x14ac:dyDescent="0.3">
      <c r="A645" s="3" t="s">
        <v>430</v>
      </c>
      <c r="B645" s="3" t="s">
        <v>431</v>
      </c>
      <c r="C645" s="3" t="s">
        <v>432</v>
      </c>
      <c r="D645" s="3" t="s">
        <v>433</v>
      </c>
      <c r="E645" s="3" t="s">
        <v>434</v>
      </c>
      <c r="F645" s="3" t="s">
        <v>41</v>
      </c>
      <c r="G645" s="5" t="s">
        <v>42</v>
      </c>
      <c r="H645" s="5" t="s">
        <v>43</v>
      </c>
      <c r="I645" s="5" t="s">
        <v>44</v>
      </c>
      <c r="J645" s="3" t="s">
        <v>45</v>
      </c>
      <c r="K645" s="3" t="s">
        <v>260</v>
      </c>
      <c r="L645" s="3" t="s">
        <v>261</v>
      </c>
      <c r="M645" s="3" t="s">
        <v>262</v>
      </c>
      <c r="N645" s="4" t="s">
        <v>435</v>
      </c>
      <c r="O645" s="67" t="s">
        <v>61</v>
      </c>
      <c r="P645" s="3" t="s">
        <v>50</v>
      </c>
      <c r="Q645" s="3" t="s">
        <v>68</v>
      </c>
      <c r="R645" s="3">
        <v>16</v>
      </c>
      <c r="S645" s="3" t="s">
        <v>52</v>
      </c>
      <c r="T645" s="3" t="s">
        <v>53</v>
      </c>
      <c r="U645" s="3" t="s">
        <v>54</v>
      </c>
      <c r="V645" s="7"/>
      <c r="W645" s="7"/>
      <c r="X645" s="7"/>
      <c r="Y645" s="7"/>
      <c r="Z645" s="3" t="s">
        <v>265</v>
      </c>
      <c r="AA645" s="3" t="s">
        <v>56</v>
      </c>
      <c r="AB645" s="3" t="s">
        <v>57</v>
      </c>
      <c r="AD645" s="3">
        <f t="shared" si="22"/>
        <v>1.0375000000000001</v>
      </c>
      <c r="AE645" s="3">
        <f t="shared" si="22"/>
        <v>1.0375000000000001</v>
      </c>
      <c r="AF645" s="3">
        <v>920</v>
      </c>
      <c r="AG645" s="12" t="s">
        <v>436</v>
      </c>
      <c r="AH645" s="3">
        <v>54</v>
      </c>
      <c r="AI645" s="3">
        <v>17.170000000000002</v>
      </c>
      <c r="AJ645" s="89">
        <f t="shared" si="23"/>
        <v>36.583333333333336</v>
      </c>
      <c r="AK645" s="3" t="s">
        <v>58</v>
      </c>
      <c r="AL645" s="3">
        <f t="shared" si="21"/>
        <v>43.9</v>
      </c>
      <c r="AN645" t="s">
        <v>5518</v>
      </c>
      <c r="AO645" s="74" t="s">
        <v>5637</v>
      </c>
    </row>
    <row r="646" spans="1:41" ht="14.25" customHeight="1" x14ac:dyDescent="0.3">
      <c r="A646" s="3" t="s">
        <v>430</v>
      </c>
      <c r="B646" s="3" t="s">
        <v>437</v>
      </c>
      <c r="C646" s="3" t="s">
        <v>432</v>
      </c>
      <c r="D646" s="3" t="s">
        <v>438</v>
      </c>
      <c r="E646" s="3" t="s">
        <v>434</v>
      </c>
      <c r="F646" s="3" t="s">
        <v>41</v>
      </c>
      <c r="G646" s="5" t="s">
        <v>42</v>
      </c>
      <c r="H646" s="5" t="s">
        <v>43</v>
      </c>
      <c r="I646" s="5" t="s">
        <v>44</v>
      </c>
      <c r="J646" s="3" t="s">
        <v>45</v>
      </c>
      <c r="K646" s="3" t="s">
        <v>260</v>
      </c>
      <c r="L646" s="3" t="s">
        <v>261</v>
      </c>
      <c r="M646" s="3" t="s">
        <v>262</v>
      </c>
      <c r="N646" s="4" t="s">
        <v>49</v>
      </c>
      <c r="O646" s="67" t="s">
        <v>49</v>
      </c>
      <c r="P646" s="3" t="s">
        <v>50</v>
      </c>
      <c r="Q646" s="3" t="s">
        <v>68</v>
      </c>
      <c r="R646" s="3">
        <v>16</v>
      </c>
      <c r="S646" s="3" t="s">
        <v>52</v>
      </c>
      <c r="T646" s="3" t="s">
        <v>53</v>
      </c>
      <c r="U646" s="3" t="s">
        <v>54</v>
      </c>
      <c r="V646" s="7"/>
      <c r="W646" s="7"/>
      <c r="X646" s="7"/>
      <c r="Y646" s="7"/>
      <c r="Z646" s="3" t="s">
        <v>265</v>
      </c>
      <c r="AA646" s="3" t="s">
        <v>56</v>
      </c>
      <c r="AB646" s="3" t="s">
        <v>57</v>
      </c>
      <c r="AD646" s="3">
        <f t="shared" si="22"/>
        <v>1.0375000000000001</v>
      </c>
      <c r="AE646" s="3">
        <f t="shared" si="22"/>
        <v>1.0375000000000001</v>
      </c>
      <c r="AF646" s="3">
        <v>920</v>
      </c>
      <c r="AG646" s="12" t="s">
        <v>436</v>
      </c>
      <c r="AH646" s="3">
        <v>54</v>
      </c>
      <c r="AI646" s="3">
        <v>17.170000000000002</v>
      </c>
      <c r="AJ646" s="89">
        <f t="shared" si="23"/>
        <v>36.583333333333336</v>
      </c>
      <c r="AK646" s="3" t="s">
        <v>58</v>
      </c>
      <c r="AL646" s="3">
        <f t="shared" si="21"/>
        <v>43.9</v>
      </c>
      <c r="AN646" t="s">
        <v>5518</v>
      </c>
      <c r="AO646" s="74" t="s">
        <v>5637</v>
      </c>
    </row>
    <row r="647" spans="1:41" ht="14.25" customHeight="1" x14ac:dyDescent="0.3">
      <c r="A647" s="3" t="s">
        <v>430</v>
      </c>
      <c r="B647" s="3" t="s">
        <v>439</v>
      </c>
      <c r="C647" s="3" t="s">
        <v>432</v>
      </c>
      <c r="D647" s="3" t="s">
        <v>440</v>
      </c>
      <c r="E647" s="3" t="s">
        <v>434</v>
      </c>
      <c r="F647" s="3" t="s">
        <v>41</v>
      </c>
      <c r="G647" s="5" t="s">
        <v>42</v>
      </c>
      <c r="H647" s="5" t="s">
        <v>43</v>
      </c>
      <c r="I647" s="5" t="s">
        <v>44</v>
      </c>
      <c r="J647" s="3" t="s">
        <v>45</v>
      </c>
      <c r="K647" s="3" t="s">
        <v>260</v>
      </c>
      <c r="L647" s="3" t="s">
        <v>261</v>
      </c>
      <c r="M647" s="3" t="s">
        <v>262</v>
      </c>
      <c r="N647" s="4" t="s">
        <v>61</v>
      </c>
      <c r="O647" s="68" t="s">
        <v>61</v>
      </c>
      <c r="P647" s="3" t="s">
        <v>50</v>
      </c>
      <c r="Q647" s="3" t="s">
        <v>68</v>
      </c>
      <c r="R647" s="3">
        <v>16</v>
      </c>
      <c r="S647" s="3" t="s">
        <v>52</v>
      </c>
      <c r="T647" s="3" t="s">
        <v>53</v>
      </c>
      <c r="U647" s="3" t="s">
        <v>54</v>
      </c>
      <c r="V647" s="7"/>
      <c r="W647" s="7"/>
      <c r="X647" s="7"/>
      <c r="Y647" s="7"/>
      <c r="Z647" s="3" t="s">
        <v>265</v>
      </c>
      <c r="AA647" s="3" t="s">
        <v>56</v>
      </c>
      <c r="AB647" s="3" t="s">
        <v>57</v>
      </c>
      <c r="AD647" s="3">
        <f t="shared" si="22"/>
        <v>1.0375000000000001</v>
      </c>
      <c r="AE647" s="3">
        <f t="shared" si="22"/>
        <v>1.0375000000000001</v>
      </c>
      <c r="AF647" s="3">
        <v>920</v>
      </c>
      <c r="AG647" s="12" t="s">
        <v>436</v>
      </c>
      <c r="AH647" s="3">
        <v>54</v>
      </c>
      <c r="AI647" s="3">
        <v>17.170000000000002</v>
      </c>
      <c r="AJ647" s="89">
        <f t="shared" si="23"/>
        <v>36.583333333333336</v>
      </c>
      <c r="AK647" s="3" t="s">
        <v>58</v>
      </c>
      <c r="AL647" s="3">
        <f t="shared" si="21"/>
        <v>43.9</v>
      </c>
      <c r="AN647" t="s">
        <v>5518</v>
      </c>
      <c r="AO647" s="74" t="s">
        <v>5637</v>
      </c>
    </row>
    <row r="648" spans="1:41" ht="14.25" customHeight="1" x14ac:dyDescent="0.3">
      <c r="A648" s="3" t="s">
        <v>430</v>
      </c>
      <c r="B648" s="3" t="s">
        <v>441</v>
      </c>
      <c r="C648" s="3" t="s">
        <v>432</v>
      </c>
      <c r="D648" s="3" t="s">
        <v>442</v>
      </c>
      <c r="E648" s="3" t="s">
        <v>434</v>
      </c>
      <c r="F648" s="3" t="s">
        <v>41</v>
      </c>
      <c r="G648" s="5" t="s">
        <v>42</v>
      </c>
      <c r="H648" s="5" t="s">
        <v>43</v>
      </c>
      <c r="I648" s="5" t="s">
        <v>44</v>
      </c>
      <c r="J648" s="3" t="s">
        <v>45</v>
      </c>
      <c r="K648" s="3" t="s">
        <v>260</v>
      </c>
      <c r="L648" s="3" t="s">
        <v>261</v>
      </c>
      <c r="M648" s="3" t="s">
        <v>262</v>
      </c>
      <c r="N648" s="4" t="s">
        <v>443</v>
      </c>
      <c r="O648" s="68" t="s">
        <v>1463</v>
      </c>
      <c r="P648" s="3" t="s">
        <v>50</v>
      </c>
      <c r="Q648" s="3" t="s">
        <v>68</v>
      </c>
      <c r="R648" s="3">
        <v>16</v>
      </c>
      <c r="S648" s="3" t="s">
        <v>52</v>
      </c>
      <c r="T648" s="3" t="s">
        <v>53</v>
      </c>
      <c r="U648" s="3" t="s">
        <v>54</v>
      </c>
      <c r="V648" s="7"/>
      <c r="W648" s="7"/>
      <c r="X648" s="7"/>
      <c r="Y648" s="7"/>
      <c r="Z648" s="3" t="s">
        <v>265</v>
      </c>
      <c r="AA648" s="3" t="s">
        <v>56</v>
      </c>
      <c r="AB648" s="3" t="s">
        <v>57</v>
      </c>
      <c r="AD648" s="3">
        <f t="shared" si="22"/>
        <v>1.0375000000000001</v>
      </c>
      <c r="AE648" s="3">
        <f t="shared" si="22"/>
        <v>1.0375000000000001</v>
      </c>
      <c r="AF648" s="3">
        <v>920</v>
      </c>
      <c r="AG648" s="12" t="s">
        <v>436</v>
      </c>
      <c r="AH648" s="3">
        <v>54</v>
      </c>
      <c r="AI648" s="3">
        <v>17.170000000000002</v>
      </c>
      <c r="AJ648" s="89">
        <f t="shared" si="23"/>
        <v>36.583333333333336</v>
      </c>
      <c r="AK648" s="3" t="s">
        <v>58</v>
      </c>
      <c r="AL648" s="3">
        <f t="shared" si="21"/>
        <v>43.9</v>
      </c>
      <c r="AN648" t="s">
        <v>5518</v>
      </c>
      <c r="AO648" s="74" t="s">
        <v>5637</v>
      </c>
    </row>
    <row r="649" spans="1:41" s="37" customFormat="1" ht="14.25" customHeight="1" x14ac:dyDescent="0.3">
      <c r="A649" s="3" t="s">
        <v>430</v>
      </c>
      <c r="B649" s="3" t="s">
        <v>444</v>
      </c>
      <c r="C649" s="3" t="s">
        <v>432</v>
      </c>
      <c r="D649" s="3" t="s">
        <v>445</v>
      </c>
      <c r="E649" s="3" t="s">
        <v>434</v>
      </c>
      <c r="F649" s="3" t="s">
        <v>41</v>
      </c>
      <c r="G649" s="5" t="s">
        <v>42</v>
      </c>
      <c r="H649" s="5" t="s">
        <v>43</v>
      </c>
      <c r="I649" s="5" t="s">
        <v>44</v>
      </c>
      <c r="J649" s="3" t="s">
        <v>45</v>
      </c>
      <c r="K649" s="3" t="s">
        <v>260</v>
      </c>
      <c r="L649" s="3" t="s">
        <v>261</v>
      </c>
      <c r="M649" s="3" t="s">
        <v>262</v>
      </c>
      <c r="N649" s="4" t="s">
        <v>279</v>
      </c>
      <c r="O649" s="67" t="s">
        <v>279</v>
      </c>
      <c r="P649" s="3" t="s">
        <v>50</v>
      </c>
      <c r="Q649" s="3" t="s">
        <v>68</v>
      </c>
      <c r="R649" s="3">
        <v>16</v>
      </c>
      <c r="S649" s="3" t="s">
        <v>52</v>
      </c>
      <c r="T649" s="3" t="s">
        <v>53</v>
      </c>
      <c r="U649" s="3" t="s">
        <v>54</v>
      </c>
      <c r="V649" s="7"/>
      <c r="W649" s="7"/>
      <c r="X649" s="7"/>
      <c r="Y649" s="7"/>
      <c r="Z649" s="3" t="s">
        <v>265</v>
      </c>
      <c r="AA649" s="3" t="s">
        <v>56</v>
      </c>
      <c r="AB649" s="3" t="s">
        <v>57</v>
      </c>
      <c r="AC649"/>
      <c r="AD649" s="3">
        <f t="shared" si="22"/>
        <v>1.0375000000000001</v>
      </c>
      <c r="AE649" s="3">
        <f t="shared" si="22"/>
        <v>1.0375000000000001</v>
      </c>
      <c r="AF649" s="3">
        <v>920</v>
      </c>
      <c r="AG649" s="12" t="s">
        <v>436</v>
      </c>
      <c r="AH649" s="3">
        <v>54</v>
      </c>
      <c r="AI649" s="3">
        <v>17.170000000000002</v>
      </c>
      <c r="AJ649" s="89">
        <f t="shared" si="23"/>
        <v>36.583333333333336</v>
      </c>
      <c r="AK649" s="3" t="s">
        <v>58</v>
      </c>
      <c r="AL649" s="3">
        <f t="shared" si="21"/>
        <v>43.9</v>
      </c>
      <c r="AM649"/>
      <c r="AN649" t="s">
        <v>5518</v>
      </c>
      <c r="AO649" s="74" t="s">
        <v>5637</v>
      </c>
    </row>
    <row r="650" spans="1:41" s="37" customFormat="1" ht="14.25" customHeight="1" x14ac:dyDescent="0.3">
      <c r="A650" s="3" t="s">
        <v>430</v>
      </c>
      <c r="B650" s="3" t="s">
        <v>446</v>
      </c>
      <c r="C650" s="3" t="s">
        <v>432</v>
      </c>
      <c r="D650" s="3" t="s">
        <v>447</v>
      </c>
      <c r="E650" s="3" t="s">
        <v>434</v>
      </c>
      <c r="F650" s="3" t="s">
        <v>41</v>
      </c>
      <c r="G650" s="5" t="s">
        <v>42</v>
      </c>
      <c r="H650" s="5" t="s">
        <v>43</v>
      </c>
      <c r="I650" s="5" t="s">
        <v>44</v>
      </c>
      <c r="J650" s="3" t="s">
        <v>45</v>
      </c>
      <c r="K650" s="3" t="s">
        <v>260</v>
      </c>
      <c r="L650" s="3" t="s">
        <v>261</v>
      </c>
      <c r="M650" s="3" t="s">
        <v>262</v>
      </c>
      <c r="N650" s="4" t="s">
        <v>448</v>
      </c>
      <c r="O650" s="67" t="s">
        <v>5617</v>
      </c>
      <c r="P650" s="3" t="s">
        <v>50</v>
      </c>
      <c r="Q650" s="3" t="s">
        <v>68</v>
      </c>
      <c r="R650" s="3">
        <v>16</v>
      </c>
      <c r="S650" s="3" t="s">
        <v>52</v>
      </c>
      <c r="T650" s="3" t="s">
        <v>53</v>
      </c>
      <c r="U650" s="3" t="s">
        <v>54</v>
      </c>
      <c r="V650" s="7"/>
      <c r="W650" s="7"/>
      <c r="X650" s="7"/>
      <c r="Y650" s="7"/>
      <c r="Z650" s="3" t="s">
        <v>265</v>
      </c>
      <c r="AA650" s="3" t="s">
        <v>56</v>
      </c>
      <c r="AB650" s="3" t="s">
        <v>57</v>
      </c>
      <c r="AC650"/>
      <c r="AD650" s="3">
        <f t="shared" si="22"/>
        <v>1.0375000000000001</v>
      </c>
      <c r="AE650" s="3">
        <f t="shared" si="22"/>
        <v>1.0375000000000001</v>
      </c>
      <c r="AF650" s="3">
        <v>920</v>
      </c>
      <c r="AG650" s="12" t="s">
        <v>436</v>
      </c>
      <c r="AH650" s="3">
        <v>54</v>
      </c>
      <c r="AI650" s="3">
        <v>17.170000000000002</v>
      </c>
      <c r="AJ650" s="89">
        <f t="shared" si="23"/>
        <v>36.583333333333336</v>
      </c>
      <c r="AK650" s="3" t="s">
        <v>58</v>
      </c>
      <c r="AL650" s="3">
        <f t="shared" si="21"/>
        <v>43.9</v>
      </c>
      <c r="AM650"/>
      <c r="AN650" t="s">
        <v>5518</v>
      </c>
      <c r="AO650" s="74" t="s">
        <v>5637</v>
      </c>
    </row>
    <row r="651" spans="1:41" s="37" customFormat="1" ht="14.25" customHeight="1" x14ac:dyDescent="0.3">
      <c r="A651" s="3" t="s">
        <v>430</v>
      </c>
      <c r="B651" s="3" t="s">
        <v>449</v>
      </c>
      <c r="C651" s="3" t="s">
        <v>432</v>
      </c>
      <c r="D651" s="3" t="s">
        <v>450</v>
      </c>
      <c r="E651" s="3" t="s">
        <v>434</v>
      </c>
      <c r="F651" s="3" t="s">
        <v>41</v>
      </c>
      <c r="G651" s="5" t="s">
        <v>42</v>
      </c>
      <c r="H651" s="5" t="s">
        <v>43</v>
      </c>
      <c r="I651" s="5" t="s">
        <v>44</v>
      </c>
      <c r="J651" s="3" t="s">
        <v>45</v>
      </c>
      <c r="K651" s="3" t="s">
        <v>260</v>
      </c>
      <c r="L651" s="3" t="s">
        <v>261</v>
      </c>
      <c r="M651" s="3" t="s">
        <v>262</v>
      </c>
      <c r="N651" s="4" t="s">
        <v>451</v>
      </c>
      <c r="O651" s="67" t="s">
        <v>1802</v>
      </c>
      <c r="P651" s="3" t="s">
        <v>50</v>
      </c>
      <c r="Q651" s="3" t="s">
        <v>68</v>
      </c>
      <c r="R651" s="3">
        <v>16</v>
      </c>
      <c r="S651" s="3" t="s">
        <v>52</v>
      </c>
      <c r="T651" s="3" t="s">
        <v>53</v>
      </c>
      <c r="U651" s="3" t="s">
        <v>54</v>
      </c>
      <c r="V651" s="7"/>
      <c r="W651" s="7"/>
      <c r="X651" s="7"/>
      <c r="Y651" s="7"/>
      <c r="Z651" s="3" t="s">
        <v>265</v>
      </c>
      <c r="AA651" s="3" t="s">
        <v>56</v>
      </c>
      <c r="AB651" s="3" t="s">
        <v>57</v>
      </c>
      <c r="AC651"/>
      <c r="AD651" s="3">
        <f t="shared" si="22"/>
        <v>1.0375000000000001</v>
      </c>
      <c r="AE651" s="3">
        <f t="shared" si="22"/>
        <v>1.0375000000000001</v>
      </c>
      <c r="AF651" s="3">
        <v>920</v>
      </c>
      <c r="AG651" s="12" t="s">
        <v>436</v>
      </c>
      <c r="AH651" s="3">
        <v>54</v>
      </c>
      <c r="AI651" s="3">
        <v>17.170000000000002</v>
      </c>
      <c r="AJ651" s="89">
        <f t="shared" si="23"/>
        <v>36.583333333333336</v>
      </c>
      <c r="AK651" s="3" t="s">
        <v>58</v>
      </c>
      <c r="AL651" s="3">
        <f t="shared" si="21"/>
        <v>43.9</v>
      </c>
      <c r="AM651"/>
      <c r="AN651" t="s">
        <v>5518</v>
      </c>
      <c r="AO651" s="74" t="s">
        <v>5637</v>
      </c>
    </row>
    <row r="652" spans="1:41" s="37" customFormat="1" ht="14.25" customHeight="1" x14ac:dyDescent="0.3">
      <c r="A652" s="3" t="s">
        <v>430</v>
      </c>
      <c r="B652" s="3" t="s">
        <v>452</v>
      </c>
      <c r="C652" s="3" t="s">
        <v>432</v>
      </c>
      <c r="D652" s="3" t="s">
        <v>453</v>
      </c>
      <c r="E652" s="3" t="s">
        <v>434</v>
      </c>
      <c r="F652" s="3" t="s">
        <v>41</v>
      </c>
      <c r="G652" s="5" t="s">
        <v>42</v>
      </c>
      <c r="H652" s="5" t="s">
        <v>43</v>
      </c>
      <c r="I652" s="5" t="s">
        <v>44</v>
      </c>
      <c r="J652" s="3" t="s">
        <v>45</v>
      </c>
      <c r="K652" s="3" t="s">
        <v>260</v>
      </c>
      <c r="L652" s="3" t="s">
        <v>261</v>
      </c>
      <c r="M652" s="3" t="s">
        <v>262</v>
      </c>
      <c r="N652" s="4" t="s">
        <v>454</v>
      </c>
      <c r="O652" s="67" t="s">
        <v>5618</v>
      </c>
      <c r="P652" s="3" t="s">
        <v>50</v>
      </c>
      <c r="Q652" s="3" t="s">
        <v>68</v>
      </c>
      <c r="R652" s="3">
        <v>16</v>
      </c>
      <c r="S652" s="3" t="s">
        <v>52</v>
      </c>
      <c r="T652" s="3" t="s">
        <v>53</v>
      </c>
      <c r="U652" s="3" t="s">
        <v>54</v>
      </c>
      <c r="V652" s="7"/>
      <c r="W652" s="7"/>
      <c r="X652" s="7"/>
      <c r="Y652" s="7"/>
      <c r="Z652" s="3" t="s">
        <v>265</v>
      </c>
      <c r="AA652" s="3" t="s">
        <v>56</v>
      </c>
      <c r="AB652" s="3" t="s">
        <v>57</v>
      </c>
      <c r="AC652"/>
      <c r="AD652" s="3">
        <f t="shared" si="22"/>
        <v>1.0375000000000001</v>
      </c>
      <c r="AE652" s="3">
        <f t="shared" si="22"/>
        <v>1.0375000000000001</v>
      </c>
      <c r="AF652" s="3">
        <v>920</v>
      </c>
      <c r="AG652" s="12" t="s">
        <v>436</v>
      </c>
      <c r="AH652" s="3">
        <v>54</v>
      </c>
      <c r="AI652" s="3">
        <v>17.170000000000002</v>
      </c>
      <c r="AJ652" s="89">
        <f t="shared" si="23"/>
        <v>36.583333333333336</v>
      </c>
      <c r="AK652" s="3" t="s">
        <v>58</v>
      </c>
      <c r="AL652" s="3">
        <f t="shared" si="21"/>
        <v>43.9</v>
      </c>
      <c r="AM652"/>
      <c r="AN652" t="s">
        <v>5518</v>
      </c>
      <c r="AO652" s="74" t="s">
        <v>5637</v>
      </c>
    </row>
    <row r="653" spans="1:41" s="37" customFormat="1" ht="14.25" customHeight="1" x14ac:dyDescent="0.3">
      <c r="A653" s="3" t="s">
        <v>455</v>
      </c>
      <c r="B653" s="3" t="s">
        <v>456</v>
      </c>
      <c r="C653" s="3" t="s">
        <v>432</v>
      </c>
      <c r="D653" s="3" t="s">
        <v>457</v>
      </c>
      <c r="E653" s="3" t="s">
        <v>434</v>
      </c>
      <c r="F653" s="3" t="s">
        <v>41</v>
      </c>
      <c r="G653" s="5" t="s">
        <v>42</v>
      </c>
      <c r="H653" s="5" t="s">
        <v>43</v>
      </c>
      <c r="I653" s="5" t="s">
        <v>44</v>
      </c>
      <c r="J653" s="3" t="s">
        <v>45</v>
      </c>
      <c r="K653" s="3" t="s">
        <v>260</v>
      </c>
      <c r="L653" s="3" t="s">
        <v>458</v>
      </c>
      <c r="M653" s="3" t="s">
        <v>262</v>
      </c>
      <c r="N653" s="4" t="s">
        <v>435</v>
      </c>
      <c r="O653" s="67" t="s">
        <v>61</v>
      </c>
      <c r="P653" s="3" t="s">
        <v>50</v>
      </c>
      <c r="Q653" s="3" t="s">
        <v>459</v>
      </c>
      <c r="R653" s="3">
        <v>16</v>
      </c>
      <c r="S653" s="3" t="s">
        <v>52</v>
      </c>
      <c r="T653" s="3" t="s">
        <v>53</v>
      </c>
      <c r="U653" s="3" t="s">
        <v>54</v>
      </c>
      <c r="V653" s="7"/>
      <c r="W653" s="7"/>
      <c r="X653" s="7"/>
      <c r="Y653" s="7"/>
      <c r="Z653" s="3" t="s">
        <v>265</v>
      </c>
      <c r="AA653" s="3" t="s">
        <v>56</v>
      </c>
      <c r="AB653" s="3" t="s">
        <v>57</v>
      </c>
      <c r="AC653"/>
      <c r="AD653" s="3">
        <f t="shared" ref="AD653:AE660" si="24">14.3/16</f>
        <v>0.89375000000000004</v>
      </c>
      <c r="AE653" s="3">
        <f t="shared" si="24"/>
        <v>0.89375000000000004</v>
      </c>
      <c r="AF653" s="3">
        <v>955</v>
      </c>
      <c r="AG653" s="12" t="s">
        <v>460</v>
      </c>
      <c r="AH653" s="3">
        <v>48.75</v>
      </c>
      <c r="AI653" s="3">
        <v>17.170000000000002</v>
      </c>
      <c r="AJ653" s="89">
        <f t="shared" si="23"/>
        <v>36.583333333333336</v>
      </c>
      <c r="AK653" s="3" t="s">
        <v>58</v>
      </c>
      <c r="AL653" s="3">
        <f t="shared" si="21"/>
        <v>43.9</v>
      </c>
      <c r="AM653"/>
      <c r="AN653" t="s">
        <v>5518</v>
      </c>
      <c r="AO653" s="74" t="s">
        <v>5637</v>
      </c>
    </row>
    <row r="654" spans="1:41" s="37" customFormat="1" ht="14.25" customHeight="1" x14ac:dyDescent="0.3">
      <c r="A654" s="3" t="s">
        <v>455</v>
      </c>
      <c r="B654" s="3" t="s">
        <v>461</v>
      </c>
      <c r="C654" s="3" t="s">
        <v>432</v>
      </c>
      <c r="D654" s="3" t="s">
        <v>462</v>
      </c>
      <c r="E654" s="3" t="s">
        <v>434</v>
      </c>
      <c r="F654" s="3" t="s">
        <v>41</v>
      </c>
      <c r="G654" s="5" t="s">
        <v>42</v>
      </c>
      <c r="H654" s="5" t="s">
        <v>43</v>
      </c>
      <c r="I654" s="5" t="s">
        <v>44</v>
      </c>
      <c r="J654" s="3" t="s">
        <v>45</v>
      </c>
      <c r="K654" s="3" t="s">
        <v>260</v>
      </c>
      <c r="L654" s="3" t="s">
        <v>458</v>
      </c>
      <c r="M654" s="3" t="s">
        <v>262</v>
      </c>
      <c r="N654" s="4" t="s">
        <v>49</v>
      </c>
      <c r="O654" s="67" t="s">
        <v>49</v>
      </c>
      <c r="P654" s="3" t="s">
        <v>50</v>
      </c>
      <c r="Q654" s="3" t="s">
        <v>459</v>
      </c>
      <c r="R654" s="3">
        <v>16</v>
      </c>
      <c r="S654" s="3" t="s">
        <v>52</v>
      </c>
      <c r="T654" s="3" t="s">
        <v>53</v>
      </c>
      <c r="U654" s="3" t="s">
        <v>54</v>
      </c>
      <c r="V654" s="7"/>
      <c r="W654" s="7"/>
      <c r="X654" s="7"/>
      <c r="Y654" s="7"/>
      <c r="Z654" s="3" t="s">
        <v>265</v>
      </c>
      <c r="AA654" s="3" t="s">
        <v>56</v>
      </c>
      <c r="AB654" s="3" t="s">
        <v>57</v>
      </c>
      <c r="AC654"/>
      <c r="AD654" s="3">
        <f t="shared" si="24"/>
        <v>0.89375000000000004</v>
      </c>
      <c r="AE654" s="3">
        <f t="shared" si="24"/>
        <v>0.89375000000000004</v>
      </c>
      <c r="AF654" s="3">
        <v>955</v>
      </c>
      <c r="AG654" s="12" t="s">
        <v>460</v>
      </c>
      <c r="AH654" s="3">
        <v>48.75</v>
      </c>
      <c r="AI654" s="3">
        <v>17.170000000000002</v>
      </c>
      <c r="AJ654" s="89">
        <f t="shared" si="23"/>
        <v>36.583333333333336</v>
      </c>
      <c r="AK654" s="3" t="s">
        <v>58</v>
      </c>
      <c r="AL654" s="3">
        <f t="shared" si="21"/>
        <v>43.9</v>
      </c>
      <c r="AM654"/>
      <c r="AN654" t="s">
        <v>5518</v>
      </c>
      <c r="AO654" s="74" t="s">
        <v>5637</v>
      </c>
    </row>
    <row r="655" spans="1:41" s="37" customFormat="1" ht="14.25" customHeight="1" x14ac:dyDescent="0.3">
      <c r="A655" s="3" t="s">
        <v>455</v>
      </c>
      <c r="B655" s="3" t="s">
        <v>463</v>
      </c>
      <c r="C655" s="3" t="s">
        <v>432</v>
      </c>
      <c r="D655" s="3" t="s">
        <v>464</v>
      </c>
      <c r="E655" s="3" t="s">
        <v>434</v>
      </c>
      <c r="F655" s="3" t="s">
        <v>41</v>
      </c>
      <c r="G655" s="5" t="s">
        <v>42</v>
      </c>
      <c r="H655" s="5" t="s">
        <v>43</v>
      </c>
      <c r="I655" s="5" t="s">
        <v>44</v>
      </c>
      <c r="J655" s="3" t="s">
        <v>45</v>
      </c>
      <c r="K655" s="3" t="s">
        <v>260</v>
      </c>
      <c r="L655" s="3" t="s">
        <v>458</v>
      </c>
      <c r="M655" s="3" t="s">
        <v>262</v>
      </c>
      <c r="N655" s="4" t="s">
        <v>61</v>
      </c>
      <c r="O655" s="67" t="s">
        <v>61</v>
      </c>
      <c r="P655" s="3" t="s">
        <v>50</v>
      </c>
      <c r="Q655" s="3" t="s">
        <v>459</v>
      </c>
      <c r="R655" s="3">
        <v>16</v>
      </c>
      <c r="S655" s="3" t="s">
        <v>52</v>
      </c>
      <c r="T655" s="3" t="s">
        <v>53</v>
      </c>
      <c r="U655" s="3" t="s">
        <v>54</v>
      </c>
      <c r="V655" s="7"/>
      <c r="W655" s="7"/>
      <c r="X655" s="7"/>
      <c r="Y655" s="7"/>
      <c r="Z655" s="3" t="s">
        <v>265</v>
      </c>
      <c r="AA655" s="3" t="s">
        <v>56</v>
      </c>
      <c r="AB655" s="3" t="s">
        <v>57</v>
      </c>
      <c r="AC655"/>
      <c r="AD655" s="3">
        <f t="shared" si="24"/>
        <v>0.89375000000000004</v>
      </c>
      <c r="AE655" s="3">
        <f t="shared" si="24"/>
        <v>0.89375000000000004</v>
      </c>
      <c r="AF655" s="3">
        <v>955</v>
      </c>
      <c r="AG655" s="12" t="s">
        <v>460</v>
      </c>
      <c r="AH655" s="3">
        <v>48.75</v>
      </c>
      <c r="AI655" s="3">
        <v>17.170000000000002</v>
      </c>
      <c r="AJ655" s="89">
        <f t="shared" si="23"/>
        <v>36.583333333333336</v>
      </c>
      <c r="AK655" s="3" t="s">
        <v>58</v>
      </c>
      <c r="AL655" s="3">
        <f t="shared" si="21"/>
        <v>43.9</v>
      </c>
      <c r="AM655"/>
      <c r="AN655" t="s">
        <v>5518</v>
      </c>
      <c r="AO655" s="74" t="s">
        <v>5637</v>
      </c>
    </row>
    <row r="656" spans="1:41" s="37" customFormat="1" ht="14.25" customHeight="1" x14ac:dyDescent="0.3">
      <c r="A656" s="3" t="s">
        <v>455</v>
      </c>
      <c r="B656" s="3" t="s">
        <v>465</v>
      </c>
      <c r="C656" s="3" t="s">
        <v>432</v>
      </c>
      <c r="D656" s="3" t="s">
        <v>466</v>
      </c>
      <c r="E656" s="3" t="s">
        <v>434</v>
      </c>
      <c r="F656" s="3" t="s">
        <v>41</v>
      </c>
      <c r="G656" s="5" t="s">
        <v>42</v>
      </c>
      <c r="H656" s="5" t="s">
        <v>43</v>
      </c>
      <c r="I656" s="5" t="s">
        <v>44</v>
      </c>
      <c r="J656" s="3" t="s">
        <v>45</v>
      </c>
      <c r="K656" s="3" t="s">
        <v>260</v>
      </c>
      <c r="L656" s="3" t="s">
        <v>458</v>
      </c>
      <c r="M656" s="3" t="s">
        <v>262</v>
      </c>
      <c r="N656" s="4" t="s">
        <v>443</v>
      </c>
      <c r="O656" s="67" t="s">
        <v>1463</v>
      </c>
      <c r="P656" s="3" t="s">
        <v>50</v>
      </c>
      <c r="Q656" s="3" t="s">
        <v>459</v>
      </c>
      <c r="R656" s="3">
        <v>16</v>
      </c>
      <c r="S656" s="3" t="s">
        <v>52</v>
      </c>
      <c r="T656" s="3" t="s">
        <v>53</v>
      </c>
      <c r="U656" s="3" t="s">
        <v>54</v>
      </c>
      <c r="V656" s="7"/>
      <c r="W656" s="7"/>
      <c r="X656" s="7"/>
      <c r="Y656" s="7"/>
      <c r="Z656" s="3" t="s">
        <v>265</v>
      </c>
      <c r="AA656" s="3" t="s">
        <v>56</v>
      </c>
      <c r="AB656" s="3" t="s">
        <v>57</v>
      </c>
      <c r="AC656"/>
      <c r="AD656" s="3">
        <f t="shared" si="24"/>
        <v>0.89375000000000004</v>
      </c>
      <c r="AE656" s="3">
        <f t="shared" si="24"/>
        <v>0.89375000000000004</v>
      </c>
      <c r="AF656" s="3">
        <v>955</v>
      </c>
      <c r="AG656" s="12" t="s">
        <v>460</v>
      </c>
      <c r="AH656" s="3">
        <v>48.75</v>
      </c>
      <c r="AI656" s="3">
        <v>17.170000000000002</v>
      </c>
      <c r="AJ656" s="89">
        <f t="shared" si="23"/>
        <v>36.583333333333336</v>
      </c>
      <c r="AK656" s="3" t="s">
        <v>58</v>
      </c>
      <c r="AL656" s="3">
        <f t="shared" si="21"/>
        <v>43.9</v>
      </c>
      <c r="AM656"/>
      <c r="AN656" t="s">
        <v>5518</v>
      </c>
      <c r="AO656" s="74" t="s">
        <v>5637</v>
      </c>
    </row>
    <row r="657" spans="1:41" s="37" customFormat="1" ht="14.25" customHeight="1" x14ac:dyDescent="0.3">
      <c r="A657" s="3" t="s">
        <v>455</v>
      </c>
      <c r="B657" s="3" t="s">
        <v>467</v>
      </c>
      <c r="C657" s="3" t="s">
        <v>432</v>
      </c>
      <c r="D657" s="3" t="s">
        <v>468</v>
      </c>
      <c r="E657" s="3" t="s">
        <v>434</v>
      </c>
      <c r="F657" s="3" t="s">
        <v>41</v>
      </c>
      <c r="G657" s="5" t="s">
        <v>42</v>
      </c>
      <c r="H657" s="5" t="s">
        <v>43</v>
      </c>
      <c r="I657" s="5" t="s">
        <v>44</v>
      </c>
      <c r="J657" s="3" t="s">
        <v>45</v>
      </c>
      <c r="K657" s="3" t="s">
        <v>260</v>
      </c>
      <c r="L657" s="3" t="s">
        <v>458</v>
      </c>
      <c r="M657" s="3" t="s">
        <v>262</v>
      </c>
      <c r="N657" s="4" t="s">
        <v>279</v>
      </c>
      <c r="O657" s="67" t="s">
        <v>279</v>
      </c>
      <c r="P657" s="3" t="s">
        <v>50</v>
      </c>
      <c r="Q657" s="3" t="s">
        <v>459</v>
      </c>
      <c r="R657" s="3">
        <v>16</v>
      </c>
      <c r="S657" s="3" t="s">
        <v>52</v>
      </c>
      <c r="T657" s="3" t="s">
        <v>53</v>
      </c>
      <c r="U657" s="3" t="s">
        <v>54</v>
      </c>
      <c r="V657" s="7"/>
      <c r="W657" s="7"/>
      <c r="X657" s="7"/>
      <c r="Y657" s="7"/>
      <c r="Z657" s="3" t="s">
        <v>265</v>
      </c>
      <c r="AA657" s="3" t="s">
        <v>56</v>
      </c>
      <c r="AB657" s="3" t="s">
        <v>57</v>
      </c>
      <c r="AC657"/>
      <c r="AD657" s="3">
        <f t="shared" si="24"/>
        <v>0.89375000000000004</v>
      </c>
      <c r="AE657" s="3">
        <f t="shared" si="24"/>
        <v>0.89375000000000004</v>
      </c>
      <c r="AF657" s="3">
        <v>955</v>
      </c>
      <c r="AG657" s="12" t="s">
        <v>460</v>
      </c>
      <c r="AH657" s="3">
        <v>48.75</v>
      </c>
      <c r="AI657" s="3">
        <v>17.170000000000002</v>
      </c>
      <c r="AJ657" s="89">
        <f t="shared" si="23"/>
        <v>36.583333333333336</v>
      </c>
      <c r="AK657" s="3" t="s">
        <v>58</v>
      </c>
      <c r="AL657" s="3">
        <f t="shared" si="21"/>
        <v>43.9</v>
      </c>
      <c r="AM657"/>
      <c r="AN657" t="s">
        <v>5518</v>
      </c>
      <c r="AO657" s="74" t="s">
        <v>5637</v>
      </c>
    </row>
    <row r="658" spans="1:41" s="37" customFormat="1" ht="14.25" customHeight="1" x14ac:dyDescent="0.3">
      <c r="A658" s="3" t="s">
        <v>455</v>
      </c>
      <c r="B658" s="3" t="s">
        <v>469</v>
      </c>
      <c r="C658" s="3" t="s">
        <v>432</v>
      </c>
      <c r="D658" s="3" t="s">
        <v>470</v>
      </c>
      <c r="E658" s="3" t="s">
        <v>434</v>
      </c>
      <c r="F658" s="3" t="s">
        <v>41</v>
      </c>
      <c r="G658" s="5" t="s">
        <v>42</v>
      </c>
      <c r="H658" s="5" t="s">
        <v>43</v>
      </c>
      <c r="I658" s="5" t="s">
        <v>44</v>
      </c>
      <c r="J658" s="3" t="s">
        <v>45</v>
      </c>
      <c r="K658" s="3" t="s">
        <v>260</v>
      </c>
      <c r="L658" s="3" t="s">
        <v>458</v>
      </c>
      <c r="M658" s="3" t="s">
        <v>262</v>
      </c>
      <c r="N658" s="4" t="s">
        <v>448</v>
      </c>
      <c r="O658" s="67" t="s">
        <v>5617</v>
      </c>
      <c r="P658" s="3" t="s">
        <v>50</v>
      </c>
      <c r="Q658" s="3" t="s">
        <v>459</v>
      </c>
      <c r="R658" s="3">
        <v>16</v>
      </c>
      <c r="S658" s="3" t="s">
        <v>52</v>
      </c>
      <c r="T658" s="3" t="s">
        <v>53</v>
      </c>
      <c r="U658" s="3" t="s">
        <v>54</v>
      </c>
      <c r="V658" s="7"/>
      <c r="W658" s="7"/>
      <c r="X658" s="7"/>
      <c r="Y658" s="7"/>
      <c r="Z658" s="3" t="s">
        <v>265</v>
      </c>
      <c r="AA658" s="3" t="s">
        <v>56</v>
      </c>
      <c r="AB658" s="3" t="s">
        <v>57</v>
      </c>
      <c r="AC658"/>
      <c r="AD658" s="3">
        <f t="shared" si="24"/>
        <v>0.89375000000000004</v>
      </c>
      <c r="AE658" s="3">
        <f t="shared" si="24"/>
        <v>0.89375000000000004</v>
      </c>
      <c r="AF658" s="3">
        <v>955</v>
      </c>
      <c r="AG658" s="12" t="s">
        <v>460</v>
      </c>
      <c r="AH658" s="3">
        <v>48.75</v>
      </c>
      <c r="AI658" s="3">
        <v>17.170000000000002</v>
      </c>
      <c r="AJ658" s="89">
        <f t="shared" si="23"/>
        <v>36.583333333333336</v>
      </c>
      <c r="AK658" s="3" t="s">
        <v>58</v>
      </c>
      <c r="AL658" s="3">
        <f t="shared" si="21"/>
        <v>43.9</v>
      </c>
      <c r="AM658"/>
      <c r="AN658" t="s">
        <v>5518</v>
      </c>
      <c r="AO658" s="74" t="s">
        <v>5637</v>
      </c>
    </row>
    <row r="659" spans="1:41" s="37" customFormat="1" ht="14.25" customHeight="1" x14ac:dyDescent="0.3">
      <c r="A659" s="3" t="s">
        <v>455</v>
      </c>
      <c r="B659" s="3" t="s">
        <v>471</v>
      </c>
      <c r="C659" s="3" t="s">
        <v>432</v>
      </c>
      <c r="D659" s="3" t="s">
        <v>472</v>
      </c>
      <c r="E659" s="3" t="s">
        <v>434</v>
      </c>
      <c r="F659" s="3" t="s">
        <v>41</v>
      </c>
      <c r="G659" s="5" t="s">
        <v>42</v>
      </c>
      <c r="H659" s="5" t="s">
        <v>43</v>
      </c>
      <c r="I659" s="5" t="s">
        <v>44</v>
      </c>
      <c r="J659" s="3" t="s">
        <v>45</v>
      </c>
      <c r="K659" s="3" t="s">
        <v>260</v>
      </c>
      <c r="L659" s="3" t="s">
        <v>458</v>
      </c>
      <c r="M659" s="3" t="s">
        <v>262</v>
      </c>
      <c r="N659" s="4" t="s">
        <v>451</v>
      </c>
      <c r="O659" s="67" t="s">
        <v>1802</v>
      </c>
      <c r="P659" s="3" t="s">
        <v>50</v>
      </c>
      <c r="Q659" s="3" t="s">
        <v>459</v>
      </c>
      <c r="R659" s="3">
        <v>16</v>
      </c>
      <c r="S659" s="3" t="s">
        <v>52</v>
      </c>
      <c r="T659" s="3" t="s">
        <v>53</v>
      </c>
      <c r="U659" s="3" t="s">
        <v>54</v>
      </c>
      <c r="V659" s="7"/>
      <c r="W659" s="7"/>
      <c r="X659" s="7"/>
      <c r="Y659" s="7"/>
      <c r="Z659" s="3" t="s">
        <v>265</v>
      </c>
      <c r="AA659" s="3" t="s">
        <v>56</v>
      </c>
      <c r="AB659" s="3" t="s">
        <v>57</v>
      </c>
      <c r="AC659"/>
      <c r="AD659" s="3">
        <f t="shared" si="24"/>
        <v>0.89375000000000004</v>
      </c>
      <c r="AE659" s="3">
        <f t="shared" si="24"/>
        <v>0.89375000000000004</v>
      </c>
      <c r="AF659" s="3">
        <v>955</v>
      </c>
      <c r="AG659" s="12" t="s">
        <v>460</v>
      </c>
      <c r="AH659" s="3">
        <v>48.75</v>
      </c>
      <c r="AI659" s="3">
        <v>17.170000000000002</v>
      </c>
      <c r="AJ659" s="89">
        <f t="shared" si="23"/>
        <v>36.583333333333336</v>
      </c>
      <c r="AK659" s="3" t="s">
        <v>58</v>
      </c>
      <c r="AL659" s="3">
        <f t="shared" si="21"/>
        <v>43.9</v>
      </c>
      <c r="AM659"/>
      <c r="AN659" t="s">
        <v>5518</v>
      </c>
      <c r="AO659" s="74" t="s">
        <v>5637</v>
      </c>
    </row>
    <row r="660" spans="1:41" s="37" customFormat="1" ht="14.25" customHeight="1" x14ac:dyDescent="0.3">
      <c r="A660" s="3" t="s">
        <v>455</v>
      </c>
      <c r="B660" s="3" t="s">
        <v>473</v>
      </c>
      <c r="C660" s="3" t="s">
        <v>432</v>
      </c>
      <c r="D660" s="3" t="s">
        <v>474</v>
      </c>
      <c r="E660" s="3" t="s">
        <v>434</v>
      </c>
      <c r="F660" s="3" t="s">
        <v>41</v>
      </c>
      <c r="G660" s="5" t="s">
        <v>42</v>
      </c>
      <c r="H660" s="5" t="s">
        <v>43</v>
      </c>
      <c r="I660" s="5" t="s">
        <v>44</v>
      </c>
      <c r="J660" s="3" t="s">
        <v>45</v>
      </c>
      <c r="K660" s="3" t="s">
        <v>260</v>
      </c>
      <c r="L660" s="3" t="s">
        <v>458</v>
      </c>
      <c r="M660" s="3" t="s">
        <v>262</v>
      </c>
      <c r="N660" s="4" t="s">
        <v>454</v>
      </c>
      <c r="O660" s="67" t="s">
        <v>5618</v>
      </c>
      <c r="P660" s="3" t="s">
        <v>50</v>
      </c>
      <c r="Q660" s="3" t="s">
        <v>459</v>
      </c>
      <c r="R660" s="3">
        <v>16</v>
      </c>
      <c r="S660" s="3" t="s">
        <v>52</v>
      </c>
      <c r="T660" s="3" t="s">
        <v>53</v>
      </c>
      <c r="U660" s="3" t="s">
        <v>54</v>
      </c>
      <c r="V660" s="7"/>
      <c r="W660" s="7"/>
      <c r="X660" s="7"/>
      <c r="Y660" s="7"/>
      <c r="Z660" s="3" t="s">
        <v>265</v>
      </c>
      <c r="AA660" s="3" t="s">
        <v>56</v>
      </c>
      <c r="AB660" s="3" t="s">
        <v>57</v>
      </c>
      <c r="AC660"/>
      <c r="AD660" s="3">
        <f t="shared" si="24"/>
        <v>0.89375000000000004</v>
      </c>
      <c r="AE660" s="3">
        <f t="shared" si="24"/>
        <v>0.89375000000000004</v>
      </c>
      <c r="AF660" s="3">
        <v>955</v>
      </c>
      <c r="AG660" s="12" t="s">
        <v>460</v>
      </c>
      <c r="AH660" s="3">
        <v>48.75</v>
      </c>
      <c r="AI660" s="3">
        <v>17.170000000000002</v>
      </c>
      <c r="AJ660" s="89">
        <f t="shared" si="23"/>
        <v>36.583333333333336</v>
      </c>
      <c r="AK660" s="3" t="s">
        <v>58</v>
      </c>
      <c r="AL660" s="3">
        <f t="shared" si="21"/>
        <v>43.9</v>
      </c>
      <c r="AM660"/>
      <c r="AN660" t="s">
        <v>5518</v>
      </c>
      <c r="AO660" s="74" t="s">
        <v>5637</v>
      </c>
    </row>
    <row r="661" spans="1:41" ht="14.25" customHeight="1" x14ac:dyDescent="0.3">
      <c r="V661" s="7"/>
      <c r="W661" s="7"/>
      <c r="X661" s="7"/>
      <c r="Y661" s="7"/>
    </row>
    <row r="662" spans="1:41" ht="14.25" customHeight="1" x14ac:dyDescent="0.3">
      <c r="V662" s="7"/>
      <c r="W662" s="7"/>
      <c r="X662" s="7"/>
      <c r="Y662" s="7"/>
    </row>
    <row r="663" spans="1:41" ht="14.25" customHeight="1" x14ac:dyDescent="0.3">
      <c r="V663" s="7"/>
      <c r="W663" s="7"/>
      <c r="X663" s="7"/>
      <c r="Y663" s="7"/>
    </row>
    <row r="664" spans="1:41" ht="14.25" customHeight="1" x14ac:dyDescent="0.3">
      <c r="V664" s="7"/>
      <c r="W664" s="7"/>
      <c r="X664" s="7"/>
      <c r="Y664" s="7"/>
    </row>
    <row r="665" spans="1:41" ht="14.25" customHeight="1" x14ac:dyDescent="0.3">
      <c r="V665" s="7"/>
      <c r="W665" s="7"/>
      <c r="X665" s="7"/>
      <c r="Y665" s="7"/>
    </row>
    <row r="666" spans="1:41" ht="14.25" customHeight="1" x14ac:dyDescent="0.3">
      <c r="V666" s="7"/>
      <c r="W666" s="7"/>
      <c r="X666" s="7"/>
      <c r="Y666" s="7"/>
    </row>
    <row r="667" spans="1:41" ht="14.25" customHeight="1" x14ac:dyDescent="0.3">
      <c r="V667" s="7"/>
      <c r="W667" s="7"/>
      <c r="X667" s="7"/>
      <c r="Y667" s="7"/>
    </row>
    <row r="668" spans="1:41" ht="14.25" customHeight="1" x14ac:dyDescent="0.3">
      <c r="V668" s="7"/>
      <c r="W668" s="7"/>
      <c r="X668" s="7"/>
      <c r="Y668" s="7"/>
    </row>
    <row r="669" spans="1:41" ht="14.25" customHeight="1" x14ac:dyDescent="0.3">
      <c r="V669" s="7"/>
      <c r="W669" s="7"/>
      <c r="X669" s="7"/>
      <c r="Y669" s="7"/>
    </row>
    <row r="670" spans="1:41" ht="14.25" customHeight="1" x14ac:dyDescent="0.3">
      <c r="V670" s="7"/>
      <c r="W670" s="7"/>
      <c r="X670" s="7"/>
      <c r="Y670" s="7"/>
    </row>
    <row r="671" spans="1:41" ht="14.25" customHeight="1" x14ac:dyDescent="0.3">
      <c r="V671" s="7"/>
      <c r="W671" s="7"/>
      <c r="X671" s="7"/>
      <c r="Y671" s="7"/>
    </row>
    <row r="672" spans="1:41" ht="14.25" customHeight="1" x14ac:dyDescent="0.3">
      <c r="V672" s="7"/>
      <c r="W672" s="7"/>
      <c r="X672" s="7"/>
      <c r="Y672" s="7"/>
    </row>
    <row r="673" spans="22:25" ht="14.25" customHeight="1" x14ac:dyDescent="0.3">
      <c r="V673" s="7"/>
      <c r="W673" s="7"/>
      <c r="X673" s="7"/>
      <c r="Y673" s="7"/>
    </row>
    <row r="674" spans="22:25" ht="14.25" customHeight="1" x14ac:dyDescent="0.3">
      <c r="V674" s="7"/>
      <c r="W674" s="7"/>
      <c r="X674" s="7"/>
      <c r="Y674" s="7"/>
    </row>
    <row r="675" spans="22:25" ht="14.25" customHeight="1" x14ac:dyDescent="0.3">
      <c r="V675" s="7"/>
      <c r="W675" s="7"/>
      <c r="X675" s="7"/>
      <c r="Y675" s="7"/>
    </row>
    <row r="676" spans="22:25" ht="14.25" customHeight="1" x14ac:dyDescent="0.3">
      <c r="V676" s="7"/>
      <c r="W676" s="7"/>
      <c r="X676" s="7"/>
      <c r="Y676" s="7"/>
    </row>
    <row r="677" spans="22:25" ht="14.25" customHeight="1" x14ac:dyDescent="0.3">
      <c r="V677" s="7"/>
      <c r="W677" s="7"/>
      <c r="X677" s="7"/>
      <c r="Y677" s="7"/>
    </row>
    <row r="678" spans="22:25" ht="14.25" customHeight="1" x14ac:dyDescent="0.3">
      <c r="V678" s="7"/>
      <c r="W678" s="7"/>
      <c r="X678" s="7"/>
      <c r="Y678" s="7"/>
    </row>
    <row r="679" spans="22:25" ht="14.25" customHeight="1" x14ac:dyDescent="0.3">
      <c r="V679" s="7"/>
      <c r="W679" s="7"/>
      <c r="X679" s="7"/>
      <c r="Y679" s="7"/>
    </row>
    <row r="680" spans="22:25" ht="14.25" customHeight="1" x14ac:dyDescent="0.3">
      <c r="V680" s="7"/>
      <c r="W680" s="7"/>
      <c r="X680" s="7"/>
      <c r="Y680" s="7"/>
    </row>
    <row r="681" spans="22:25" ht="14.25" customHeight="1" x14ac:dyDescent="0.3">
      <c r="V681" s="7"/>
      <c r="W681" s="7"/>
      <c r="X681" s="7"/>
      <c r="Y681" s="7"/>
    </row>
    <row r="682" spans="22:25" ht="14.25" customHeight="1" x14ac:dyDescent="0.3">
      <c r="V682" s="7"/>
      <c r="W682" s="7"/>
      <c r="X682" s="7"/>
      <c r="Y682" s="7"/>
    </row>
    <row r="683" spans="22:25" ht="14.25" customHeight="1" x14ac:dyDescent="0.3">
      <c r="V683" s="7"/>
      <c r="W683" s="7"/>
      <c r="X683" s="7"/>
      <c r="Y683" s="7"/>
    </row>
    <row r="684" spans="22:25" ht="14.25" customHeight="1" x14ac:dyDescent="0.3">
      <c r="V684" s="7"/>
      <c r="W684" s="7"/>
      <c r="X684" s="7"/>
      <c r="Y684" s="7"/>
    </row>
    <row r="685" spans="22:25" ht="14.25" customHeight="1" x14ac:dyDescent="0.3">
      <c r="V685" s="7"/>
      <c r="W685" s="7"/>
      <c r="X685" s="7"/>
      <c r="Y685" s="7"/>
    </row>
    <row r="686" spans="22:25" ht="14.25" customHeight="1" x14ac:dyDescent="0.3">
      <c r="V686" s="7"/>
      <c r="W686" s="7"/>
      <c r="X686" s="7"/>
      <c r="Y686" s="7"/>
    </row>
    <row r="687" spans="22:25" ht="14.25" customHeight="1" x14ac:dyDescent="0.3">
      <c r="V687" s="7"/>
      <c r="W687" s="7"/>
      <c r="X687" s="7"/>
      <c r="Y687" s="7"/>
    </row>
    <row r="688" spans="22:25" ht="14.25" customHeight="1" x14ac:dyDescent="0.3">
      <c r="V688" s="7"/>
      <c r="W688" s="7"/>
      <c r="X688" s="7"/>
      <c r="Y688" s="7"/>
    </row>
    <row r="689" spans="22:25" ht="14.25" customHeight="1" x14ac:dyDescent="0.3">
      <c r="V689" s="7"/>
      <c r="W689" s="7"/>
      <c r="X689" s="7"/>
      <c r="Y689" s="7"/>
    </row>
    <row r="690" spans="22:25" ht="14.25" customHeight="1" x14ac:dyDescent="0.3">
      <c r="V690" s="7"/>
      <c r="W690" s="7"/>
      <c r="X690" s="7"/>
      <c r="Y690" s="7"/>
    </row>
    <row r="691" spans="22:25" ht="14.25" customHeight="1" x14ac:dyDescent="0.3">
      <c r="V691" s="7"/>
      <c r="W691" s="7"/>
      <c r="X691" s="7"/>
      <c r="Y691" s="7"/>
    </row>
    <row r="692" spans="22:25" ht="14.25" customHeight="1" x14ac:dyDescent="0.3">
      <c r="V692" s="7"/>
      <c r="W692" s="7"/>
      <c r="X692" s="7"/>
      <c r="Y692" s="7"/>
    </row>
    <row r="693" spans="22:25" ht="14.25" customHeight="1" x14ac:dyDescent="0.3">
      <c r="V693" s="7"/>
      <c r="W693" s="7"/>
      <c r="X693" s="7"/>
      <c r="Y693" s="7"/>
    </row>
    <row r="694" spans="22:25" ht="14.25" customHeight="1" x14ac:dyDescent="0.3">
      <c r="V694" s="7"/>
      <c r="W694" s="7"/>
      <c r="X694" s="7"/>
      <c r="Y694" s="7"/>
    </row>
    <row r="695" spans="22:25" ht="14.25" customHeight="1" x14ac:dyDescent="0.3">
      <c r="V695" s="7"/>
      <c r="W695" s="7"/>
      <c r="X695" s="7"/>
      <c r="Y695" s="7"/>
    </row>
    <row r="696" spans="22:25" ht="14.25" customHeight="1" x14ac:dyDescent="0.3">
      <c r="V696" s="7"/>
      <c r="W696" s="7"/>
      <c r="X696" s="7"/>
      <c r="Y696" s="7"/>
    </row>
    <row r="697" spans="22:25" ht="14.25" customHeight="1" x14ac:dyDescent="0.3">
      <c r="V697" s="7"/>
      <c r="W697" s="7"/>
      <c r="X697" s="7"/>
      <c r="Y697" s="7"/>
    </row>
    <row r="698" spans="22:25" ht="14.25" customHeight="1" x14ac:dyDescent="0.3">
      <c r="V698" s="7"/>
      <c r="W698" s="7"/>
      <c r="X698" s="7"/>
      <c r="Y698" s="7"/>
    </row>
    <row r="699" spans="22:25" ht="14.25" customHeight="1" x14ac:dyDescent="0.3">
      <c r="V699" s="7"/>
      <c r="W699" s="7"/>
      <c r="X699" s="7"/>
      <c r="Y699" s="7"/>
    </row>
    <row r="700" spans="22:25" ht="14.25" customHeight="1" x14ac:dyDescent="0.3">
      <c r="V700" s="7"/>
      <c r="W700" s="7"/>
      <c r="X700" s="7"/>
      <c r="Y700" s="7"/>
    </row>
    <row r="701" spans="22:25" ht="14.25" customHeight="1" x14ac:dyDescent="0.3">
      <c r="V701" s="7"/>
      <c r="W701" s="7"/>
      <c r="X701" s="7"/>
      <c r="Y701" s="7"/>
    </row>
    <row r="702" spans="22:25" ht="14.25" customHeight="1" x14ac:dyDescent="0.3">
      <c r="V702" s="7"/>
      <c r="W702" s="7"/>
      <c r="X702" s="7"/>
      <c r="Y702" s="7"/>
    </row>
    <row r="703" spans="22:25" ht="14.25" customHeight="1" x14ac:dyDescent="0.3">
      <c r="V703" s="7"/>
      <c r="W703" s="7"/>
      <c r="X703" s="7"/>
      <c r="Y703" s="7"/>
    </row>
    <row r="704" spans="22:25" ht="14.25" customHeight="1" x14ac:dyDescent="0.3">
      <c r="V704" s="7"/>
      <c r="W704" s="7"/>
      <c r="X704" s="7"/>
      <c r="Y704" s="7"/>
    </row>
    <row r="705" spans="22:25" ht="14.25" customHeight="1" x14ac:dyDescent="0.3">
      <c r="V705" s="7"/>
      <c r="W705" s="7"/>
      <c r="X705" s="7"/>
      <c r="Y705" s="7"/>
    </row>
    <row r="706" spans="22:25" ht="14.25" customHeight="1" x14ac:dyDescent="0.3">
      <c r="V706" s="7"/>
      <c r="W706" s="7"/>
      <c r="X706" s="7"/>
      <c r="Y706" s="7"/>
    </row>
    <row r="707" spans="22:25" ht="14.25" customHeight="1" x14ac:dyDescent="0.3">
      <c r="V707" s="7"/>
      <c r="W707" s="7"/>
      <c r="X707" s="7"/>
      <c r="Y707" s="7"/>
    </row>
    <row r="708" spans="22:25" ht="14.25" customHeight="1" x14ac:dyDescent="0.3">
      <c r="V708" s="7"/>
      <c r="W708" s="7"/>
      <c r="X708" s="7"/>
      <c r="Y708" s="7"/>
    </row>
    <row r="709" spans="22:25" ht="14.25" customHeight="1" x14ac:dyDescent="0.3">
      <c r="V709" s="7"/>
      <c r="W709" s="7"/>
      <c r="X709" s="7"/>
      <c r="Y709" s="7"/>
    </row>
    <row r="710" spans="22:25" ht="14.25" customHeight="1" x14ac:dyDescent="0.3">
      <c r="V710" s="7"/>
      <c r="W710" s="7"/>
      <c r="X710" s="7"/>
      <c r="Y710" s="7"/>
    </row>
    <row r="711" spans="22:25" ht="14.25" customHeight="1" x14ac:dyDescent="0.3">
      <c r="V711" s="7"/>
      <c r="W711" s="7"/>
      <c r="X711" s="7"/>
      <c r="Y711" s="7"/>
    </row>
    <row r="712" spans="22:25" ht="14.25" customHeight="1" x14ac:dyDescent="0.3">
      <c r="V712" s="7"/>
      <c r="W712" s="7"/>
      <c r="X712" s="7"/>
      <c r="Y712" s="7"/>
    </row>
    <row r="713" spans="22:25" ht="14.25" customHeight="1" x14ac:dyDescent="0.3">
      <c r="V713" s="7"/>
      <c r="W713" s="7"/>
      <c r="X713" s="7"/>
      <c r="Y713" s="7"/>
    </row>
    <row r="714" spans="22:25" ht="14.25" customHeight="1" x14ac:dyDescent="0.3">
      <c r="V714" s="7"/>
      <c r="W714" s="7"/>
      <c r="X714" s="7"/>
      <c r="Y714" s="7"/>
    </row>
    <row r="715" spans="22:25" ht="14.25" customHeight="1" x14ac:dyDescent="0.3">
      <c r="V715" s="7"/>
      <c r="W715" s="7"/>
      <c r="X715" s="7"/>
      <c r="Y715" s="7"/>
    </row>
    <row r="716" spans="22:25" ht="14.25" customHeight="1" x14ac:dyDescent="0.3">
      <c r="V716" s="7"/>
      <c r="W716" s="7"/>
      <c r="X716" s="7"/>
      <c r="Y716" s="7"/>
    </row>
    <row r="717" spans="22:25" ht="14.25" customHeight="1" x14ac:dyDescent="0.3">
      <c r="V717" s="7"/>
      <c r="W717" s="7"/>
      <c r="X717" s="7"/>
      <c r="Y717" s="7"/>
    </row>
    <row r="718" spans="22:25" ht="14.25" customHeight="1" x14ac:dyDescent="0.3">
      <c r="V718" s="7"/>
      <c r="W718" s="7"/>
      <c r="X718" s="7"/>
      <c r="Y718" s="7"/>
    </row>
    <row r="719" spans="22:25" ht="14.25" customHeight="1" x14ac:dyDescent="0.3">
      <c r="V719" s="7"/>
      <c r="W719" s="7"/>
      <c r="X719" s="7"/>
      <c r="Y719" s="7"/>
    </row>
    <row r="720" spans="22:25" ht="14.25" customHeight="1" x14ac:dyDescent="0.3">
      <c r="V720" s="7"/>
      <c r="W720" s="7"/>
      <c r="X720" s="7"/>
      <c r="Y720" s="7"/>
    </row>
    <row r="721" spans="22:25" ht="14.25" customHeight="1" x14ac:dyDescent="0.3">
      <c r="V721" s="7"/>
      <c r="W721" s="7"/>
      <c r="X721" s="7"/>
      <c r="Y721" s="7"/>
    </row>
    <row r="722" spans="22:25" ht="14.25" customHeight="1" x14ac:dyDescent="0.3">
      <c r="V722" s="7"/>
      <c r="W722" s="7"/>
      <c r="X722" s="7"/>
      <c r="Y722" s="7"/>
    </row>
    <row r="723" spans="22:25" ht="14.25" customHeight="1" x14ac:dyDescent="0.3">
      <c r="V723" s="7"/>
      <c r="W723" s="7"/>
      <c r="X723" s="7"/>
      <c r="Y723" s="7"/>
    </row>
    <row r="724" spans="22:25" ht="14.25" customHeight="1" x14ac:dyDescent="0.3">
      <c r="V724" s="7"/>
      <c r="W724" s="7"/>
      <c r="X724" s="7"/>
      <c r="Y724" s="7"/>
    </row>
    <row r="725" spans="22:25" ht="14.25" customHeight="1" x14ac:dyDescent="0.3">
      <c r="V725" s="7"/>
      <c r="W725" s="7"/>
      <c r="X725" s="7"/>
      <c r="Y725" s="7"/>
    </row>
    <row r="726" spans="22:25" ht="14.25" customHeight="1" x14ac:dyDescent="0.3">
      <c r="V726" s="7"/>
      <c r="W726" s="7"/>
      <c r="X726" s="7"/>
      <c r="Y726" s="7"/>
    </row>
    <row r="727" spans="22:25" ht="14.25" customHeight="1" x14ac:dyDescent="0.3">
      <c r="V727" s="7"/>
      <c r="W727" s="7"/>
      <c r="X727" s="7"/>
      <c r="Y727" s="7"/>
    </row>
    <row r="728" spans="22:25" ht="14.25" customHeight="1" x14ac:dyDescent="0.3">
      <c r="V728" s="7"/>
      <c r="W728" s="7"/>
      <c r="X728" s="7"/>
      <c r="Y728" s="7"/>
    </row>
    <row r="729" spans="22:25" ht="14.25" customHeight="1" x14ac:dyDescent="0.3">
      <c r="V729" s="7"/>
      <c r="W729" s="7"/>
      <c r="X729" s="7"/>
      <c r="Y729" s="7"/>
    </row>
    <row r="730" spans="22:25" ht="14.25" customHeight="1" x14ac:dyDescent="0.3">
      <c r="V730" s="7"/>
      <c r="W730" s="7"/>
      <c r="X730" s="7"/>
      <c r="Y730" s="7"/>
    </row>
    <row r="731" spans="22:25" ht="14.25" customHeight="1" x14ac:dyDescent="0.3">
      <c r="V731" s="7"/>
      <c r="W731" s="7"/>
      <c r="X731" s="7"/>
      <c r="Y731" s="7"/>
    </row>
    <row r="732" spans="22:25" ht="14.25" customHeight="1" x14ac:dyDescent="0.3">
      <c r="V732" s="7"/>
      <c r="W732" s="7"/>
      <c r="X732" s="7"/>
      <c r="Y732" s="7"/>
    </row>
    <row r="733" spans="22:25" ht="14.25" customHeight="1" x14ac:dyDescent="0.3">
      <c r="V733" s="7"/>
      <c r="W733" s="7"/>
      <c r="X733" s="7"/>
      <c r="Y733" s="7"/>
    </row>
    <row r="734" spans="22:25" ht="14.25" customHeight="1" x14ac:dyDescent="0.3">
      <c r="V734" s="7"/>
      <c r="W734" s="7"/>
      <c r="X734" s="7"/>
      <c r="Y734" s="7"/>
    </row>
    <row r="735" spans="22:25" ht="14.25" customHeight="1" x14ac:dyDescent="0.3">
      <c r="V735" s="7"/>
      <c r="W735" s="7"/>
      <c r="X735" s="7"/>
      <c r="Y735" s="7"/>
    </row>
    <row r="736" spans="22:25" ht="14.25" customHeight="1" x14ac:dyDescent="0.3">
      <c r="V736" s="7"/>
      <c r="W736" s="7"/>
      <c r="X736" s="7"/>
      <c r="Y736" s="7"/>
    </row>
    <row r="737" spans="22:25" ht="14.25" customHeight="1" x14ac:dyDescent="0.3">
      <c r="V737" s="7"/>
      <c r="W737" s="7"/>
      <c r="X737" s="7"/>
      <c r="Y737" s="7"/>
    </row>
    <row r="738" spans="22:25" ht="14.25" customHeight="1" x14ac:dyDescent="0.3">
      <c r="V738" s="7"/>
      <c r="W738" s="7"/>
      <c r="X738" s="7"/>
      <c r="Y738" s="7"/>
    </row>
    <row r="739" spans="22:25" ht="14.25" customHeight="1" x14ac:dyDescent="0.3">
      <c r="V739" s="7"/>
      <c r="W739" s="7"/>
      <c r="X739" s="7"/>
      <c r="Y739" s="7"/>
    </row>
    <row r="740" spans="22:25" ht="14.25" customHeight="1" x14ac:dyDescent="0.3">
      <c r="V740" s="7"/>
      <c r="W740" s="7"/>
      <c r="X740" s="7"/>
      <c r="Y740" s="7"/>
    </row>
    <row r="741" spans="22:25" ht="14.25" customHeight="1" x14ac:dyDescent="0.3">
      <c r="V741" s="7"/>
      <c r="W741" s="7"/>
      <c r="X741" s="7"/>
      <c r="Y741" s="7"/>
    </row>
    <row r="742" spans="22:25" ht="14.25" customHeight="1" x14ac:dyDescent="0.3">
      <c r="V742" s="7"/>
      <c r="W742" s="7"/>
      <c r="X742" s="7"/>
      <c r="Y742" s="7"/>
    </row>
    <row r="743" spans="22:25" ht="14.25" customHeight="1" x14ac:dyDescent="0.3">
      <c r="V743" s="7"/>
      <c r="W743" s="7"/>
      <c r="X743" s="7"/>
      <c r="Y743" s="7"/>
    </row>
    <row r="744" spans="22:25" ht="14.25" customHeight="1" x14ac:dyDescent="0.3">
      <c r="V744" s="7"/>
      <c r="W744" s="7"/>
      <c r="X744" s="7"/>
      <c r="Y744" s="7"/>
    </row>
    <row r="745" spans="22:25" ht="14.25" customHeight="1" x14ac:dyDescent="0.3">
      <c r="V745" s="7"/>
      <c r="W745" s="7"/>
      <c r="X745" s="7"/>
      <c r="Y745" s="7"/>
    </row>
    <row r="746" spans="22:25" ht="14.25" customHeight="1" x14ac:dyDescent="0.3">
      <c r="V746" s="7"/>
      <c r="W746" s="7"/>
      <c r="X746" s="7"/>
      <c r="Y746" s="7"/>
    </row>
    <row r="747" spans="22:25" ht="14.25" customHeight="1" x14ac:dyDescent="0.3">
      <c r="V747" s="7"/>
      <c r="W747" s="7"/>
      <c r="X747" s="7"/>
      <c r="Y747" s="7"/>
    </row>
    <row r="748" spans="22:25" ht="14.25" customHeight="1" x14ac:dyDescent="0.3">
      <c r="V748" s="7"/>
      <c r="W748" s="7"/>
      <c r="X748" s="7"/>
      <c r="Y748" s="7"/>
    </row>
    <row r="749" spans="22:25" ht="14.25" customHeight="1" x14ac:dyDescent="0.3">
      <c r="V749" s="7"/>
      <c r="W749" s="7"/>
      <c r="X749" s="7"/>
      <c r="Y749" s="7"/>
    </row>
    <row r="750" spans="22:25" ht="14.25" customHeight="1" x14ac:dyDescent="0.3">
      <c r="V750" s="7"/>
      <c r="W750" s="7"/>
      <c r="X750" s="7"/>
      <c r="Y750" s="7"/>
    </row>
    <row r="751" spans="22:25" ht="14.25" customHeight="1" x14ac:dyDescent="0.3">
      <c r="V751" s="7"/>
      <c r="W751" s="7"/>
      <c r="X751" s="7"/>
      <c r="Y751" s="7"/>
    </row>
    <row r="752" spans="22:25" ht="14.25" customHeight="1" x14ac:dyDescent="0.3">
      <c r="V752" s="7"/>
      <c r="W752" s="7"/>
      <c r="X752" s="7"/>
      <c r="Y752" s="7"/>
    </row>
    <row r="753" spans="22:25" ht="14.25" customHeight="1" x14ac:dyDescent="0.3">
      <c r="V753" s="7"/>
      <c r="W753" s="7"/>
      <c r="X753" s="7"/>
      <c r="Y753" s="7"/>
    </row>
    <row r="754" spans="22:25" ht="14.25" customHeight="1" x14ac:dyDescent="0.3">
      <c r="V754" s="7"/>
      <c r="W754" s="7"/>
      <c r="X754" s="7"/>
      <c r="Y754" s="7"/>
    </row>
    <row r="755" spans="22:25" ht="14.25" customHeight="1" x14ac:dyDescent="0.3">
      <c r="V755" s="7"/>
      <c r="W755" s="7"/>
      <c r="X755" s="7"/>
      <c r="Y755" s="7"/>
    </row>
    <row r="756" spans="22:25" ht="14.25" customHeight="1" x14ac:dyDescent="0.3">
      <c r="V756" s="7"/>
      <c r="W756" s="7"/>
      <c r="X756" s="7"/>
      <c r="Y756" s="7"/>
    </row>
    <row r="757" spans="22:25" ht="14.25" customHeight="1" x14ac:dyDescent="0.3">
      <c r="V757" s="7"/>
      <c r="W757" s="7"/>
      <c r="X757" s="7"/>
      <c r="Y757" s="7"/>
    </row>
    <row r="758" spans="22:25" ht="14.25" customHeight="1" x14ac:dyDescent="0.3">
      <c r="V758" s="7"/>
      <c r="W758" s="7"/>
      <c r="X758" s="7"/>
      <c r="Y758" s="7"/>
    </row>
    <row r="759" spans="22:25" ht="14.25" customHeight="1" x14ac:dyDescent="0.3">
      <c r="V759" s="7"/>
      <c r="W759" s="7"/>
      <c r="X759" s="7"/>
      <c r="Y759" s="7"/>
    </row>
    <row r="760" spans="22:25" ht="14.25" customHeight="1" x14ac:dyDescent="0.3">
      <c r="V760" s="7"/>
      <c r="W760" s="7"/>
      <c r="X760" s="7"/>
      <c r="Y760" s="7"/>
    </row>
    <row r="761" spans="22:25" ht="14.25" customHeight="1" x14ac:dyDescent="0.3">
      <c r="V761" s="7"/>
      <c r="W761" s="7"/>
      <c r="X761" s="7"/>
      <c r="Y761" s="7"/>
    </row>
    <row r="762" spans="22:25" ht="14.25" customHeight="1" x14ac:dyDescent="0.3">
      <c r="V762" s="7"/>
      <c r="W762" s="7"/>
      <c r="X762" s="7"/>
      <c r="Y762" s="7"/>
    </row>
    <row r="763" spans="22:25" ht="14.25" customHeight="1" x14ac:dyDescent="0.3">
      <c r="V763" s="7"/>
      <c r="W763" s="7"/>
      <c r="X763" s="7"/>
      <c r="Y763" s="7"/>
    </row>
    <row r="764" spans="22:25" ht="14.25" customHeight="1" x14ac:dyDescent="0.3">
      <c r="V764" s="7"/>
      <c r="W764" s="7"/>
      <c r="X764" s="7"/>
      <c r="Y764" s="7"/>
    </row>
    <row r="765" spans="22:25" ht="14.25" customHeight="1" x14ac:dyDescent="0.3">
      <c r="V765" s="7"/>
      <c r="W765" s="7"/>
      <c r="X765" s="7"/>
      <c r="Y765" s="7"/>
    </row>
    <row r="766" spans="22:25" ht="14.25" customHeight="1" x14ac:dyDescent="0.3">
      <c r="V766" s="7"/>
      <c r="W766" s="7"/>
      <c r="X766" s="7"/>
      <c r="Y766" s="7"/>
    </row>
    <row r="767" spans="22:25" ht="14.25" customHeight="1" x14ac:dyDescent="0.3">
      <c r="V767" s="7"/>
      <c r="W767" s="7"/>
      <c r="X767" s="7"/>
      <c r="Y767" s="7"/>
    </row>
    <row r="768" spans="22:25" ht="14.25" customHeight="1" x14ac:dyDescent="0.3">
      <c r="V768" s="7"/>
      <c r="W768" s="7"/>
      <c r="X768" s="7"/>
      <c r="Y768" s="7"/>
    </row>
    <row r="769" spans="22:25" ht="14.25" customHeight="1" x14ac:dyDescent="0.3">
      <c r="V769" s="7"/>
      <c r="W769" s="7"/>
      <c r="X769" s="7"/>
      <c r="Y769" s="7"/>
    </row>
    <row r="770" spans="22:25" ht="14.25" customHeight="1" x14ac:dyDescent="0.3">
      <c r="V770" s="7"/>
      <c r="W770" s="7"/>
      <c r="X770" s="7"/>
      <c r="Y770" s="7"/>
    </row>
    <row r="771" spans="22:25" ht="14.25" customHeight="1" x14ac:dyDescent="0.3">
      <c r="V771" s="7"/>
      <c r="W771" s="7"/>
      <c r="X771" s="7"/>
      <c r="Y771" s="7"/>
    </row>
    <row r="772" spans="22:25" ht="14.25" customHeight="1" x14ac:dyDescent="0.3">
      <c r="V772" s="7"/>
      <c r="W772" s="7"/>
      <c r="X772" s="7"/>
      <c r="Y772" s="7"/>
    </row>
    <row r="773" spans="22:25" ht="14.25" customHeight="1" x14ac:dyDescent="0.3">
      <c r="V773" s="7"/>
      <c r="W773" s="7"/>
      <c r="X773" s="7"/>
      <c r="Y773" s="7"/>
    </row>
    <row r="774" spans="22:25" ht="14.25" customHeight="1" x14ac:dyDescent="0.3">
      <c r="V774" s="7"/>
      <c r="W774" s="7"/>
      <c r="X774" s="7"/>
      <c r="Y774" s="7"/>
    </row>
    <row r="775" spans="22:25" ht="14.25" customHeight="1" x14ac:dyDescent="0.3">
      <c r="V775" s="7"/>
      <c r="W775" s="7"/>
      <c r="X775" s="7"/>
      <c r="Y775" s="7"/>
    </row>
    <row r="776" spans="22:25" ht="14.25" customHeight="1" x14ac:dyDescent="0.3">
      <c r="V776" s="7"/>
      <c r="W776" s="7"/>
      <c r="X776" s="7"/>
      <c r="Y776" s="7"/>
    </row>
    <row r="777" spans="22:25" ht="14.25" customHeight="1" x14ac:dyDescent="0.3">
      <c r="V777" s="7"/>
      <c r="W777" s="7"/>
      <c r="X777" s="7"/>
      <c r="Y777" s="7"/>
    </row>
    <row r="778" spans="22:25" ht="14.25" customHeight="1" x14ac:dyDescent="0.3">
      <c r="V778" s="7"/>
      <c r="W778" s="7"/>
      <c r="X778" s="7"/>
      <c r="Y778" s="7"/>
    </row>
    <row r="779" spans="22:25" ht="14.25" customHeight="1" x14ac:dyDescent="0.3">
      <c r="V779" s="7"/>
      <c r="W779" s="7"/>
      <c r="X779" s="7"/>
      <c r="Y779" s="7"/>
    </row>
    <row r="780" spans="22:25" ht="14.25" customHeight="1" x14ac:dyDescent="0.3">
      <c r="V780" s="7"/>
      <c r="W780" s="7"/>
      <c r="X780" s="7"/>
      <c r="Y780" s="7"/>
    </row>
    <row r="781" spans="22:25" ht="14.25" customHeight="1" x14ac:dyDescent="0.3">
      <c r="V781" s="7"/>
      <c r="W781" s="7"/>
      <c r="X781" s="7"/>
      <c r="Y781" s="7"/>
    </row>
    <row r="782" spans="22:25" ht="14.25" customHeight="1" x14ac:dyDescent="0.3">
      <c r="V782" s="7"/>
      <c r="W782" s="7"/>
      <c r="X782" s="7"/>
      <c r="Y782" s="7"/>
    </row>
    <row r="783" spans="22:25" ht="14.25" customHeight="1" x14ac:dyDescent="0.3">
      <c r="V783" s="7"/>
      <c r="W783" s="7"/>
      <c r="X783" s="7"/>
      <c r="Y783" s="7"/>
    </row>
    <row r="784" spans="22:25" ht="14.25" customHeight="1" x14ac:dyDescent="0.3">
      <c r="V784" s="7"/>
      <c r="W784" s="7"/>
      <c r="X784" s="7"/>
      <c r="Y784" s="7"/>
    </row>
    <row r="785" spans="22:25" ht="14.25" customHeight="1" x14ac:dyDescent="0.3">
      <c r="V785" s="7"/>
      <c r="W785" s="7"/>
      <c r="X785" s="7"/>
      <c r="Y785" s="7"/>
    </row>
    <row r="786" spans="22:25" ht="14.25" customHeight="1" x14ac:dyDescent="0.3">
      <c r="V786" s="7"/>
      <c r="W786" s="7"/>
      <c r="X786" s="7"/>
      <c r="Y786" s="7"/>
    </row>
    <row r="787" spans="22:25" ht="14.25" customHeight="1" x14ac:dyDescent="0.3">
      <c r="V787" s="7"/>
      <c r="W787" s="7"/>
      <c r="X787" s="7"/>
      <c r="Y787" s="7"/>
    </row>
    <row r="788" spans="22:25" ht="14.25" customHeight="1" x14ac:dyDescent="0.3">
      <c r="V788" s="7"/>
      <c r="W788" s="7"/>
      <c r="X788" s="7"/>
      <c r="Y788" s="7"/>
    </row>
    <row r="789" spans="22:25" ht="14.25" customHeight="1" x14ac:dyDescent="0.3">
      <c r="V789" s="7"/>
      <c r="W789" s="7"/>
      <c r="X789" s="7"/>
      <c r="Y789" s="7"/>
    </row>
    <row r="790" spans="22:25" ht="14.25" customHeight="1" x14ac:dyDescent="0.3">
      <c r="V790" s="7"/>
      <c r="W790" s="7"/>
      <c r="X790" s="7"/>
      <c r="Y790" s="7"/>
    </row>
    <row r="791" spans="22:25" ht="14.25" customHeight="1" x14ac:dyDescent="0.3">
      <c r="V791" s="7"/>
      <c r="W791" s="7"/>
      <c r="X791" s="7"/>
      <c r="Y791" s="7"/>
    </row>
    <row r="792" spans="22:25" ht="14.25" customHeight="1" x14ac:dyDescent="0.3">
      <c r="V792" s="7"/>
      <c r="W792" s="7"/>
      <c r="X792" s="7"/>
      <c r="Y792" s="7"/>
    </row>
    <row r="793" spans="22:25" ht="14.25" customHeight="1" x14ac:dyDescent="0.3">
      <c r="V793" s="7"/>
      <c r="W793" s="7"/>
      <c r="X793" s="7"/>
      <c r="Y793" s="7"/>
    </row>
    <row r="794" spans="22:25" ht="14.25" customHeight="1" x14ac:dyDescent="0.3">
      <c r="V794" s="7"/>
      <c r="W794" s="7"/>
      <c r="X794" s="7"/>
      <c r="Y794" s="7"/>
    </row>
    <row r="795" spans="22:25" ht="14.25" customHeight="1" x14ac:dyDescent="0.3">
      <c r="V795" s="7"/>
      <c r="W795" s="7"/>
      <c r="X795" s="7"/>
      <c r="Y795" s="7"/>
    </row>
    <row r="796" spans="22:25" ht="14.25" customHeight="1" x14ac:dyDescent="0.3">
      <c r="V796" s="7"/>
      <c r="W796" s="7"/>
      <c r="X796" s="7"/>
      <c r="Y796" s="7"/>
    </row>
    <row r="797" spans="22:25" ht="14.25" customHeight="1" x14ac:dyDescent="0.3">
      <c r="V797" s="7"/>
      <c r="W797" s="7"/>
      <c r="X797" s="7"/>
      <c r="Y797" s="7"/>
    </row>
    <row r="798" spans="22:25" ht="14.25" customHeight="1" x14ac:dyDescent="0.3">
      <c r="V798" s="7"/>
      <c r="W798" s="7"/>
      <c r="X798" s="7"/>
      <c r="Y798" s="7"/>
    </row>
    <row r="799" spans="22:25" ht="14.25" customHeight="1" x14ac:dyDescent="0.3">
      <c r="V799" s="7"/>
      <c r="W799" s="7"/>
      <c r="X799" s="7"/>
      <c r="Y799" s="7"/>
    </row>
    <row r="800" spans="22:25" ht="14.25" customHeight="1" x14ac:dyDescent="0.3">
      <c r="V800" s="7"/>
      <c r="W800" s="7"/>
      <c r="X800" s="7"/>
      <c r="Y800" s="7"/>
    </row>
    <row r="801" spans="22:25" ht="14.25" customHeight="1" x14ac:dyDescent="0.3">
      <c r="V801" s="7"/>
      <c r="W801" s="7"/>
      <c r="X801" s="7"/>
      <c r="Y801" s="7"/>
    </row>
    <row r="802" spans="22:25" ht="14.25" customHeight="1" x14ac:dyDescent="0.3">
      <c r="V802" s="7"/>
      <c r="W802" s="7"/>
      <c r="X802" s="7"/>
      <c r="Y802" s="7"/>
    </row>
    <row r="803" spans="22:25" ht="14.25" customHeight="1" x14ac:dyDescent="0.3">
      <c r="V803" s="7"/>
      <c r="W803" s="7"/>
      <c r="X803" s="7"/>
      <c r="Y803" s="7"/>
    </row>
    <row r="804" spans="22:25" ht="14.25" customHeight="1" x14ac:dyDescent="0.3">
      <c r="V804" s="7"/>
      <c r="W804" s="7"/>
      <c r="X804" s="7"/>
      <c r="Y804" s="7"/>
    </row>
    <row r="805" spans="22:25" ht="14.25" customHeight="1" x14ac:dyDescent="0.3">
      <c r="V805" s="7"/>
      <c r="W805" s="7"/>
      <c r="X805" s="7"/>
      <c r="Y805" s="7"/>
    </row>
    <row r="806" spans="22:25" ht="14.25" customHeight="1" x14ac:dyDescent="0.3">
      <c r="V806" s="7"/>
      <c r="W806" s="7"/>
      <c r="X806" s="7"/>
      <c r="Y806" s="7"/>
    </row>
    <row r="807" spans="22:25" ht="14.25" customHeight="1" x14ac:dyDescent="0.3">
      <c r="V807" s="7"/>
      <c r="W807" s="7"/>
      <c r="X807" s="7"/>
      <c r="Y807" s="7"/>
    </row>
    <row r="808" spans="22:25" ht="14.25" customHeight="1" x14ac:dyDescent="0.3">
      <c r="V808" s="7"/>
      <c r="W808" s="7"/>
      <c r="X808" s="7"/>
      <c r="Y808" s="7"/>
    </row>
    <row r="809" spans="22:25" ht="14.25" customHeight="1" x14ac:dyDescent="0.3">
      <c r="V809" s="7"/>
      <c r="W809" s="7"/>
      <c r="X809" s="7"/>
      <c r="Y809" s="7"/>
    </row>
    <row r="810" spans="22:25" ht="14.25" customHeight="1" x14ac:dyDescent="0.3">
      <c r="V810" s="7"/>
      <c r="W810" s="7"/>
      <c r="X810" s="7"/>
      <c r="Y810" s="7"/>
    </row>
    <row r="811" spans="22:25" ht="14.25" customHeight="1" x14ac:dyDescent="0.3">
      <c r="V811" s="7"/>
      <c r="W811" s="7"/>
      <c r="X811" s="7"/>
      <c r="Y811" s="7"/>
    </row>
    <row r="812" spans="22:25" ht="14.25" customHeight="1" x14ac:dyDescent="0.3">
      <c r="V812" s="7"/>
      <c r="W812" s="7"/>
      <c r="X812" s="7"/>
      <c r="Y812" s="7"/>
    </row>
    <row r="813" spans="22:25" ht="14.25" customHeight="1" x14ac:dyDescent="0.3">
      <c r="V813" s="7"/>
      <c r="W813" s="7"/>
      <c r="X813" s="7"/>
      <c r="Y813" s="7"/>
    </row>
    <row r="814" spans="22:25" ht="14.25" customHeight="1" x14ac:dyDescent="0.3">
      <c r="V814" s="7"/>
      <c r="W814" s="7"/>
      <c r="X814" s="7"/>
      <c r="Y814" s="7"/>
    </row>
    <row r="815" spans="22:25" ht="14.25" customHeight="1" x14ac:dyDescent="0.3">
      <c r="V815" s="7"/>
      <c r="W815" s="7"/>
      <c r="X815" s="7"/>
      <c r="Y815" s="7"/>
    </row>
    <row r="816" spans="22:25" ht="14.25" customHeight="1" x14ac:dyDescent="0.3">
      <c r="V816" s="7"/>
      <c r="W816" s="7"/>
      <c r="X816" s="7"/>
      <c r="Y816" s="7"/>
    </row>
    <row r="817" spans="22:25" ht="14.25" customHeight="1" x14ac:dyDescent="0.3">
      <c r="V817" s="7"/>
      <c r="W817" s="7"/>
      <c r="X817" s="7"/>
      <c r="Y817" s="7"/>
    </row>
    <row r="818" spans="22:25" ht="14.25" customHeight="1" x14ac:dyDescent="0.3">
      <c r="V818" s="7"/>
      <c r="W818" s="7"/>
      <c r="X818" s="7"/>
      <c r="Y818" s="7"/>
    </row>
    <row r="819" spans="22:25" ht="14.25" customHeight="1" x14ac:dyDescent="0.3">
      <c r="V819" s="7"/>
      <c r="W819" s="7"/>
      <c r="X819" s="7"/>
      <c r="Y819" s="7"/>
    </row>
    <row r="820" spans="22:25" ht="14.25" customHeight="1" x14ac:dyDescent="0.3">
      <c r="V820" s="7"/>
      <c r="W820" s="7"/>
      <c r="X820" s="7"/>
      <c r="Y820" s="7"/>
    </row>
    <row r="821" spans="22:25" ht="14.25" customHeight="1" x14ac:dyDescent="0.3">
      <c r="V821" s="7"/>
      <c r="W821" s="7"/>
      <c r="X821" s="7"/>
      <c r="Y821" s="7"/>
    </row>
    <row r="822" spans="22:25" ht="14.25" customHeight="1" x14ac:dyDescent="0.3">
      <c r="V822" s="7"/>
      <c r="W822" s="7"/>
      <c r="X822" s="7"/>
      <c r="Y822" s="7"/>
    </row>
    <row r="823" spans="22:25" ht="14.25" customHeight="1" x14ac:dyDescent="0.3">
      <c r="V823" s="7"/>
      <c r="W823" s="7"/>
      <c r="X823" s="7"/>
      <c r="Y823" s="7"/>
    </row>
    <row r="824" spans="22:25" ht="14.25" customHeight="1" x14ac:dyDescent="0.3">
      <c r="V824" s="7"/>
      <c r="W824" s="7"/>
      <c r="X824" s="7"/>
      <c r="Y824" s="7"/>
    </row>
    <row r="825" spans="22:25" ht="14.25" customHeight="1" x14ac:dyDescent="0.3">
      <c r="V825" s="7"/>
      <c r="W825" s="7"/>
      <c r="X825" s="7"/>
      <c r="Y825" s="7"/>
    </row>
    <row r="826" spans="22:25" ht="14.25" customHeight="1" x14ac:dyDescent="0.3">
      <c r="V826" s="7"/>
      <c r="W826" s="7"/>
      <c r="X826" s="7"/>
      <c r="Y826" s="7"/>
    </row>
    <row r="827" spans="22:25" ht="14.25" customHeight="1" x14ac:dyDescent="0.3">
      <c r="V827" s="7"/>
      <c r="W827" s="7"/>
      <c r="X827" s="7"/>
      <c r="Y827" s="7"/>
    </row>
    <row r="828" spans="22:25" ht="14.25" customHeight="1" x14ac:dyDescent="0.3">
      <c r="V828" s="7"/>
      <c r="W828" s="7"/>
      <c r="X828" s="7"/>
      <c r="Y828" s="7"/>
    </row>
    <row r="829" spans="22:25" ht="14.25" customHeight="1" x14ac:dyDescent="0.3">
      <c r="V829" s="7"/>
      <c r="W829" s="7"/>
      <c r="X829" s="7"/>
      <c r="Y829" s="7"/>
    </row>
    <row r="830" spans="22:25" ht="14.25" customHeight="1" x14ac:dyDescent="0.3">
      <c r="V830" s="7"/>
      <c r="W830" s="7"/>
      <c r="X830" s="7"/>
      <c r="Y830" s="7"/>
    </row>
    <row r="831" spans="22:25" ht="14.25" customHeight="1" x14ac:dyDescent="0.3">
      <c r="V831" s="7"/>
      <c r="W831" s="7"/>
      <c r="X831" s="7"/>
      <c r="Y831" s="7"/>
    </row>
    <row r="832" spans="22:25" ht="14.25" customHeight="1" x14ac:dyDescent="0.3">
      <c r="V832" s="7"/>
      <c r="W832" s="7"/>
      <c r="X832" s="7"/>
      <c r="Y832" s="7"/>
    </row>
    <row r="833" spans="22:25" ht="14.25" customHeight="1" x14ac:dyDescent="0.3">
      <c r="V833" s="7"/>
      <c r="W833" s="7"/>
      <c r="X833" s="7"/>
      <c r="Y833" s="7"/>
    </row>
    <row r="834" spans="22:25" ht="14.25" customHeight="1" x14ac:dyDescent="0.3">
      <c r="V834" s="7"/>
      <c r="W834" s="7"/>
      <c r="X834" s="7"/>
      <c r="Y834" s="7"/>
    </row>
    <row r="835" spans="22:25" ht="14.25" customHeight="1" x14ac:dyDescent="0.3">
      <c r="V835" s="7"/>
      <c r="W835" s="7"/>
      <c r="X835" s="7"/>
      <c r="Y835" s="7"/>
    </row>
    <row r="836" spans="22:25" ht="14.25" customHeight="1" x14ac:dyDescent="0.3">
      <c r="V836" s="7"/>
      <c r="W836" s="7"/>
      <c r="X836" s="7"/>
      <c r="Y836" s="7"/>
    </row>
    <row r="837" spans="22:25" ht="14.25" customHeight="1" x14ac:dyDescent="0.3">
      <c r="V837" s="7"/>
      <c r="W837" s="7"/>
      <c r="X837" s="7"/>
      <c r="Y837" s="7"/>
    </row>
    <row r="838" spans="22:25" ht="14.25" customHeight="1" x14ac:dyDescent="0.3">
      <c r="V838" s="7"/>
      <c r="W838" s="7"/>
      <c r="X838" s="7"/>
      <c r="Y838" s="7"/>
    </row>
    <row r="839" spans="22:25" ht="14.25" customHeight="1" x14ac:dyDescent="0.3">
      <c r="V839" s="7"/>
      <c r="W839" s="7"/>
      <c r="X839" s="7"/>
      <c r="Y839" s="7"/>
    </row>
    <row r="840" spans="22:25" ht="14.25" customHeight="1" x14ac:dyDescent="0.3">
      <c r="V840" s="7"/>
      <c r="W840" s="7"/>
      <c r="X840" s="7"/>
      <c r="Y840" s="7"/>
    </row>
    <row r="841" spans="22:25" ht="14.25" customHeight="1" x14ac:dyDescent="0.3">
      <c r="V841" s="7"/>
      <c r="W841" s="7"/>
      <c r="X841" s="7"/>
      <c r="Y841" s="7"/>
    </row>
    <row r="842" spans="22:25" ht="14.25" customHeight="1" x14ac:dyDescent="0.3">
      <c r="V842" s="7"/>
      <c r="W842" s="7"/>
      <c r="X842" s="7"/>
      <c r="Y842" s="7"/>
    </row>
    <row r="843" spans="22:25" ht="14.25" customHeight="1" x14ac:dyDescent="0.3">
      <c r="V843" s="7"/>
      <c r="W843" s="7"/>
      <c r="X843" s="7"/>
      <c r="Y843" s="7"/>
    </row>
    <row r="844" spans="22:25" ht="14.25" customHeight="1" x14ac:dyDescent="0.3">
      <c r="V844" s="7"/>
      <c r="W844" s="7"/>
      <c r="X844" s="7"/>
      <c r="Y844" s="7"/>
    </row>
    <row r="845" spans="22:25" ht="14.25" customHeight="1" x14ac:dyDescent="0.3">
      <c r="V845" s="7"/>
      <c r="W845" s="7"/>
      <c r="X845" s="7"/>
      <c r="Y845" s="7"/>
    </row>
    <row r="846" spans="22:25" ht="14.25" customHeight="1" x14ac:dyDescent="0.3">
      <c r="V846" s="7"/>
      <c r="W846" s="7"/>
      <c r="X846" s="7"/>
      <c r="Y846" s="7"/>
    </row>
    <row r="847" spans="22:25" ht="14.25" customHeight="1" x14ac:dyDescent="0.3">
      <c r="V847" s="7"/>
      <c r="W847" s="7"/>
      <c r="X847" s="7"/>
      <c r="Y847" s="7"/>
    </row>
    <row r="848" spans="22:25" ht="14.25" customHeight="1" x14ac:dyDescent="0.3">
      <c r="V848" s="7"/>
      <c r="W848" s="7"/>
      <c r="X848" s="7"/>
      <c r="Y848" s="7"/>
    </row>
    <row r="849" spans="22:25" ht="14.25" customHeight="1" x14ac:dyDescent="0.3">
      <c r="V849" s="7"/>
      <c r="W849" s="7"/>
      <c r="X849" s="7"/>
      <c r="Y849" s="7"/>
    </row>
    <row r="850" spans="22:25" ht="14.25" customHeight="1" x14ac:dyDescent="0.3">
      <c r="V850" s="7"/>
      <c r="W850" s="7"/>
      <c r="X850" s="7"/>
      <c r="Y850" s="7"/>
    </row>
    <row r="851" spans="22:25" ht="14.25" customHeight="1" x14ac:dyDescent="0.3">
      <c r="V851" s="7"/>
      <c r="W851" s="7"/>
      <c r="X851" s="7"/>
      <c r="Y851" s="7"/>
    </row>
    <row r="852" spans="22:25" ht="14.25" customHeight="1" x14ac:dyDescent="0.3">
      <c r="V852" s="7"/>
      <c r="W852" s="7"/>
      <c r="X852" s="7"/>
      <c r="Y852" s="7"/>
    </row>
    <row r="853" spans="22:25" ht="14.25" customHeight="1" x14ac:dyDescent="0.3">
      <c r="V853" s="7"/>
      <c r="W853" s="7"/>
      <c r="X853" s="7"/>
      <c r="Y853" s="7"/>
    </row>
    <row r="854" spans="22:25" ht="14.25" customHeight="1" x14ac:dyDescent="0.3">
      <c r="V854" s="7"/>
      <c r="W854" s="7"/>
      <c r="X854" s="7"/>
      <c r="Y854" s="7"/>
    </row>
    <row r="855" spans="22:25" ht="14.25" customHeight="1" x14ac:dyDescent="0.3">
      <c r="V855" s="7"/>
      <c r="W855" s="7"/>
      <c r="X855" s="7"/>
      <c r="Y855" s="7"/>
    </row>
    <row r="856" spans="22:25" ht="14.25" customHeight="1" x14ac:dyDescent="0.3">
      <c r="V856" s="7"/>
      <c r="W856" s="7"/>
      <c r="X856" s="7"/>
      <c r="Y856" s="7"/>
    </row>
    <row r="857" spans="22:25" ht="14.25" customHeight="1" x14ac:dyDescent="0.3">
      <c r="V857" s="7"/>
      <c r="W857" s="7"/>
      <c r="X857" s="7"/>
      <c r="Y857" s="7"/>
    </row>
    <row r="858" spans="22:25" ht="14.25" customHeight="1" x14ac:dyDescent="0.3">
      <c r="V858" s="7"/>
      <c r="W858" s="7"/>
      <c r="X858" s="7"/>
      <c r="Y858" s="7"/>
    </row>
    <row r="859" spans="22:25" ht="14.25" customHeight="1" x14ac:dyDescent="0.3">
      <c r="V859" s="7"/>
      <c r="W859" s="7"/>
      <c r="X859" s="7"/>
      <c r="Y859" s="7"/>
    </row>
    <row r="860" spans="22:25" ht="14.25" customHeight="1" x14ac:dyDescent="0.3">
      <c r="V860" s="7"/>
      <c r="W860" s="7"/>
      <c r="X860" s="7"/>
      <c r="Y860" s="7"/>
    </row>
    <row r="861" spans="22:25" ht="14.25" customHeight="1" x14ac:dyDescent="0.3">
      <c r="V861" s="7"/>
      <c r="W861" s="7"/>
      <c r="X861" s="7"/>
      <c r="Y861" s="7"/>
    </row>
    <row r="862" spans="22:25" ht="14.25" customHeight="1" x14ac:dyDescent="0.3">
      <c r="V862" s="7"/>
      <c r="W862" s="7"/>
      <c r="X862" s="7"/>
      <c r="Y862" s="7"/>
    </row>
    <row r="863" spans="22:25" ht="14.25" customHeight="1" x14ac:dyDescent="0.3">
      <c r="V863" s="7"/>
      <c r="W863" s="7"/>
      <c r="X863" s="7"/>
      <c r="Y863" s="7"/>
    </row>
    <row r="864" spans="22:25" ht="14.25" customHeight="1" x14ac:dyDescent="0.3">
      <c r="V864" s="7"/>
      <c r="W864" s="7"/>
      <c r="X864" s="7"/>
      <c r="Y864" s="7"/>
    </row>
    <row r="865" spans="22:25" ht="14.25" customHeight="1" x14ac:dyDescent="0.3">
      <c r="V865" s="7"/>
      <c r="W865" s="7"/>
      <c r="X865" s="7"/>
      <c r="Y865" s="7"/>
    </row>
    <row r="866" spans="22:25" ht="14.25" customHeight="1" x14ac:dyDescent="0.3">
      <c r="V866" s="7"/>
      <c r="W866" s="7"/>
      <c r="X866" s="7"/>
      <c r="Y866" s="7"/>
    </row>
    <row r="867" spans="22:25" ht="14.25" customHeight="1" x14ac:dyDescent="0.3">
      <c r="V867" s="7"/>
      <c r="W867" s="7"/>
      <c r="X867" s="7"/>
      <c r="Y867" s="7"/>
    </row>
    <row r="868" spans="22:25" ht="14.25" customHeight="1" x14ac:dyDescent="0.3">
      <c r="V868" s="7"/>
      <c r="W868" s="7"/>
      <c r="X868" s="7"/>
      <c r="Y868" s="7"/>
    </row>
    <row r="869" spans="22:25" ht="14.25" customHeight="1" x14ac:dyDescent="0.3">
      <c r="V869" s="7"/>
      <c r="W869" s="7"/>
      <c r="X869" s="7"/>
      <c r="Y869" s="7"/>
    </row>
    <row r="870" spans="22:25" ht="14.25" customHeight="1" x14ac:dyDescent="0.3">
      <c r="V870" s="7"/>
      <c r="W870" s="7"/>
      <c r="X870" s="7"/>
      <c r="Y870" s="7"/>
    </row>
    <row r="871" spans="22:25" ht="14.25" customHeight="1" x14ac:dyDescent="0.3">
      <c r="V871" s="7"/>
      <c r="W871" s="7"/>
      <c r="X871" s="7"/>
      <c r="Y871" s="7"/>
    </row>
    <row r="872" spans="22:25" ht="14.25" customHeight="1" x14ac:dyDescent="0.3">
      <c r="V872" s="7"/>
      <c r="W872" s="7"/>
      <c r="X872" s="7"/>
      <c r="Y872" s="7"/>
    </row>
    <row r="873" spans="22:25" ht="14.25" customHeight="1" x14ac:dyDescent="0.3">
      <c r="V873" s="7"/>
      <c r="W873" s="7"/>
      <c r="X873" s="7"/>
      <c r="Y873" s="7"/>
    </row>
    <row r="874" spans="22:25" ht="14.25" customHeight="1" x14ac:dyDescent="0.3">
      <c r="V874" s="7"/>
      <c r="W874" s="7"/>
      <c r="X874" s="7"/>
      <c r="Y874" s="7"/>
    </row>
    <row r="875" spans="22:25" ht="14.25" customHeight="1" x14ac:dyDescent="0.3">
      <c r="V875" s="7"/>
      <c r="W875" s="7"/>
      <c r="X875" s="7"/>
      <c r="Y875" s="7"/>
    </row>
    <row r="876" spans="22:25" ht="14.25" customHeight="1" x14ac:dyDescent="0.3">
      <c r="V876" s="7"/>
      <c r="W876" s="7"/>
      <c r="X876" s="7"/>
      <c r="Y876" s="7"/>
    </row>
    <row r="877" spans="22:25" ht="14.25" customHeight="1" x14ac:dyDescent="0.3">
      <c r="V877" s="7"/>
      <c r="W877" s="7"/>
      <c r="X877" s="7"/>
      <c r="Y877" s="7"/>
    </row>
    <row r="878" spans="22:25" ht="14.25" customHeight="1" x14ac:dyDescent="0.3">
      <c r="V878" s="7"/>
      <c r="W878" s="7"/>
      <c r="X878" s="7"/>
      <c r="Y878" s="7"/>
    </row>
    <row r="879" spans="22:25" ht="14.25" customHeight="1" x14ac:dyDescent="0.3">
      <c r="V879" s="7"/>
      <c r="W879" s="7"/>
      <c r="X879" s="7"/>
      <c r="Y879" s="7"/>
    </row>
    <row r="880" spans="22:25" ht="14.25" customHeight="1" x14ac:dyDescent="0.3">
      <c r="V880" s="7"/>
      <c r="W880" s="7"/>
      <c r="X880" s="7"/>
      <c r="Y880" s="7"/>
    </row>
    <row r="881" spans="22:25" ht="14.25" customHeight="1" x14ac:dyDescent="0.3">
      <c r="V881" s="7"/>
      <c r="W881" s="7"/>
      <c r="X881" s="7"/>
      <c r="Y881" s="7"/>
    </row>
    <row r="882" spans="22:25" ht="14.25" customHeight="1" x14ac:dyDescent="0.3">
      <c r="V882" s="7"/>
      <c r="W882" s="7"/>
      <c r="X882" s="7"/>
      <c r="Y882" s="7"/>
    </row>
    <row r="883" spans="22:25" ht="14.25" customHeight="1" x14ac:dyDescent="0.3">
      <c r="V883" s="7"/>
      <c r="W883" s="7"/>
      <c r="X883" s="7"/>
      <c r="Y883" s="7"/>
    </row>
    <row r="884" spans="22:25" ht="14.25" customHeight="1" x14ac:dyDescent="0.3">
      <c r="V884" s="7"/>
      <c r="W884" s="7"/>
      <c r="X884" s="7"/>
      <c r="Y884" s="7"/>
    </row>
    <row r="885" spans="22:25" ht="14.25" customHeight="1" x14ac:dyDescent="0.3">
      <c r="V885" s="7"/>
      <c r="W885" s="7"/>
      <c r="X885" s="7"/>
      <c r="Y885" s="7"/>
    </row>
    <row r="886" spans="22:25" ht="14.25" customHeight="1" x14ac:dyDescent="0.3">
      <c r="V886" s="7"/>
      <c r="W886" s="7"/>
      <c r="X886" s="7"/>
      <c r="Y886" s="7"/>
    </row>
    <row r="887" spans="22:25" ht="14.25" customHeight="1" x14ac:dyDescent="0.3">
      <c r="V887" s="7"/>
      <c r="W887" s="7"/>
      <c r="X887" s="7"/>
      <c r="Y887" s="7"/>
    </row>
    <row r="888" spans="22:25" ht="14.25" customHeight="1" x14ac:dyDescent="0.3">
      <c r="V888" s="7"/>
      <c r="W888" s="7"/>
      <c r="X888" s="7"/>
      <c r="Y888" s="7"/>
    </row>
    <row r="889" spans="22:25" ht="14.25" customHeight="1" x14ac:dyDescent="0.3">
      <c r="V889" s="7"/>
      <c r="W889" s="7"/>
      <c r="X889" s="7"/>
      <c r="Y889" s="7"/>
    </row>
    <row r="890" spans="22:25" ht="14.25" customHeight="1" x14ac:dyDescent="0.3">
      <c r="V890" s="7"/>
      <c r="W890" s="7"/>
      <c r="X890" s="7"/>
      <c r="Y890" s="7"/>
    </row>
    <row r="891" spans="22:25" ht="14.25" customHeight="1" x14ac:dyDescent="0.3">
      <c r="V891" s="7"/>
      <c r="W891" s="7"/>
      <c r="X891" s="7"/>
      <c r="Y891" s="7"/>
    </row>
    <row r="892" spans="22:25" ht="14.25" customHeight="1" x14ac:dyDescent="0.3">
      <c r="V892" s="7"/>
      <c r="W892" s="7"/>
      <c r="X892" s="7"/>
      <c r="Y892" s="7"/>
    </row>
    <row r="893" spans="22:25" ht="14.25" customHeight="1" x14ac:dyDescent="0.3">
      <c r="V893" s="7"/>
      <c r="W893" s="7"/>
      <c r="X893" s="7"/>
      <c r="Y893" s="7"/>
    </row>
    <row r="894" spans="22:25" ht="14.25" customHeight="1" x14ac:dyDescent="0.3">
      <c r="V894" s="7"/>
      <c r="W894" s="7"/>
      <c r="X894" s="7"/>
      <c r="Y894" s="7"/>
    </row>
    <row r="895" spans="22:25" ht="14.25" customHeight="1" x14ac:dyDescent="0.3">
      <c r="V895" s="7"/>
      <c r="W895" s="7"/>
      <c r="X895" s="7"/>
      <c r="Y895" s="7"/>
    </row>
    <row r="896" spans="22:25" ht="14.25" customHeight="1" x14ac:dyDescent="0.3">
      <c r="V896" s="7"/>
      <c r="W896" s="7"/>
      <c r="X896" s="7"/>
      <c r="Y896" s="7"/>
    </row>
    <row r="897" spans="22:25" ht="14.25" customHeight="1" x14ac:dyDescent="0.3">
      <c r="V897" s="7"/>
      <c r="W897" s="7"/>
      <c r="X897" s="7"/>
      <c r="Y897" s="7"/>
    </row>
    <row r="898" spans="22:25" ht="14.25" customHeight="1" x14ac:dyDescent="0.3">
      <c r="V898" s="7"/>
      <c r="W898" s="7"/>
      <c r="X898" s="7"/>
      <c r="Y898" s="7"/>
    </row>
    <row r="899" spans="22:25" ht="14.25" customHeight="1" x14ac:dyDescent="0.3">
      <c r="V899" s="7"/>
      <c r="W899" s="7"/>
      <c r="X899" s="7"/>
      <c r="Y899" s="7"/>
    </row>
    <row r="900" spans="22:25" ht="14.25" customHeight="1" x14ac:dyDescent="0.3">
      <c r="V900" s="7"/>
      <c r="W900" s="7"/>
      <c r="X900" s="7"/>
      <c r="Y900" s="7"/>
    </row>
    <row r="901" spans="22:25" ht="14.25" customHeight="1" x14ac:dyDescent="0.3">
      <c r="V901" s="7"/>
      <c r="W901" s="7"/>
      <c r="X901" s="7"/>
      <c r="Y901" s="7"/>
    </row>
    <row r="902" spans="22:25" ht="14.25" customHeight="1" x14ac:dyDescent="0.3">
      <c r="V902" s="7"/>
      <c r="W902" s="7"/>
      <c r="X902" s="7"/>
      <c r="Y902" s="7"/>
    </row>
    <row r="903" spans="22:25" ht="14.25" customHeight="1" x14ac:dyDescent="0.3">
      <c r="V903" s="7"/>
      <c r="W903" s="7"/>
      <c r="X903" s="7"/>
      <c r="Y903" s="7"/>
    </row>
    <row r="904" spans="22:25" ht="14.25" customHeight="1" x14ac:dyDescent="0.3">
      <c r="V904" s="7"/>
      <c r="W904" s="7"/>
      <c r="X904" s="7"/>
      <c r="Y904" s="7"/>
    </row>
    <row r="905" spans="22:25" ht="14.25" customHeight="1" x14ac:dyDescent="0.3">
      <c r="V905" s="7"/>
      <c r="W905" s="7"/>
      <c r="X905" s="7"/>
      <c r="Y905" s="7"/>
    </row>
    <row r="906" spans="22:25" ht="14.25" customHeight="1" x14ac:dyDescent="0.3">
      <c r="V906" s="7"/>
      <c r="W906" s="7"/>
      <c r="X906" s="7"/>
      <c r="Y906" s="7"/>
    </row>
    <row r="907" spans="22:25" ht="14.25" customHeight="1" x14ac:dyDescent="0.3">
      <c r="V907" s="7"/>
      <c r="W907" s="7"/>
      <c r="X907" s="7"/>
      <c r="Y907" s="7"/>
    </row>
    <row r="908" spans="22:25" ht="14.25" customHeight="1" x14ac:dyDescent="0.3">
      <c r="V908" s="7"/>
      <c r="W908" s="7"/>
      <c r="X908" s="7"/>
      <c r="Y908" s="7"/>
    </row>
    <row r="909" spans="22:25" ht="14.25" customHeight="1" x14ac:dyDescent="0.3">
      <c r="V909" s="7"/>
      <c r="W909" s="7"/>
      <c r="X909" s="7"/>
      <c r="Y909" s="7"/>
    </row>
    <row r="910" spans="22:25" ht="14.25" customHeight="1" x14ac:dyDescent="0.3">
      <c r="V910" s="7"/>
      <c r="W910" s="7"/>
      <c r="X910" s="7"/>
      <c r="Y910" s="7"/>
    </row>
    <row r="911" spans="22:25" ht="14.25" customHeight="1" x14ac:dyDescent="0.3">
      <c r="V911" s="7"/>
      <c r="W911" s="7"/>
      <c r="X911" s="7"/>
      <c r="Y911" s="7"/>
    </row>
    <row r="912" spans="22:25" ht="14.25" customHeight="1" x14ac:dyDescent="0.3">
      <c r="V912" s="7"/>
      <c r="W912" s="7"/>
      <c r="X912" s="7"/>
      <c r="Y912" s="7"/>
    </row>
    <row r="913" spans="22:25" ht="14.25" customHeight="1" x14ac:dyDescent="0.3">
      <c r="V913" s="7"/>
      <c r="W913" s="7"/>
      <c r="X913" s="7"/>
      <c r="Y913" s="7"/>
    </row>
    <row r="914" spans="22:25" ht="14.25" customHeight="1" x14ac:dyDescent="0.3">
      <c r="V914" s="7"/>
      <c r="W914" s="7"/>
      <c r="X914" s="7"/>
      <c r="Y914" s="7"/>
    </row>
    <row r="915" spans="22:25" ht="14.25" customHeight="1" x14ac:dyDescent="0.3">
      <c r="V915" s="7"/>
      <c r="W915" s="7"/>
      <c r="X915" s="7"/>
      <c r="Y915" s="7"/>
    </row>
    <row r="916" spans="22:25" ht="14.25" customHeight="1" x14ac:dyDescent="0.3">
      <c r="V916" s="7"/>
      <c r="W916" s="7"/>
      <c r="X916" s="7"/>
      <c r="Y916" s="7"/>
    </row>
    <row r="917" spans="22:25" ht="14.25" customHeight="1" x14ac:dyDescent="0.3">
      <c r="V917" s="7"/>
      <c r="W917" s="7"/>
      <c r="X917" s="7"/>
      <c r="Y917" s="7"/>
    </row>
    <row r="918" spans="22:25" ht="14.25" customHeight="1" x14ac:dyDescent="0.3">
      <c r="V918" s="7"/>
      <c r="W918" s="7"/>
      <c r="X918" s="7"/>
      <c r="Y918" s="7"/>
    </row>
    <row r="919" spans="22:25" ht="14.25" customHeight="1" x14ac:dyDescent="0.3">
      <c r="V919" s="7"/>
      <c r="W919" s="7"/>
      <c r="X919" s="7"/>
      <c r="Y919" s="7"/>
    </row>
    <row r="920" spans="22:25" ht="14.25" customHeight="1" x14ac:dyDescent="0.3">
      <c r="V920" s="7"/>
      <c r="W920" s="7"/>
      <c r="X920" s="7"/>
      <c r="Y920" s="7"/>
    </row>
    <row r="921" spans="22:25" ht="14.25" customHeight="1" x14ac:dyDescent="0.3">
      <c r="V921" s="7"/>
      <c r="W921" s="7"/>
      <c r="X921" s="7"/>
      <c r="Y921" s="7"/>
    </row>
    <row r="922" spans="22:25" ht="14.25" customHeight="1" x14ac:dyDescent="0.3">
      <c r="V922" s="7"/>
      <c r="W922" s="7"/>
      <c r="X922" s="7"/>
      <c r="Y922" s="7"/>
    </row>
    <row r="923" spans="22:25" ht="14.25" customHeight="1" x14ac:dyDescent="0.3">
      <c r="V923" s="7"/>
      <c r="W923" s="7"/>
      <c r="X923" s="7"/>
      <c r="Y923" s="7"/>
    </row>
    <row r="924" spans="22:25" ht="14.25" customHeight="1" x14ac:dyDescent="0.3">
      <c r="V924" s="7"/>
      <c r="W924" s="7"/>
      <c r="X924" s="7"/>
      <c r="Y924" s="7"/>
    </row>
    <row r="925" spans="22:25" ht="14.25" customHeight="1" x14ac:dyDescent="0.3">
      <c r="V925" s="7"/>
      <c r="W925" s="7"/>
      <c r="X925" s="7"/>
      <c r="Y925" s="7"/>
    </row>
    <row r="926" spans="22:25" ht="14.25" customHeight="1" x14ac:dyDescent="0.3">
      <c r="V926" s="7"/>
      <c r="W926" s="7"/>
      <c r="X926" s="7"/>
      <c r="Y926" s="7"/>
    </row>
    <row r="927" spans="22:25" ht="14.25" customHeight="1" x14ac:dyDescent="0.3">
      <c r="V927" s="7"/>
      <c r="W927" s="7"/>
      <c r="X927" s="7"/>
      <c r="Y927" s="7"/>
    </row>
    <row r="928" spans="22:25" ht="14.25" customHeight="1" x14ac:dyDescent="0.3">
      <c r="V928" s="7"/>
      <c r="W928" s="7"/>
      <c r="X928" s="7"/>
      <c r="Y928" s="7"/>
    </row>
    <row r="929" spans="22:25" ht="14.25" customHeight="1" x14ac:dyDescent="0.3">
      <c r="V929" s="7"/>
      <c r="W929" s="7"/>
      <c r="X929" s="7"/>
      <c r="Y929" s="7"/>
    </row>
    <row r="930" spans="22:25" ht="14.25" customHeight="1" x14ac:dyDescent="0.3">
      <c r="V930" s="7"/>
      <c r="W930" s="7"/>
      <c r="X930" s="7"/>
      <c r="Y930" s="7"/>
    </row>
    <row r="931" spans="22:25" ht="14.25" customHeight="1" x14ac:dyDescent="0.3">
      <c r="V931" s="7"/>
      <c r="W931" s="7"/>
      <c r="X931" s="7"/>
      <c r="Y931" s="7"/>
    </row>
    <row r="932" spans="22:25" ht="14.25" customHeight="1" x14ac:dyDescent="0.3">
      <c r="V932" s="7"/>
      <c r="W932" s="7"/>
      <c r="X932" s="7"/>
      <c r="Y932" s="7"/>
    </row>
    <row r="933" spans="22:25" ht="14.25" customHeight="1" x14ac:dyDescent="0.3">
      <c r="V933" s="7"/>
      <c r="W933" s="7"/>
      <c r="X933" s="7"/>
      <c r="Y933" s="7"/>
    </row>
    <row r="934" spans="22:25" ht="14.25" customHeight="1" x14ac:dyDescent="0.3">
      <c r="V934" s="7"/>
      <c r="W934" s="7"/>
      <c r="X934" s="7"/>
      <c r="Y934" s="7"/>
    </row>
    <row r="935" spans="22:25" ht="14.25" customHeight="1" x14ac:dyDescent="0.3">
      <c r="V935" s="7"/>
      <c r="W935" s="7"/>
      <c r="X935" s="7"/>
      <c r="Y935" s="7"/>
    </row>
    <row r="936" spans="22:25" ht="14.25" customHeight="1" x14ac:dyDescent="0.3">
      <c r="V936" s="7"/>
      <c r="W936" s="7"/>
      <c r="X936" s="7"/>
      <c r="Y936" s="7"/>
    </row>
    <row r="937" spans="22:25" ht="14.25" customHeight="1" x14ac:dyDescent="0.3">
      <c r="V937" s="7"/>
      <c r="W937" s="7"/>
      <c r="X937" s="7"/>
      <c r="Y937" s="7"/>
    </row>
    <row r="938" spans="22:25" ht="14.25" customHeight="1" x14ac:dyDescent="0.3">
      <c r="V938" s="7"/>
      <c r="W938" s="7"/>
      <c r="X938" s="7"/>
      <c r="Y938" s="7"/>
    </row>
    <row r="939" spans="22:25" ht="14.25" customHeight="1" x14ac:dyDescent="0.3">
      <c r="V939" s="7"/>
      <c r="W939" s="7"/>
      <c r="X939" s="7"/>
      <c r="Y939" s="7"/>
    </row>
    <row r="940" spans="22:25" ht="14.25" customHeight="1" x14ac:dyDescent="0.3">
      <c r="V940" s="7"/>
      <c r="W940" s="7"/>
      <c r="X940" s="7"/>
      <c r="Y940" s="7"/>
    </row>
    <row r="941" spans="22:25" ht="14.25" customHeight="1" x14ac:dyDescent="0.3">
      <c r="V941" s="7"/>
      <c r="W941" s="7"/>
      <c r="X941" s="7"/>
      <c r="Y941" s="7"/>
    </row>
    <row r="942" spans="22:25" ht="14.25" customHeight="1" x14ac:dyDescent="0.3">
      <c r="V942" s="7"/>
      <c r="W942" s="7"/>
      <c r="X942" s="7"/>
      <c r="Y942" s="7"/>
    </row>
    <row r="943" spans="22:25" ht="14.25" customHeight="1" x14ac:dyDescent="0.3">
      <c r="V943" s="7"/>
      <c r="W943" s="7"/>
      <c r="X943" s="7"/>
      <c r="Y943" s="7"/>
    </row>
    <row r="944" spans="22:25" ht="14.25" customHeight="1" x14ac:dyDescent="0.3">
      <c r="V944" s="7"/>
      <c r="W944" s="7"/>
      <c r="X944" s="7"/>
      <c r="Y944" s="7"/>
    </row>
    <row r="945" spans="22:25" ht="14.25" customHeight="1" x14ac:dyDescent="0.3">
      <c r="V945" s="7"/>
      <c r="W945" s="7"/>
      <c r="X945" s="7"/>
      <c r="Y945" s="7"/>
    </row>
    <row r="946" spans="22:25" ht="14.25" customHeight="1" x14ac:dyDescent="0.3">
      <c r="V946" s="7"/>
      <c r="W946" s="7"/>
      <c r="X946" s="7"/>
      <c r="Y946" s="7"/>
    </row>
    <row r="947" spans="22:25" ht="14.25" customHeight="1" x14ac:dyDescent="0.3">
      <c r="V947" s="7"/>
      <c r="W947" s="7"/>
      <c r="X947" s="7"/>
      <c r="Y947" s="7"/>
    </row>
    <row r="948" spans="22:25" ht="14.25" customHeight="1" x14ac:dyDescent="0.3">
      <c r="V948" s="7"/>
      <c r="W948" s="7"/>
      <c r="X948" s="7"/>
      <c r="Y948" s="7"/>
    </row>
    <row r="949" spans="22:25" ht="14.25" customHeight="1" x14ac:dyDescent="0.3">
      <c r="V949" s="7"/>
      <c r="W949" s="7"/>
      <c r="X949" s="7"/>
      <c r="Y949" s="7"/>
    </row>
    <row r="950" spans="22:25" ht="14.25" customHeight="1" x14ac:dyDescent="0.3">
      <c r="V950" s="7"/>
      <c r="W950" s="7"/>
      <c r="X950" s="7"/>
      <c r="Y950" s="7"/>
    </row>
    <row r="951" spans="22:25" ht="14.25" customHeight="1" x14ac:dyDescent="0.3">
      <c r="V951" s="7"/>
      <c r="W951" s="7"/>
      <c r="X951" s="7"/>
      <c r="Y951" s="7"/>
    </row>
    <row r="952" spans="22:25" ht="14.25" customHeight="1" x14ac:dyDescent="0.3">
      <c r="V952" s="7"/>
      <c r="W952" s="7"/>
      <c r="X952" s="7"/>
      <c r="Y952" s="7"/>
    </row>
    <row r="953" spans="22:25" ht="14.25" customHeight="1" x14ac:dyDescent="0.3">
      <c r="V953" s="7"/>
      <c r="W953" s="7"/>
      <c r="X953" s="7"/>
      <c r="Y953" s="7"/>
    </row>
    <row r="954" spans="22:25" ht="14.25" customHeight="1" x14ac:dyDescent="0.3">
      <c r="V954" s="7"/>
      <c r="W954" s="7"/>
      <c r="X954" s="7"/>
      <c r="Y954" s="7"/>
    </row>
    <row r="955" spans="22:25" ht="14.25" customHeight="1" x14ac:dyDescent="0.3">
      <c r="V955" s="7"/>
      <c r="W955" s="7"/>
      <c r="X955" s="7"/>
      <c r="Y955" s="7"/>
    </row>
    <row r="956" spans="22:25" ht="14.25" customHeight="1" x14ac:dyDescent="0.3">
      <c r="V956" s="7"/>
      <c r="W956" s="7"/>
      <c r="X956" s="7"/>
      <c r="Y956" s="7"/>
    </row>
    <row r="957" spans="22:25" ht="14.25" customHeight="1" x14ac:dyDescent="0.3">
      <c r="V957" s="7"/>
      <c r="W957" s="7"/>
      <c r="X957" s="7"/>
      <c r="Y957" s="7"/>
    </row>
    <row r="958" spans="22:25" ht="14.25" customHeight="1" x14ac:dyDescent="0.3">
      <c r="V958" s="7"/>
      <c r="W958" s="7"/>
      <c r="X958" s="7"/>
      <c r="Y958" s="7"/>
    </row>
    <row r="959" spans="22:25" ht="14.25" customHeight="1" x14ac:dyDescent="0.3">
      <c r="V959" s="7"/>
      <c r="W959" s="7"/>
      <c r="X959" s="7"/>
      <c r="Y959" s="7"/>
    </row>
    <row r="960" spans="22:25" ht="14.25" customHeight="1" x14ac:dyDescent="0.3">
      <c r="V960" s="7"/>
      <c r="W960" s="7"/>
      <c r="X960" s="7"/>
      <c r="Y960" s="7"/>
    </row>
    <row r="961" spans="22:25" ht="14.25" customHeight="1" x14ac:dyDescent="0.3">
      <c r="V961" s="7"/>
      <c r="W961" s="7"/>
      <c r="X961" s="7"/>
      <c r="Y961" s="7"/>
    </row>
    <row r="962" spans="22:25" ht="14.25" customHeight="1" x14ac:dyDescent="0.3">
      <c r="V962" s="7"/>
      <c r="W962" s="7"/>
      <c r="X962" s="7"/>
      <c r="Y962" s="7"/>
    </row>
    <row r="963" spans="22:25" ht="14.25" customHeight="1" x14ac:dyDescent="0.3">
      <c r="V963" s="7"/>
      <c r="W963" s="7"/>
      <c r="X963" s="7"/>
      <c r="Y963" s="7"/>
    </row>
    <row r="964" spans="22:25" ht="14.25" customHeight="1" x14ac:dyDescent="0.3">
      <c r="V964" s="7"/>
      <c r="W964" s="7"/>
      <c r="X964" s="7"/>
      <c r="Y964" s="7"/>
    </row>
    <row r="965" spans="22:25" ht="14.25" customHeight="1" x14ac:dyDescent="0.3">
      <c r="V965" s="7"/>
      <c r="W965" s="7"/>
      <c r="X965" s="7"/>
      <c r="Y965" s="7"/>
    </row>
    <row r="966" spans="22:25" ht="14.25" customHeight="1" x14ac:dyDescent="0.3">
      <c r="V966" s="7"/>
      <c r="W966" s="7"/>
      <c r="X966" s="7"/>
      <c r="Y966" s="7"/>
    </row>
    <row r="967" spans="22:25" ht="14.25" customHeight="1" x14ac:dyDescent="0.3">
      <c r="V967" s="7"/>
      <c r="W967" s="7"/>
      <c r="X967" s="7"/>
      <c r="Y967" s="7"/>
    </row>
    <row r="968" spans="22:25" ht="14.25" customHeight="1" x14ac:dyDescent="0.3">
      <c r="V968" s="7"/>
      <c r="W968" s="7"/>
      <c r="X968" s="7"/>
      <c r="Y968" s="7"/>
    </row>
    <row r="969" spans="22:25" ht="14.25" customHeight="1" x14ac:dyDescent="0.3">
      <c r="V969" s="7"/>
      <c r="W969" s="7"/>
      <c r="X969" s="7"/>
      <c r="Y969" s="7"/>
    </row>
    <row r="970" spans="22:25" ht="14.25" customHeight="1" x14ac:dyDescent="0.3">
      <c r="V970" s="7"/>
      <c r="W970" s="7"/>
      <c r="X970" s="7"/>
      <c r="Y970" s="7"/>
    </row>
    <row r="971" spans="22:25" ht="14.25" customHeight="1" x14ac:dyDescent="0.3">
      <c r="V971" s="7"/>
      <c r="W971" s="7"/>
      <c r="X971" s="7"/>
      <c r="Y971" s="7"/>
    </row>
    <row r="972" spans="22:25" ht="14.25" customHeight="1" x14ac:dyDescent="0.3">
      <c r="V972" s="7"/>
      <c r="W972" s="7"/>
      <c r="X972" s="7"/>
      <c r="Y972" s="7"/>
    </row>
    <row r="973" spans="22:25" ht="14.25" customHeight="1" x14ac:dyDescent="0.3">
      <c r="V973" s="7"/>
      <c r="W973" s="7"/>
      <c r="X973" s="7"/>
      <c r="Y973" s="7"/>
    </row>
    <row r="974" spans="22:25" ht="14.25" customHeight="1" x14ac:dyDescent="0.3">
      <c r="V974" s="7"/>
      <c r="W974" s="7"/>
      <c r="X974" s="7"/>
      <c r="Y974" s="7"/>
    </row>
    <row r="975" spans="22:25" ht="14.25" customHeight="1" x14ac:dyDescent="0.3">
      <c r="V975" s="7"/>
      <c r="W975" s="7"/>
      <c r="X975" s="7"/>
      <c r="Y975" s="7"/>
    </row>
    <row r="976" spans="22:25" ht="14.25" customHeight="1" x14ac:dyDescent="0.3">
      <c r="V976" s="7"/>
      <c r="W976" s="7"/>
      <c r="X976" s="7"/>
      <c r="Y976" s="7"/>
    </row>
    <row r="977" spans="22:25" ht="14.25" customHeight="1" x14ac:dyDescent="0.3">
      <c r="V977" s="7"/>
      <c r="W977" s="7"/>
      <c r="X977" s="7"/>
      <c r="Y977" s="7"/>
    </row>
    <row r="978" spans="22:25" ht="14.25" customHeight="1" x14ac:dyDescent="0.3">
      <c r="V978" s="7"/>
      <c r="W978" s="7"/>
      <c r="X978" s="7"/>
      <c r="Y978" s="7"/>
    </row>
    <row r="979" spans="22:25" ht="14.25" customHeight="1" x14ac:dyDescent="0.3">
      <c r="V979" s="7"/>
      <c r="W979" s="7"/>
      <c r="X979" s="7"/>
      <c r="Y979" s="7"/>
    </row>
    <row r="980" spans="22:25" ht="14.25" customHeight="1" x14ac:dyDescent="0.3">
      <c r="V980" s="7"/>
      <c r="W980" s="7"/>
      <c r="X980" s="7"/>
      <c r="Y980" s="7"/>
    </row>
    <row r="981" spans="22:25" ht="14.25" customHeight="1" x14ac:dyDescent="0.3">
      <c r="V981" s="7"/>
      <c r="W981" s="7"/>
      <c r="X981" s="7"/>
      <c r="Y981" s="7"/>
    </row>
    <row r="982" spans="22:25" ht="14.25" customHeight="1" x14ac:dyDescent="0.3">
      <c r="V982" s="7"/>
      <c r="W982" s="7"/>
      <c r="X982" s="7"/>
      <c r="Y982" s="7"/>
    </row>
    <row r="983" spans="22:25" ht="14.25" customHeight="1" x14ac:dyDescent="0.3">
      <c r="V983" s="7"/>
      <c r="W983" s="7"/>
      <c r="X983" s="7"/>
      <c r="Y983" s="7"/>
    </row>
    <row r="984" spans="22:25" ht="14.25" customHeight="1" x14ac:dyDescent="0.3">
      <c r="V984" s="7"/>
      <c r="W984" s="7"/>
      <c r="X984" s="7"/>
      <c r="Y984" s="7"/>
    </row>
    <row r="985" spans="22:25" ht="14.25" customHeight="1" x14ac:dyDescent="0.3">
      <c r="V985" s="7"/>
      <c r="W985" s="7"/>
      <c r="X985" s="7"/>
      <c r="Y985" s="7"/>
    </row>
    <row r="986" spans="22:25" ht="14.25" customHeight="1" x14ac:dyDescent="0.3">
      <c r="V986" s="7"/>
      <c r="W986" s="7"/>
      <c r="X986" s="7"/>
      <c r="Y986" s="7"/>
    </row>
    <row r="987" spans="22:25" ht="14.25" customHeight="1" x14ac:dyDescent="0.3">
      <c r="V987" s="7"/>
      <c r="W987" s="7"/>
      <c r="X987" s="7"/>
      <c r="Y987" s="7"/>
    </row>
    <row r="988" spans="22:25" ht="14.25" customHeight="1" x14ac:dyDescent="0.3">
      <c r="V988" s="7"/>
      <c r="W988" s="7"/>
      <c r="X988" s="7"/>
      <c r="Y988" s="7"/>
    </row>
    <row r="989" spans="22:25" ht="14.25" customHeight="1" x14ac:dyDescent="0.3">
      <c r="V989" s="7"/>
      <c r="W989" s="7"/>
      <c r="X989" s="7"/>
      <c r="Y989" s="7"/>
    </row>
    <row r="990" spans="22:25" ht="14.25" customHeight="1" x14ac:dyDescent="0.3">
      <c r="V990" s="7"/>
      <c r="W990" s="7"/>
      <c r="X990" s="7"/>
      <c r="Y990" s="7"/>
    </row>
    <row r="991" spans="22:25" ht="14.25" customHeight="1" x14ac:dyDescent="0.3">
      <c r="V991" s="7"/>
      <c r="W991" s="7"/>
      <c r="X991" s="7"/>
      <c r="Y991" s="7"/>
    </row>
    <row r="992" spans="22:25" ht="14.25" customHeight="1" x14ac:dyDescent="0.3">
      <c r="V992" s="7"/>
      <c r="W992" s="7"/>
      <c r="X992" s="7"/>
      <c r="Y992" s="7"/>
    </row>
    <row r="993" spans="22:25" ht="14.25" customHeight="1" x14ac:dyDescent="0.3">
      <c r="V993" s="7"/>
      <c r="W993" s="7"/>
      <c r="X993" s="7"/>
      <c r="Y993" s="7"/>
    </row>
    <row r="994" spans="22:25" ht="14.25" customHeight="1" x14ac:dyDescent="0.3">
      <c r="V994" s="7"/>
      <c r="W994" s="7"/>
      <c r="X994" s="7"/>
      <c r="Y994" s="7"/>
    </row>
    <row r="995" spans="22:25" ht="14.25" customHeight="1" x14ac:dyDescent="0.3">
      <c r="V995" s="7"/>
      <c r="W995" s="7"/>
      <c r="X995" s="7"/>
      <c r="Y995" s="7"/>
    </row>
    <row r="996" spans="22:25" ht="14.25" customHeight="1" x14ac:dyDescent="0.3">
      <c r="V996" s="7"/>
      <c r="W996" s="7"/>
      <c r="X996" s="7"/>
      <c r="Y996" s="7"/>
    </row>
    <row r="997" spans="22:25" ht="14.25" customHeight="1" x14ac:dyDescent="0.3">
      <c r="V997" s="7"/>
      <c r="W997" s="7"/>
      <c r="X997" s="7"/>
      <c r="Y997" s="7"/>
    </row>
    <row r="998" spans="22:25" ht="14.25" customHeight="1" x14ac:dyDescent="0.3">
      <c r="V998" s="7"/>
      <c r="W998" s="7"/>
      <c r="X998" s="7"/>
      <c r="Y998" s="7"/>
    </row>
    <row r="999" spans="22:25" ht="14.25" customHeight="1" x14ac:dyDescent="0.3">
      <c r="V999" s="7"/>
      <c r="W999" s="7"/>
      <c r="X999" s="7"/>
      <c r="Y999" s="7"/>
    </row>
    <row r="1000" spans="22:25" ht="14.25" customHeight="1" x14ac:dyDescent="0.3">
      <c r="V1000" s="7"/>
      <c r="W1000" s="7"/>
      <c r="X1000" s="7"/>
      <c r="Y1000" s="7"/>
    </row>
  </sheetData>
  <autoFilter ref="A1:AO1" xr:uid="{00000000-0001-0000-0000-000000000000}"/>
  <sortState xmlns:xlrd2="http://schemas.microsoft.com/office/spreadsheetml/2017/richdata2" ref="A2:AO1000">
    <sortCondition ref="A1:A1000"/>
  </sortState>
  <phoneticPr fontId="11" type="noConversion"/>
  <hyperlinks>
    <hyperlink ref="G87" r:id="rId1" xr:uid="{00000000-0004-0000-0000-000000000000}"/>
    <hyperlink ref="H87" r:id="rId2" xr:uid="{00000000-0004-0000-0000-000001000000}"/>
    <hyperlink ref="I87" r:id="rId3" xr:uid="{00000000-0004-0000-0000-000002000000}"/>
    <hyperlink ref="G88" r:id="rId4" xr:uid="{00000000-0004-0000-0000-000003000000}"/>
    <hyperlink ref="H88" r:id="rId5" xr:uid="{00000000-0004-0000-0000-000004000000}"/>
    <hyperlink ref="I88" r:id="rId6" xr:uid="{00000000-0004-0000-0000-000005000000}"/>
    <hyperlink ref="G89" r:id="rId7" xr:uid="{00000000-0004-0000-0000-000006000000}"/>
    <hyperlink ref="H89" r:id="rId8" xr:uid="{00000000-0004-0000-0000-000007000000}"/>
    <hyperlink ref="I89" r:id="rId9" xr:uid="{00000000-0004-0000-0000-000008000000}"/>
    <hyperlink ref="G84" r:id="rId10" xr:uid="{00000000-0004-0000-0000-000009000000}"/>
    <hyperlink ref="H84" r:id="rId11" xr:uid="{00000000-0004-0000-0000-00000A000000}"/>
    <hyperlink ref="I84" r:id="rId12" xr:uid="{00000000-0004-0000-0000-00000B000000}"/>
    <hyperlink ref="G85" r:id="rId13" xr:uid="{00000000-0004-0000-0000-00000C000000}"/>
    <hyperlink ref="H85" r:id="rId14" xr:uid="{00000000-0004-0000-0000-00000D000000}"/>
    <hyperlink ref="I85" r:id="rId15" xr:uid="{00000000-0004-0000-0000-00000E000000}"/>
    <hyperlink ref="G86" r:id="rId16" xr:uid="{00000000-0004-0000-0000-00000F000000}"/>
    <hyperlink ref="H86" r:id="rId17" xr:uid="{00000000-0004-0000-0000-000010000000}"/>
    <hyperlink ref="I86" r:id="rId18" xr:uid="{00000000-0004-0000-0000-000011000000}"/>
    <hyperlink ref="G90" r:id="rId19" xr:uid="{00000000-0004-0000-0000-000012000000}"/>
    <hyperlink ref="H90" r:id="rId20" xr:uid="{00000000-0004-0000-0000-000013000000}"/>
    <hyperlink ref="I90" r:id="rId21" xr:uid="{00000000-0004-0000-0000-000014000000}"/>
    <hyperlink ref="G91" r:id="rId22" xr:uid="{00000000-0004-0000-0000-000015000000}"/>
    <hyperlink ref="H91" r:id="rId23" xr:uid="{00000000-0004-0000-0000-000016000000}"/>
    <hyperlink ref="I91" r:id="rId24" xr:uid="{00000000-0004-0000-0000-000017000000}"/>
    <hyperlink ref="G92" r:id="rId25" xr:uid="{00000000-0004-0000-0000-000018000000}"/>
    <hyperlink ref="H92" r:id="rId26" xr:uid="{00000000-0004-0000-0000-000019000000}"/>
    <hyperlink ref="I92" r:id="rId27" xr:uid="{00000000-0004-0000-0000-00001A000000}"/>
    <hyperlink ref="G133" r:id="rId28" xr:uid="{00000000-0004-0000-0000-00001B000000}"/>
    <hyperlink ref="H133" r:id="rId29" xr:uid="{00000000-0004-0000-0000-00001C000000}"/>
    <hyperlink ref="I133" r:id="rId30" xr:uid="{00000000-0004-0000-0000-00001D000000}"/>
    <hyperlink ref="G134" r:id="rId31" xr:uid="{00000000-0004-0000-0000-00001E000000}"/>
    <hyperlink ref="H134" r:id="rId32" xr:uid="{00000000-0004-0000-0000-00001F000000}"/>
    <hyperlink ref="I134" r:id="rId33" xr:uid="{00000000-0004-0000-0000-000020000000}"/>
    <hyperlink ref="G135" r:id="rId34" xr:uid="{00000000-0004-0000-0000-000021000000}"/>
    <hyperlink ref="H135" r:id="rId35" xr:uid="{00000000-0004-0000-0000-000022000000}"/>
    <hyperlink ref="I135" r:id="rId36" xr:uid="{00000000-0004-0000-0000-000023000000}"/>
    <hyperlink ref="G136" r:id="rId37" xr:uid="{00000000-0004-0000-0000-000024000000}"/>
    <hyperlink ref="H136" r:id="rId38" xr:uid="{00000000-0004-0000-0000-000025000000}"/>
    <hyperlink ref="I136" r:id="rId39" xr:uid="{00000000-0004-0000-0000-000026000000}"/>
    <hyperlink ref="G137" r:id="rId40" xr:uid="{00000000-0004-0000-0000-000027000000}"/>
    <hyperlink ref="H137" r:id="rId41" xr:uid="{00000000-0004-0000-0000-000028000000}"/>
    <hyperlink ref="I137" r:id="rId42" xr:uid="{00000000-0004-0000-0000-000029000000}"/>
    <hyperlink ref="G323" r:id="rId43" xr:uid="{00000000-0004-0000-0000-00002A000000}"/>
    <hyperlink ref="H323" r:id="rId44" xr:uid="{00000000-0004-0000-0000-00002B000000}"/>
    <hyperlink ref="I323" r:id="rId45" xr:uid="{00000000-0004-0000-0000-00002C000000}"/>
    <hyperlink ref="G324" r:id="rId46" xr:uid="{00000000-0004-0000-0000-00002D000000}"/>
    <hyperlink ref="H324" r:id="rId47" xr:uid="{00000000-0004-0000-0000-00002E000000}"/>
    <hyperlink ref="I324" r:id="rId48" xr:uid="{00000000-0004-0000-0000-00002F000000}"/>
    <hyperlink ref="G325" r:id="rId49" xr:uid="{00000000-0004-0000-0000-000030000000}"/>
    <hyperlink ref="H325" r:id="rId50" xr:uid="{00000000-0004-0000-0000-000031000000}"/>
    <hyperlink ref="I325" r:id="rId51" xr:uid="{00000000-0004-0000-0000-000032000000}"/>
    <hyperlink ref="G326" r:id="rId52" xr:uid="{00000000-0004-0000-0000-000033000000}"/>
    <hyperlink ref="H326" r:id="rId53" xr:uid="{00000000-0004-0000-0000-000034000000}"/>
    <hyperlink ref="I326" r:id="rId54" xr:uid="{00000000-0004-0000-0000-000035000000}"/>
    <hyperlink ref="G327" r:id="rId55" xr:uid="{00000000-0004-0000-0000-000036000000}"/>
    <hyperlink ref="H327" r:id="rId56" xr:uid="{00000000-0004-0000-0000-000037000000}"/>
    <hyperlink ref="I327" r:id="rId57" xr:uid="{00000000-0004-0000-0000-000038000000}"/>
    <hyperlink ref="G328" r:id="rId58" xr:uid="{00000000-0004-0000-0000-000039000000}"/>
    <hyperlink ref="H328" r:id="rId59" xr:uid="{00000000-0004-0000-0000-00003A000000}"/>
    <hyperlink ref="I328" r:id="rId60" xr:uid="{00000000-0004-0000-0000-00003B000000}"/>
    <hyperlink ref="G329" r:id="rId61" xr:uid="{00000000-0004-0000-0000-00003C000000}"/>
    <hyperlink ref="H329" r:id="rId62" xr:uid="{00000000-0004-0000-0000-00003D000000}"/>
    <hyperlink ref="I329" r:id="rId63" xr:uid="{00000000-0004-0000-0000-00003E000000}"/>
    <hyperlink ref="G330" r:id="rId64" xr:uid="{00000000-0004-0000-0000-00003F000000}"/>
    <hyperlink ref="H330" r:id="rId65" xr:uid="{00000000-0004-0000-0000-000040000000}"/>
    <hyperlink ref="I330" r:id="rId66" xr:uid="{00000000-0004-0000-0000-000041000000}"/>
    <hyperlink ref="G331" r:id="rId67" xr:uid="{00000000-0004-0000-0000-000042000000}"/>
    <hyperlink ref="H331" r:id="rId68" xr:uid="{00000000-0004-0000-0000-000043000000}"/>
    <hyperlink ref="I331" r:id="rId69" xr:uid="{00000000-0004-0000-0000-000044000000}"/>
    <hyperlink ref="G332" r:id="rId70" xr:uid="{00000000-0004-0000-0000-000045000000}"/>
    <hyperlink ref="H332" r:id="rId71" xr:uid="{00000000-0004-0000-0000-000046000000}"/>
    <hyperlink ref="I332" r:id="rId72" xr:uid="{00000000-0004-0000-0000-000047000000}"/>
    <hyperlink ref="G333" r:id="rId73" xr:uid="{00000000-0004-0000-0000-000048000000}"/>
    <hyperlink ref="H333" r:id="rId74" xr:uid="{00000000-0004-0000-0000-000049000000}"/>
    <hyperlink ref="I333" r:id="rId75" xr:uid="{00000000-0004-0000-0000-00004A000000}"/>
    <hyperlink ref="G334" r:id="rId76" xr:uid="{00000000-0004-0000-0000-00004B000000}"/>
    <hyperlink ref="H334" r:id="rId77" xr:uid="{00000000-0004-0000-0000-00004C000000}"/>
    <hyperlink ref="I334" r:id="rId78" xr:uid="{00000000-0004-0000-0000-00004D000000}"/>
    <hyperlink ref="G335" r:id="rId79" xr:uid="{00000000-0004-0000-0000-00004E000000}"/>
    <hyperlink ref="H335" r:id="rId80" xr:uid="{00000000-0004-0000-0000-00004F000000}"/>
    <hyperlink ref="I335" r:id="rId81" xr:uid="{00000000-0004-0000-0000-000050000000}"/>
    <hyperlink ref="G336" r:id="rId82" xr:uid="{00000000-0004-0000-0000-000051000000}"/>
    <hyperlink ref="H336" r:id="rId83" xr:uid="{00000000-0004-0000-0000-000052000000}"/>
    <hyperlink ref="I336" r:id="rId84" xr:uid="{00000000-0004-0000-0000-000053000000}"/>
    <hyperlink ref="G337" r:id="rId85" xr:uid="{00000000-0004-0000-0000-000054000000}"/>
    <hyperlink ref="H337" r:id="rId86" xr:uid="{00000000-0004-0000-0000-000055000000}"/>
    <hyperlink ref="I337" r:id="rId87" xr:uid="{00000000-0004-0000-0000-000056000000}"/>
    <hyperlink ref="G218" r:id="rId88" xr:uid="{00000000-0004-0000-0000-000057000000}"/>
    <hyperlink ref="H218" r:id="rId89" xr:uid="{00000000-0004-0000-0000-000058000000}"/>
    <hyperlink ref="I218" r:id="rId90" xr:uid="{00000000-0004-0000-0000-000059000000}"/>
    <hyperlink ref="G217" r:id="rId91" xr:uid="{00000000-0004-0000-0000-00005A000000}"/>
    <hyperlink ref="H217" r:id="rId92" xr:uid="{00000000-0004-0000-0000-00005B000000}"/>
    <hyperlink ref="I217" r:id="rId93" xr:uid="{00000000-0004-0000-0000-00005C000000}"/>
    <hyperlink ref="G151" r:id="rId94" xr:uid="{00000000-0004-0000-0000-00005D000000}"/>
    <hyperlink ref="H151" r:id="rId95" xr:uid="{00000000-0004-0000-0000-00005E000000}"/>
    <hyperlink ref="I151" r:id="rId96" xr:uid="{00000000-0004-0000-0000-00005F000000}"/>
    <hyperlink ref="G152" r:id="rId97" xr:uid="{00000000-0004-0000-0000-000060000000}"/>
    <hyperlink ref="H152" r:id="rId98" xr:uid="{00000000-0004-0000-0000-000061000000}"/>
    <hyperlink ref="I152" r:id="rId99" xr:uid="{00000000-0004-0000-0000-000062000000}"/>
    <hyperlink ref="G153" r:id="rId100" xr:uid="{00000000-0004-0000-0000-000063000000}"/>
    <hyperlink ref="H153" r:id="rId101" xr:uid="{00000000-0004-0000-0000-000064000000}"/>
    <hyperlink ref="I153" r:id="rId102" xr:uid="{00000000-0004-0000-0000-000065000000}"/>
    <hyperlink ref="G154" r:id="rId103" xr:uid="{00000000-0004-0000-0000-000066000000}"/>
    <hyperlink ref="H154" r:id="rId104" xr:uid="{00000000-0004-0000-0000-000067000000}"/>
    <hyperlink ref="I154" r:id="rId105" xr:uid="{00000000-0004-0000-0000-000068000000}"/>
    <hyperlink ref="G155" r:id="rId106" xr:uid="{00000000-0004-0000-0000-000069000000}"/>
    <hyperlink ref="H155" r:id="rId107" xr:uid="{00000000-0004-0000-0000-00006A000000}"/>
    <hyperlink ref="I155" r:id="rId108" xr:uid="{00000000-0004-0000-0000-00006B000000}"/>
    <hyperlink ref="G156" r:id="rId109" xr:uid="{00000000-0004-0000-0000-00006C000000}"/>
    <hyperlink ref="H156" r:id="rId110" xr:uid="{00000000-0004-0000-0000-00006D000000}"/>
    <hyperlink ref="I156" r:id="rId111" xr:uid="{00000000-0004-0000-0000-00006E000000}"/>
    <hyperlink ref="G227" r:id="rId112" xr:uid="{00000000-0004-0000-0000-00006F000000}"/>
    <hyperlink ref="H227" r:id="rId113" xr:uid="{00000000-0004-0000-0000-000070000000}"/>
    <hyperlink ref="I227" r:id="rId114" xr:uid="{00000000-0004-0000-0000-000071000000}"/>
    <hyperlink ref="G226" r:id="rId115" xr:uid="{00000000-0004-0000-0000-000072000000}"/>
    <hyperlink ref="H226" r:id="rId116" xr:uid="{00000000-0004-0000-0000-000073000000}"/>
    <hyperlink ref="I226" r:id="rId117" xr:uid="{00000000-0004-0000-0000-000074000000}"/>
    <hyperlink ref="G26" r:id="rId118" xr:uid="{00000000-0004-0000-0000-000075000000}"/>
    <hyperlink ref="H26" r:id="rId119" xr:uid="{00000000-0004-0000-0000-000076000000}"/>
    <hyperlink ref="I26" r:id="rId120" xr:uid="{00000000-0004-0000-0000-000077000000}"/>
    <hyperlink ref="G27" r:id="rId121" xr:uid="{00000000-0004-0000-0000-000078000000}"/>
    <hyperlink ref="H27" r:id="rId122" xr:uid="{00000000-0004-0000-0000-000079000000}"/>
    <hyperlink ref="I27" r:id="rId123" xr:uid="{00000000-0004-0000-0000-00007A000000}"/>
    <hyperlink ref="G28" r:id="rId124" xr:uid="{00000000-0004-0000-0000-00007B000000}"/>
    <hyperlink ref="H28" r:id="rId125" xr:uid="{00000000-0004-0000-0000-00007C000000}"/>
    <hyperlink ref="I28" r:id="rId126" xr:uid="{00000000-0004-0000-0000-00007D000000}"/>
    <hyperlink ref="G29" r:id="rId127" xr:uid="{00000000-0004-0000-0000-00007E000000}"/>
    <hyperlink ref="H29" r:id="rId128" xr:uid="{00000000-0004-0000-0000-00007F000000}"/>
    <hyperlink ref="I29" r:id="rId129" xr:uid="{00000000-0004-0000-0000-000080000000}"/>
    <hyperlink ref="G30" r:id="rId130" xr:uid="{00000000-0004-0000-0000-000081000000}"/>
    <hyperlink ref="H30" r:id="rId131" xr:uid="{00000000-0004-0000-0000-000082000000}"/>
    <hyperlink ref="I30" r:id="rId132" xr:uid="{00000000-0004-0000-0000-000083000000}"/>
    <hyperlink ref="G31" r:id="rId133" xr:uid="{00000000-0004-0000-0000-000084000000}"/>
    <hyperlink ref="H31" r:id="rId134" xr:uid="{00000000-0004-0000-0000-000085000000}"/>
    <hyperlink ref="I31" r:id="rId135" xr:uid="{00000000-0004-0000-0000-000086000000}"/>
    <hyperlink ref="G32" r:id="rId136" xr:uid="{00000000-0004-0000-0000-000087000000}"/>
    <hyperlink ref="H32" r:id="rId137" xr:uid="{00000000-0004-0000-0000-000088000000}"/>
    <hyperlink ref="I32" r:id="rId138" xr:uid="{00000000-0004-0000-0000-000089000000}"/>
    <hyperlink ref="G16" r:id="rId139" xr:uid="{00000000-0004-0000-0000-00008A000000}"/>
    <hyperlink ref="H16" r:id="rId140" xr:uid="{00000000-0004-0000-0000-00008B000000}"/>
    <hyperlink ref="I16" r:id="rId141" xr:uid="{00000000-0004-0000-0000-00008C000000}"/>
    <hyperlink ref="G17" r:id="rId142" xr:uid="{00000000-0004-0000-0000-00008D000000}"/>
    <hyperlink ref="H17" r:id="rId143" xr:uid="{00000000-0004-0000-0000-00008E000000}"/>
    <hyperlink ref="I17" r:id="rId144" xr:uid="{00000000-0004-0000-0000-00008F000000}"/>
    <hyperlink ref="G18" r:id="rId145" xr:uid="{00000000-0004-0000-0000-000090000000}"/>
    <hyperlink ref="H18" r:id="rId146" xr:uid="{00000000-0004-0000-0000-000091000000}"/>
    <hyperlink ref="I18" r:id="rId147" xr:uid="{00000000-0004-0000-0000-000092000000}"/>
    <hyperlink ref="G19" r:id="rId148" xr:uid="{00000000-0004-0000-0000-000093000000}"/>
    <hyperlink ref="H19" r:id="rId149" xr:uid="{00000000-0004-0000-0000-000094000000}"/>
    <hyperlink ref="I19" r:id="rId150" xr:uid="{00000000-0004-0000-0000-000095000000}"/>
    <hyperlink ref="G20" r:id="rId151" xr:uid="{00000000-0004-0000-0000-000096000000}"/>
    <hyperlink ref="H20" r:id="rId152" xr:uid="{00000000-0004-0000-0000-000097000000}"/>
    <hyperlink ref="I20" r:id="rId153" xr:uid="{00000000-0004-0000-0000-000098000000}"/>
    <hyperlink ref="G21" r:id="rId154" xr:uid="{00000000-0004-0000-0000-000099000000}"/>
    <hyperlink ref="H21" r:id="rId155" xr:uid="{00000000-0004-0000-0000-00009A000000}"/>
    <hyperlink ref="I21" r:id="rId156" xr:uid="{00000000-0004-0000-0000-00009B000000}"/>
    <hyperlink ref="G22" r:id="rId157" xr:uid="{00000000-0004-0000-0000-00009C000000}"/>
    <hyperlink ref="H22" r:id="rId158" xr:uid="{00000000-0004-0000-0000-00009D000000}"/>
    <hyperlink ref="I22" r:id="rId159" xr:uid="{00000000-0004-0000-0000-00009E000000}"/>
    <hyperlink ref="G23" r:id="rId160" xr:uid="{00000000-0004-0000-0000-00009F000000}"/>
    <hyperlink ref="H23" r:id="rId161" xr:uid="{00000000-0004-0000-0000-0000A0000000}"/>
    <hyperlink ref="I23" r:id="rId162" xr:uid="{00000000-0004-0000-0000-0000A1000000}"/>
    <hyperlink ref="G24" r:id="rId163" xr:uid="{00000000-0004-0000-0000-0000A2000000}"/>
    <hyperlink ref="H24" r:id="rId164" xr:uid="{00000000-0004-0000-0000-0000A3000000}"/>
    <hyperlink ref="I24" r:id="rId165" xr:uid="{00000000-0004-0000-0000-0000A4000000}"/>
    <hyperlink ref="G25" r:id="rId166" xr:uid="{00000000-0004-0000-0000-0000A5000000}"/>
    <hyperlink ref="H25" r:id="rId167" xr:uid="{00000000-0004-0000-0000-0000A6000000}"/>
    <hyperlink ref="I25" r:id="rId168" xr:uid="{00000000-0004-0000-0000-0000A7000000}"/>
    <hyperlink ref="G2" r:id="rId169" xr:uid="{00000000-0004-0000-0000-0000A8000000}"/>
    <hyperlink ref="H2" r:id="rId170" xr:uid="{00000000-0004-0000-0000-0000A9000000}"/>
    <hyperlink ref="I2" r:id="rId171" xr:uid="{00000000-0004-0000-0000-0000AA000000}"/>
    <hyperlink ref="G3" r:id="rId172" xr:uid="{00000000-0004-0000-0000-0000AB000000}"/>
    <hyperlink ref="H3" r:id="rId173" xr:uid="{00000000-0004-0000-0000-0000AC000000}"/>
    <hyperlink ref="I3" r:id="rId174" xr:uid="{00000000-0004-0000-0000-0000AD000000}"/>
    <hyperlink ref="G4" r:id="rId175" xr:uid="{00000000-0004-0000-0000-0000AE000000}"/>
    <hyperlink ref="H4" r:id="rId176" xr:uid="{00000000-0004-0000-0000-0000AF000000}"/>
    <hyperlink ref="I4" r:id="rId177" xr:uid="{00000000-0004-0000-0000-0000B0000000}"/>
    <hyperlink ref="G5" r:id="rId178" xr:uid="{00000000-0004-0000-0000-0000B1000000}"/>
    <hyperlink ref="H5" r:id="rId179" xr:uid="{00000000-0004-0000-0000-0000B2000000}"/>
    <hyperlink ref="I5" r:id="rId180" xr:uid="{00000000-0004-0000-0000-0000B3000000}"/>
    <hyperlink ref="G6" r:id="rId181" xr:uid="{00000000-0004-0000-0000-0000B4000000}"/>
    <hyperlink ref="H6" r:id="rId182" xr:uid="{00000000-0004-0000-0000-0000B5000000}"/>
    <hyperlink ref="I6" r:id="rId183" xr:uid="{00000000-0004-0000-0000-0000B6000000}"/>
    <hyperlink ref="G7" r:id="rId184" xr:uid="{00000000-0004-0000-0000-0000B7000000}"/>
    <hyperlink ref="H7" r:id="rId185" xr:uid="{00000000-0004-0000-0000-0000B8000000}"/>
    <hyperlink ref="I7" r:id="rId186" xr:uid="{00000000-0004-0000-0000-0000B9000000}"/>
    <hyperlink ref="G8" r:id="rId187" xr:uid="{00000000-0004-0000-0000-0000BA000000}"/>
    <hyperlink ref="H8" r:id="rId188" xr:uid="{00000000-0004-0000-0000-0000BB000000}"/>
    <hyperlink ref="I8" r:id="rId189" xr:uid="{00000000-0004-0000-0000-0000BC000000}"/>
    <hyperlink ref="G9" r:id="rId190" xr:uid="{00000000-0004-0000-0000-0000BD000000}"/>
    <hyperlink ref="H9" r:id="rId191" xr:uid="{00000000-0004-0000-0000-0000BE000000}"/>
    <hyperlink ref="I9" r:id="rId192" xr:uid="{00000000-0004-0000-0000-0000BF000000}"/>
    <hyperlink ref="G10" r:id="rId193" xr:uid="{00000000-0004-0000-0000-0000C0000000}"/>
    <hyperlink ref="H10" r:id="rId194" xr:uid="{00000000-0004-0000-0000-0000C1000000}"/>
    <hyperlink ref="I10" r:id="rId195" xr:uid="{00000000-0004-0000-0000-0000C2000000}"/>
    <hyperlink ref="G11" r:id="rId196" xr:uid="{00000000-0004-0000-0000-0000C3000000}"/>
    <hyperlink ref="H11" r:id="rId197" xr:uid="{00000000-0004-0000-0000-0000C4000000}"/>
    <hyperlink ref="I11" r:id="rId198" xr:uid="{00000000-0004-0000-0000-0000C5000000}"/>
    <hyperlink ref="G12" r:id="rId199" xr:uid="{00000000-0004-0000-0000-0000C6000000}"/>
    <hyperlink ref="H12" r:id="rId200" xr:uid="{00000000-0004-0000-0000-0000C7000000}"/>
    <hyperlink ref="I12" r:id="rId201" xr:uid="{00000000-0004-0000-0000-0000C8000000}"/>
    <hyperlink ref="G13" r:id="rId202" xr:uid="{00000000-0004-0000-0000-0000C9000000}"/>
    <hyperlink ref="H13" r:id="rId203" xr:uid="{00000000-0004-0000-0000-0000CA000000}"/>
    <hyperlink ref="I13" r:id="rId204" xr:uid="{00000000-0004-0000-0000-0000CB000000}"/>
    <hyperlink ref="G14" r:id="rId205" xr:uid="{00000000-0004-0000-0000-0000CC000000}"/>
    <hyperlink ref="H14" r:id="rId206" xr:uid="{00000000-0004-0000-0000-0000CD000000}"/>
    <hyperlink ref="I14" r:id="rId207" xr:uid="{00000000-0004-0000-0000-0000CE000000}"/>
    <hyperlink ref="G15" r:id="rId208" xr:uid="{00000000-0004-0000-0000-0000CF000000}"/>
    <hyperlink ref="H15" r:id="rId209" xr:uid="{00000000-0004-0000-0000-0000D0000000}"/>
    <hyperlink ref="I15" r:id="rId210" xr:uid="{00000000-0004-0000-0000-0000D1000000}"/>
    <hyperlink ref="G641" r:id="rId211" xr:uid="{00000000-0004-0000-0000-0000D2000000}"/>
    <hyperlink ref="H641" r:id="rId212" xr:uid="{00000000-0004-0000-0000-0000D3000000}"/>
    <hyperlink ref="I641" r:id="rId213" xr:uid="{00000000-0004-0000-0000-0000D4000000}"/>
    <hyperlink ref="G642" r:id="rId214" xr:uid="{00000000-0004-0000-0000-0000D5000000}"/>
    <hyperlink ref="H642" r:id="rId215" xr:uid="{00000000-0004-0000-0000-0000D6000000}"/>
    <hyperlink ref="I642" r:id="rId216" xr:uid="{00000000-0004-0000-0000-0000D7000000}"/>
    <hyperlink ref="G643" r:id="rId217" xr:uid="{00000000-0004-0000-0000-0000D8000000}"/>
    <hyperlink ref="H643" r:id="rId218" xr:uid="{00000000-0004-0000-0000-0000D9000000}"/>
    <hyperlink ref="I643" r:id="rId219" xr:uid="{00000000-0004-0000-0000-0000DA000000}"/>
    <hyperlink ref="G644" r:id="rId220" xr:uid="{00000000-0004-0000-0000-0000DB000000}"/>
    <hyperlink ref="H644" r:id="rId221" xr:uid="{00000000-0004-0000-0000-0000DC000000}"/>
    <hyperlink ref="I644" r:id="rId222" xr:uid="{00000000-0004-0000-0000-0000DD000000}"/>
    <hyperlink ref="G456" r:id="rId223" xr:uid="{00000000-0004-0000-0000-0000DE000000}"/>
    <hyperlink ref="H456" r:id="rId224" xr:uid="{00000000-0004-0000-0000-0000DF000000}"/>
    <hyperlink ref="I456" r:id="rId225" xr:uid="{00000000-0004-0000-0000-0000E0000000}"/>
    <hyperlink ref="G457" r:id="rId226" xr:uid="{00000000-0004-0000-0000-0000E1000000}"/>
    <hyperlink ref="H457" r:id="rId227" xr:uid="{00000000-0004-0000-0000-0000E2000000}"/>
    <hyperlink ref="I457" r:id="rId228" xr:uid="{00000000-0004-0000-0000-0000E3000000}"/>
    <hyperlink ref="G458" r:id="rId229" xr:uid="{00000000-0004-0000-0000-0000E4000000}"/>
    <hyperlink ref="H458" r:id="rId230" xr:uid="{00000000-0004-0000-0000-0000E5000000}"/>
    <hyperlink ref="I458" r:id="rId231" xr:uid="{00000000-0004-0000-0000-0000E6000000}"/>
    <hyperlink ref="G459" r:id="rId232" xr:uid="{00000000-0004-0000-0000-0000E7000000}"/>
    <hyperlink ref="H459" r:id="rId233" xr:uid="{00000000-0004-0000-0000-0000E8000000}"/>
    <hyperlink ref="I459" r:id="rId234" xr:uid="{00000000-0004-0000-0000-0000E9000000}"/>
    <hyperlink ref="G460" r:id="rId235" xr:uid="{00000000-0004-0000-0000-0000EA000000}"/>
    <hyperlink ref="H460" r:id="rId236" xr:uid="{00000000-0004-0000-0000-0000EB000000}"/>
    <hyperlink ref="I460" r:id="rId237" xr:uid="{00000000-0004-0000-0000-0000EC000000}"/>
    <hyperlink ref="G461" r:id="rId238" xr:uid="{00000000-0004-0000-0000-0000ED000000}"/>
    <hyperlink ref="H461" r:id="rId239" xr:uid="{00000000-0004-0000-0000-0000EE000000}"/>
    <hyperlink ref="I461" r:id="rId240" xr:uid="{00000000-0004-0000-0000-0000EF000000}"/>
    <hyperlink ref="G462" r:id="rId241" xr:uid="{00000000-0004-0000-0000-0000F0000000}"/>
    <hyperlink ref="H462" r:id="rId242" xr:uid="{00000000-0004-0000-0000-0000F1000000}"/>
    <hyperlink ref="I462" r:id="rId243" xr:uid="{00000000-0004-0000-0000-0000F2000000}"/>
    <hyperlink ref="G463" r:id="rId244" xr:uid="{00000000-0004-0000-0000-0000F3000000}"/>
    <hyperlink ref="H463" r:id="rId245" xr:uid="{00000000-0004-0000-0000-0000F4000000}"/>
    <hyperlink ref="I463" r:id="rId246" xr:uid="{00000000-0004-0000-0000-0000F5000000}"/>
    <hyperlink ref="G464" r:id="rId247" xr:uid="{00000000-0004-0000-0000-0000F6000000}"/>
    <hyperlink ref="H464" r:id="rId248" xr:uid="{00000000-0004-0000-0000-0000F7000000}"/>
    <hyperlink ref="I464" r:id="rId249" xr:uid="{00000000-0004-0000-0000-0000F8000000}"/>
    <hyperlink ref="G465" r:id="rId250" xr:uid="{00000000-0004-0000-0000-0000F9000000}"/>
    <hyperlink ref="H465" r:id="rId251" xr:uid="{00000000-0004-0000-0000-0000FA000000}"/>
    <hyperlink ref="I465" r:id="rId252" xr:uid="{00000000-0004-0000-0000-0000FB000000}"/>
    <hyperlink ref="G466" r:id="rId253" xr:uid="{00000000-0004-0000-0000-0000FC000000}"/>
    <hyperlink ref="H466" r:id="rId254" xr:uid="{00000000-0004-0000-0000-0000FD000000}"/>
    <hyperlink ref="I466" r:id="rId255" xr:uid="{00000000-0004-0000-0000-0000FE000000}"/>
    <hyperlink ref="G467" r:id="rId256" xr:uid="{00000000-0004-0000-0000-0000FF000000}"/>
    <hyperlink ref="H467" r:id="rId257" xr:uid="{00000000-0004-0000-0000-000000010000}"/>
    <hyperlink ref="I467" r:id="rId258" xr:uid="{00000000-0004-0000-0000-000001010000}"/>
    <hyperlink ref="G468" r:id="rId259" xr:uid="{00000000-0004-0000-0000-000002010000}"/>
    <hyperlink ref="H468" r:id="rId260" xr:uid="{00000000-0004-0000-0000-000003010000}"/>
    <hyperlink ref="I468" r:id="rId261" xr:uid="{00000000-0004-0000-0000-000004010000}"/>
    <hyperlink ref="G469" r:id="rId262" xr:uid="{00000000-0004-0000-0000-000005010000}"/>
    <hyperlink ref="H469" r:id="rId263" xr:uid="{00000000-0004-0000-0000-000006010000}"/>
    <hyperlink ref="I469" r:id="rId264" xr:uid="{00000000-0004-0000-0000-000007010000}"/>
    <hyperlink ref="G470" r:id="rId265" xr:uid="{00000000-0004-0000-0000-000008010000}"/>
    <hyperlink ref="H470" r:id="rId266" xr:uid="{00000000-0004-0000-0000-000009010000}"/>
    <hyperlink ref="I470" r:id="rId267" xr:uid="{00000000-0004-0000-0000-00000A010000}"/>
    <hyperlink ref="G471" r:id="rId268" xr:uid="{00000000-0004-0000-0000-00000B010000}"/>
    <hyperlink ref="H471" r:id="rId269" xr:uid="{00000000-0004-0000-0000-00000C010000}"/>
    <hyperlink ref="I471" r:id="rId270" xr:uid="{00000000-0004-0000-0000-00000D010000}"/>
    <hyperlink ref="G125" r:id="rId271" xr:uid="{00000000-0004-0000-0000-00000E010000}"/>
    <hyperlink ref="H125" r:id="rId272" xr:uid="{00000000-0004-0000-0000-00000F010000}"/>
    <hyperlink ref="I125" r:id="rId273" xr:uid="{00000000-0004-0000-0000-000010010000}"/>
    <hyperlink ref="G126" r:id="rId274" xr:uid="{00000000-0004-0000-0000-000011010000}"/>
    <hyperlink ref="H126" r:id="rId275" xr:uid="{00000000-0004-0000-0000-000012010000}"/>
    <hyperlink ref="I126" r:id="rId276" xr:uid="{00000000-0004-0000-0000-000013010000}"/>
    <hyperlink ref="G127" r:id="rId277" xr:uid="{00000000-0004-0000-0000-000014010000}"/>
    <hyperlink ref="H127" r:id="rId278" xr:uid="{00000000-0004-0000-0000-000015010000}"/>
    <hyperlink ref="I127" r:id="rId279" xr:uid="{00000000-0004-0000-0000-000016010000}"/>
    <hyperlink ref="G128" r:id="rId280" xr:uid="{00000000-0004-0000-0000-000017010000}"/>
    <hyperlink ref="H128" r:id="rId281" xr:uid="{00000000-0004-0000-0000-000018010000}"/>
    <hyperlink ref="I128" r:id="rId282" xr:uid="{00000000-0004-0000-0000-000019010000}"/>
    <hyperlink ref="G129" r:id="rId283" xr:uid="{00000000-0004-0000-0000-00001A010000}"/>
    <hyperlink ref="H129" r:id="rId284" xr:uid="{00000000-0004-0000-0000-00001B010000}"/>
    <hyperlink ref="I129" r:id="rId285" xr:uid="{00000000-0004-0000-0000-00001C010000}"/>
    <hyperlink ref="G130" r:id="rId286" xr:uid="{00000000-0004-0000-0000-00001D010000}"/>
    <hyperlink ref="H130" r:id="rId287" xr:uid="{00000000-0004-0000-0000-00001E010000}"/>
    <hyperlink ref="I130" r:id="rId288" xr:uid="{00000000-0004-0000-0000-00001F010000}"/>
    <hyperlink ref="G131" r:id="rId289" xr:uid="{00000000-0004-0000-0000-000020010000}"/>
    <hyperlink ref="H131" r:id="rId290" xr:uid="{00000000-0004-0000-0000-000021010000}"/>
    <hyperlink ref="I131" r:id="rId291" xr:uid="{00000000-0004-0000-0000-000022010000}"/>
    <hyperlink ref="G132" r:id="rId292" xr:uid="{00000000-0004-0000-0000-000023010000}"/>
    <hyperlink ref="H132" r:id="rId293" xr:uid="{00000000-0004-0000-0000-000024010000}"/>
    <hyperlink ref="I132" r:id="rId294" xr:uid="{00000000-0004-0000-0000-000025010000}"/>
    <hyperlink ref="G216" r:id="rId295" xr:uid="{00000000-0004-0000-0000-000026010000}"/>
    <hyperlink ref="H216" r:id="rId296" xr:uid="{00000000-0004-0000-0000-000027010000}"/>
    <hyperlink ref="I216" r:id="rId297" xr:uid="{00000000-0004-0000-0000-000028010000}"/>
    <hyperlink ref="G275" r:id="rId298" xr:uid="{00000000-0004-0000-0000-000029010000}"/>
    <hyperlink ref="H275" r:id="rId299" xr:uid="{00000000-0004-0000-0000-00002A010000}"/>
    <hyperlink ref="I275" r:id="rId300" xr:uid="{00000000-0004-0000-0000-00002B010000}"/>
    <hyperlink ref="G214" r:id="rId301" xr:uid="{00000000-0004-0000-0000-00002C010000}"/>
    <hyperlink ref="H214" r:id="rId302" xr:uid="{00000000-0004-0000-0000-00002D010000}"/>
    <hyperlink ref="I214" r:id="rId303" xr:uid="{00000000-0004-0000-0000-00002E010000}"/>
    <hyperlink ref="G274" r:id="rId304" xr:uid="{00000000-0004-0000-0000-00002F010000}"/>
    <hyperlink ref="H274" r:id="rId305" xr:uid="{00000000-0004-0000-0000-000030010000}"/>
    <hyperlink ref="I274" r:id="rId306" xr:uid="{00000000-0004-0000-0000-000031010000}"/>
    <hyperlink ref="G213" r:id="rId307" xr:uid="{00000000-0004-0000-0000-000032010000}"/>
    <hyperlink ref="H213" r:id="rId308" xr:uid="{00000000-0004-0000-0000-000033010000}"/>
    <hyperlink ref="I213" r:id="rId309" xr:uid="{00000000-0004-0000-0000-000034010000}"/>
    <hyperlink ref="G215" r:id="rId310" xr:uid="{00000000-0004-0000-0000-000035010000}"/>
    <hyperlink ref="H215" r:id="rId311" xr:uid="{00000000-0004-0000-0000-000036010000}"/>
    <hyperlink ref="I215" r:id="rId312" xr:uid="{00000000-0004-0000-0000-000037010000}"/>
    <hyperlink ref="G48" r:id="rId313" xr:uid="{00000000-0004-0000-0000-000038010000}"/>
    <hyperlink ref="H48" r:id="rId314" xr:uid="{00000000-0004-0000-0000-000039010000}"/>
    <hyperlink ref="I48" r:id="rId315" xr:uid="{00000000-0004-0000-0000-00003A010000}"/>
    <hyperlink ref="G49" r:id="rId316" xr:uid="{00000000-0004-0000-0000-00003B010000}"/>
    <hyperlink ref="H49" r:id="rId317" xr:uid="{00000000-0004-0000-0000-00003C010000}"/>
    <hyperlink ref="I49" r:id="rId318" xr:uid="{00000000-0004-0000-0000-00003D010000}"/>
    <hyperlink ref="G50" r:id="rId319" xr:uid="{00000000-0004-0000-0000-00003E010000}"/>
    <hyperlink ref="H50" r:id="rId320" xr:uid="{00000000-0004-0000-0000-00003F010000}"/>
    <hyperlink ref="I50" r:id="rId321" xr:uid="{00000000-0004-0000-0000-000040010000}"/>
    <hyperlink ref="G45" r:id="rId322" xr:uid="{00000000-0004-0000-0000-000041010000}"/>
    <hyperlink ref="H45" r:id="rId323" xr:uid="{00000000-0004-0000-0000-000042010000}"/>
    <hyperlink ref="I45" r:id="rId324" xr:uid="{00000000-0004-0000-0000-000043010000}"/>
    <hyperlink ref="G46" r:id="rId325" xr:uid="{00000000-0004-0000-0000-000044010000}"/>
    <hyperlink ref="H46" r:id="rId326" xr:uid="{00000000-0004-0000-0000-000045010000}"/>
    <hyperlink ref="I46" r:id="rId327" xr:uid="{00000000-0004-0000-0000-000046010000}"/>
    <hyperlink ref="G47" r:id="rId328" xr:uid="{00000000-0004-0000-0000-000047010000}"/>
    <hyperlink ref="H47" r:id="rId329" xr:uid="{00000000-0004-0000-0000-000048010000}"/>
    <hyperlink ref="I47" r:id="rId330" xr:uid="{00000000-0004-0000-0000-000049010000}"/>
    <hyperlink ref="G51" r:id="rId331" xr:uid="{00000000-0004-0000-0000-00004A010000}"/>
    <hyperlink ref="H51" r:id="rId332" xr:uid="{00000000-0004-0000-0000-00004B010000}"/>
    <hyperlink ref="I51" r:id="rId333" xr:uid="{00000000-0004-0000-0000-00004C010000}"/>
    <hyperlink ref="G52" r:id="rId334" xr:uid="{00000000-0004-0000-0000-00004D010000}"/>
    <hyperlink ref="H52" r:id="rId335" xr:uid="{00000000-0004-0000-0000-00004E010000}"/>
    <hyperlink ref="I52" r:id="rId336" xr:uid="{00000000-0004-0000-0000-00004F010000}"/>
    <hyperlink ref="G53" r:id="rId337" xr:uid="{00000000-0004-0000-0000-000050010000}"/>
    <hyperlink ref="H53" r:id="rId338" xr:uid="{00000000-0004-0000-0000-000051010000}"/>
    <hyperlink ref="I53" r:id="rId339" xr:uid="{00000000-0004-0000-0000-000052010000}"/>
    <hyperlink ref="G178" r:id="rId340" xr:uid="{00000000-0004-0000-0000-000053010000}"/>
    <hyperlink ref="H178" r:id="rId341" xr:uid="{00000000-0004-0000-0000-000054010000}"/>
    <hyperlink ref="I178" r:id="rId342" xr:uid="{00000000-0004-0000-0000-000055010000}"/>
    <hyperlink ref="G179" r:id="rId343" xr:uid="{00000000-0004-0000-0000-000056010000}"/>
    <hyperlink ref="H179" r:id="rId344" xr:uid="{00000000-0004-0000-0000-000057010000}"/>
    <hyperlink ref="I179" r:id="rId345" xr:uid="{00000000-0004-0000-0000-000058010000}"/>
    <hyperlink ref="G180" r:id="rId346" xr:uid="{00000000-0004-0000-0000-000059010000}"/>
    <hyperlink ref="H180" r:id="rId347" xr:uid="{00000000-0004-0000-0000-00005A010000}"/>
    <hyperlink ref="I180" r:id="rId348" xr:uid="{00000000-0004-0000-0000-00005B010000}"/>
    <hyperlink ref="G181" r:id="rId349" xr:uid="{00000000-0004-0000-0000-00005C010000}"/>
    <hyperlink ref="H181" r:id="rId350" xr:uid="{00000000-0004-0000-0000-00005D010000}"/>
    <hyperlink ref="I181" r:id="rId351" xr:uid="{00000000-0004-0000-0000-00005E010000}"/>
    <hyperlink ref="G233" r:id="rId352" xr:uid="{00000000-0004-0000-0000-00005F010000}"/>
    <hyperlink ref="H233" r:id="rId353" xr:uid="{00000000-0004-0000-0000-000060010000}"/>
    <hyperlink ref="I233" r:id="rId354" xr:uid="{00000000-0004-0000-0000-000061010000}"/>
    <hyperlink ref="G234" r:id="rId355" xr:uid="{00000000-0004-0000-0000-000062010000}"/>
    <hyperlink ref="H234" r:id="rId356" xr:uid="{00000000-0004-0000-0000-000063010000}"/>
    <hyperlink ref="I234" r:id="rId357" xr:uid="{00000000-0004-0000-0000-000064010000}"/>
    <hyperlink ref="G229" r:id="rId358" xr:uid="{00000000-0004-0000-0000-000065010000}"/>
    <hyperlink ref="H229" r:id="rId359" xr:uid="{00000000-0004-0000-0000-000066010000}"/>
    <hyperlink ref="I229" r:id="rId360" xr:uid="{00000000-0004-0000-0000-000067010000}"/>
    <hyperlink ref="G232" r:id="rId361" xr:uid="{00000000-0004-0000-0000-000068010000}"/>
    <hyperlink ref="H232" r:id="rId362" xr:uid="{00000000-0004-0000-0000-000069010000}"/>
    <hyperlink ref="I232" r:id="rId363" xr:uid="{00000000-0004-0000-0000-00006A010000}"/>
    <hyperlink ref="G228" r:id="rId364" xr:uid="{00000000-0004-0000-0000-00006B010000}"/>
    <hyperlink ref="H228" r:id="rId365" xr:uid="{00000000-0004-0000-0000-00006C010000}"/>
    <hyperlink ref="I228" r:id="rId366" xr:uid="{00000000-0004-0000-0000-00006D010000}"/>
    <hyperlink ref="G231" r:id="rId367" xr:uid="{00000000-0004-0000-0000-00006E010000}"/>
    <hyperlink ref="H231" r:id="rId368" xr:uid="{00000000-0004-0000-0000-00006F010000}"/>
    <hyperlink ref="I231" r:id="rId369" xr:uid="{00000000-0004-0000-0000-000070010000}"/>
    <hyperlink ref="G230" r:id="rId370" xr:uid="{00000000-0004-0000-0000-000071010000}"/>
    <hyperlink ref="H230" r:id="rId371" xr:uid="{00000000-0004-0000-0000-000072010000}"/>
    <hyperlink ref="I230" r:id="rId372" xr:uid="{00000000-0004-0000-0000-000073010000}"/>
    <hyperlink ref="G143" r:id="rId373" xr:uid="{00000000-0004-0000-0000-000074010000}"/>
    <hyperlink ref="H143" r:id="rId374" xr:uid="{00000000-0004-0000-0000-000075010000}"/>
    <hyperlink ref="I143" r:id="rId375" xr:uid="{00000000-0004-0000-0000-000076010000}"/>
    <hyperlink ref="G144" r:id="rId376" xr:uid="{00000000-0004-0000-0000-000077010000}"/>
    <hyperlink ref="H144" r:id="rId377" xr:uid="{00000000-0004-0000-0000-000078010000}"/>
    <hyperlink ref="I144" r:id="rId378" xr:uid="{00000000-0004-0000-0000-000079010000}"/>
    <hyperlink ref="G145" r:id="rId379" xr:uid="{00000000-0004-0000-0000-00007A010000}"/>
    <hyperlink ref="H145" r:id="rId380" xr:uid="{00000000-0004-0000-0000-00007B010000}"/>
    <hyperlink ref="I145" r:id="rId381" xr:uid="{00000000-0004-0000-0000-00007C010000}"/>
    <hyperlink ref="G146" r:id="rId382" xr:uid="{00000000-0004-0000-0000-00007D010000}"/>
    <hyperlink ref="H146" r:id="rId383" xr:uid="{00000000-0004-0000-0000-00007E010000}"/>
    <hyperlink ref="I146" r:id="rId384" xr:uid="{00000000-0004-0000-0000-00007F010000}"/>
    <hyperlink ref="G645" r:id="rId385" xr:uid="{00000000-0004-0000-0000-000080010000}"/>
    <hyperlink ref="H645" r:id="rId386" xr:uid="{00000000-0004-0000-0000-000081010000}"/>
    <hyperlink ref="I645" r:id="rId387" xr:uid="{00000000-0004-0000-0000-000082010000}"/>
    <hyperlink ref="G646" r:id="rId388" xr:uid="{00000000-0004-0000-0000-000083010000}"/>
    <hyperlink ref="H646" r:id="rId389" xr:uid="{00000000-0004-0000-0000-000084010000}"/>
    <hyperlink ref="I646" r:id="rId390" xr:uid="{00000000-0004-0000-0000-000085010000}"/>
    <hyperlink ref="G647" r:id="rId391" xr:uid="{00000000-0004-0000-0000-000086010000}"/>
    <hyperlink ref="H647" r:id="rId392" xr:uid="{00000000-0004-0000-0000-000087010000}"/>
    <hyperlink ref="I647" r:id="rId393" xr:uid="{00000000-0004-0000-0000-000088010000}"/>
    <hyperlink ref="G648" r:id="rId394" xr:uid="{00000000-0004-0000-0000-000089010000}"/>
    <hyperlink ref="H648" r:id="rId395" xr:uid="{00000000-0004-0000-0000-00008A010000}"/>
    <hyperlink ref="I648" r:id="rId396" xr:uid="{00000000-0004-0000-0000-00008B010000}"/>
    <hyperlink ref="G649" r:id="rId397" xr:uid="{00000000-0004-0000-0000-00008C010000}"/>
    <hyperlink ref="H649" r:id="rId398" xr:uid="{00000000-0004-0000-0000-00008D010000}"/>
    <hyperlink ref="I649" r:id="rId399" xr:uid="{00000000-0004-0000-0000-00008E010000}"/>
    <hyperlink ref="G650" r:id="rId400" xr:uid="{00000000-0004-0000-0000-00008F010000}"/>
    <hyperlink ref="H650" r:id="rId401" xr:uid="{00000000-0004-0000-0000-000090010000}"/>
    <hyperlink ref="I650" r:id="rId402" xr:uid="{00000000-0004-0000-0000-000091010000}"/>
    <hyperlink ref="G651" r:id="rId403" xr:uid="{00000000-0004-0000-0000-000092010000}"/>
    <hyperlink ref="H651" r:id="rId404" xr:uid="{00000000-0004-0000-0000-000093010000}"/>
    <hyperlink ref="I651" r:id="rId405" xr:uid="{00000000-0004-0000-0000-000094010000}"/>
    <hyperlink ref="G652" r:id="rId406" xr:uid="{00000000-0004-0000-0000-000095010000}"/>
    <hyperlink ref="H652" r:id="rId407" xr:uid="{00000000-0004-0000-0000-000096010000}"/>
    <hyperlink ref="I652" r:id="rId408" xr:uid="{00000000-0004-0000-0000-000097010000}"/>
    <hyperlink ref="G653" r:id="rId409" xr:uid="{00000000-0004-0000-0000-000098010000}"/>
    <hyperlink ref="H653" r:id="rId410" xr:uid="{00000000-0004-0000-0000-000099010000}"/>
    <hyperlink ref="I653" r:id="rId411" xr:uid="{00000000-0004-0000-0000-00009A010000}"/>
    <hyperlink ref="G654" r:id="rId412" xr:uid="{00000000-0004-0000-0000-00009B010000}"/>
    <hyperlink ref="H654" r:id="rId413" xr:uid="{00000000-0004-0000-0000-00009C010000}"/>
    <hyperlink ref="I654" r:id="rId414" xr:uid="{00000000-0004-0000-0000-00009D010000}"/>
    <hyperlink ref="G655" r:id="rId415" xr:uid="{00000000-0004-0000-0000-00009E010000}"/>
    <hyperlink ref="H655" r:id="rId416" xr:uid="{00000000-0004-0000-0000-00009F010000}"/>
    <hyperlink ref="I655" r:id="rId417" xr:uid="{00000000-0004-0000-0000-0000A0010000}"/>
    <hyperlink ref="G656" r:id="rId418" xr:uid="{00000000-0004-0000-0000-0000A1010000}"/>
    <hyperlink ref="H656" r:id="rId419" xr:uid="{00000000-0004-0000-0000-0000A2010000}"/>
    <hyperlink ref="I656" r:id="rId420" xr:uid="{00000000-0004-0000-0000-0000A3010000}"/>
    <hyperlink ref="G657" r:id="rId421" xr:uid="{00000000-0004-0000-0000-0000A4010000}"/>
    <hyperlink ref="H657" r:id="rId422" xr:uid="{00000000-0004-0000-0000-0000A5010000}"/>
    <hyperlink ref="I657" r:id="rId423" xr:uid="{00000000-0004-0000-0000-0000A6010000}"/>
    <hyperlink ref="G658" r:id="rId424" xr:uid="{00000000-0004-0000-0000-0000A7010000}"/>
    <hyperlink ref="H658" r:id="rId425" xr:uid="{00000000-0004-0000-0000-0000A8010000}"/>
    <hyperlink ref="I658" r:id="rId426" xr:uid="{00000000-0004-0000-0000-0000A9010000}"/>
    <hyperlink ref="G659" r:id="rId427" xr:uid="{00000000-0004-0000-0000-0000AA010000}"/>
    <hyperlink ref="H659" r:id="rId428" xr:uid="{00000000-0004-0000-0000-0000AB010000}"/>
    <hyperlink ref="I659" r:id="rId429" xr:uid="{00000000-0004-0000-0000-0000AC010000}"/>
    <hyperlink ref="G660" r:id="rId430" xr:uid="{00000000-0004-0000-0000-0000AD010000}"/>
    <hyperlink ref="H660" r:id="rId431" xr:uid="{00000000-0004-0000-0000-0000AE010000}"/>
    <hyperlink ref="I660" r:id="rId432" xr:uid="{00000000-0004-0000-0000-0000AF010000}"/>
    <hyperlink ref="G445" r:id="rId433" xr:uid="{00000000-0004-0000-0000-0000B0010000}"/>
    <hyperlink ref="H445" r:id="rId434" xr:uid="{00000000-0004-0000-0000-0000B1010000}"/>
    <hyperlink ref="I445" r:id="rId435" xr:uid="{00000000-0004-0000-0000-0000B2010000}"/>
    <hyperlink ref="G446" r:id="rId436" xr:uid="{00000000-0004-0000-0000-0000B3010000}"/>
    <hyperlink ref="H446" r:id="rId437" xr:uid="{00000000-0004-0000-0000-0000B4010000}"/>
    <hyperlink ref="I446" r:id="rId438" xr:uid="{00000000-0004-0000-0000-0000B5010000}"/>
    <hyperlink ref="G447" r:id="rId439" xr:uid="{00000000-0004-0000-0000-0000B6010000}"/>
    <hyperlink ref="H447" r:id="rId440" xr:uid="{00000000-0004-0000-0000-0000B7010000}"/>
    <hyperlink ref="I447" r:id="rId441" xr:uid="{00000000-0004-0000-0000-0000B8010000}"/>
    <hyperlink ref="G448" r:id="rId442" xr:uid="{00000000-0004-0000-0000-0000B9010000}"/>
    <hyperlink ref="H448" r:id="rId443" xr:uid="{00000000-0004-0000-0000-0000BA010000}"/>
    <hyperlink ref="I448" r:id="rId444" xr:uid="{00000000-0004-0000-0000-0000BB010000}"/>
    <hyperlink ref="G449" r:id="rId445" xr:uid="{00000000-0004-0000-0000-0000BC010000}"/>
    <hyperlink ref="H449" r:id="rId446" xr:uid="{00000000-0004-0000-0000-0000BD010000}"/>
    <hyperlink ref="I449" r:id="rId447" xr:uid="{00000000-0004-0000-0000-0000BE010000}"/>
    <hyperlink ref="G450" r:id="rId448" xr:uid="{00000000-0004-0000-0000-0000BF010000}"/>
    <hyperlink ref="H450" r:id="rId449" xr:uid="{00000000-0004-0000-0000-0000C0010000}"/>
    <hyperlink ref="I450" r:id="rId450" xr:uid="{00000000-0004-0000-0000-0000C1010000}"/>
    <hyperlink ref="G451" r:id="rId451" xr:uid="{00000000-0004-0000-0000-0000C2010000}"/>
    <hyperlink ref="H451" r:id="rId452" xr:uid="{00000000-0004-0000-0000-0000C3010000}"/>
    <hyperlink ref="I451" r:id="rId453" xr:uid="{00000000-0004-0000-0000-0000C4010000}"/>
    <hyperlink ref="G452" r:id="rId454" xr:uid="{00000000-0004-0000-0000-0000C5010000}"/>
    <hyperlink ref="H452" r:id="rId455" xr:uid="{00000000-0004-0000-0000-0000C6010000}"/>
    <hyperlink ref="I452" r:id="rId456" xr:uid="{00000000-0004-0000-0000-0000C7010000}"/>
    <hyperlink ref="G453" r:id="rId457" xr:uid="{00000000-0004-0000-0000-0000C8010000}"/>
    <hyperlink ref="H453" r:id="rId458" xr:uid="{00000000-0004-0000-0000-0000C9010000}"/>
    <hyperlink ref="I453" r:id="rId459" xr:uid="{00000000-0004-0000-0000-0000CA010000}"/>
    <hyperlink ref="G454" r:id="rId460" xr:uid="{00000000-0004-0000-0000-0000CB010000}"/>
    <hyperlink ref="H454" r:id="rId461" xr:uid="{00000000-0004-0000-0000-0000CC010000}"/>
    <hyperlink ref="I454" r:id="rId462" xr:uid="{00000000-0004-0000-0000-0000CD010000}"/>
    <hyperlink ref="G455" r:id="rId463" xr:uid="{00000000-0004-0000-0000-0000CE010000}"/>
    <hyperlink ref="H455" r:id="rId464" xr:uid="{00000000-0004-0000-0000-0000CF010000}"/>
    <hyperlink ref="I455" r:id="rId465" xr:uid="{00000000-0004-0000-0000-0000D0010000}"/>
    <hyperlink ref="G436" r:id="rId466" xr:uid="{00000000-0004-0000-0000-0000D1010000}"/>
    <hyperlink ref="H436" r:id="rId467" xr:uid="{00000000-0004-0000-0000-0000D2010000}"/>
    <hyperlink ref="I436" r:id="rId468" xr:uid="{00000000-0004-0000-0000-0000D3010000}"/>
    <hyperlink ref="G437" r:id="rId469" xr:uid="{00000000-0004-0000-0000-0000D4010000}"/>
    <hyperlink ref="H437" r:id="rId470" xr:uid="{00000000-0004-0000-0000-0000D5010000}"/>
    <hyperlink ref="I437" r:id="rId471" xr:uid="{00000000-0004-0000-0000-0000D6010000}"/>
    <hyperlink ref="G438" r:id="rId472" xr:uid="{00000000-0004-0000-0000-0000D7010000}"/>
    <hyperlink ref="H438" r:id="rId473" xr:uid="{00000000-0004-0000-0000-0000D8010000}"/>
    <hyperlink ref="I438" r:id="rId474" xr:uid="{00000000-0004-0000-0000-0000D9010000}"/>
    <hyperlink ref="G439" r:id="rId475" xr:uid="{00000000-0004-0000-0000-0000DA010000}"/>
    <hyperlink ref="H439" r:id="rId476" xr:uid="{00000000-0004-0000-0000-0000DB010000}"/>
    <hyperlink ref="I439" r:id="rId477" xr:uid="{00000000-0004-0000-0000-0000DC010000}"/>
    <hyperlink ref="G440" r:id="rId478" xr:uid="{00000000-0004-0000-0000-0000DD010000}"/>
    <hyperlink ref="H440" r:id="rId479" xr:uid="{00000000-0004-0000-0000-0000DE010000}"/>
    <hyperlink ref="I440" r:id="rId480" xr:uid="{00000000-0004-0000-0000-0000DF010000}"/>
    <hyperlink ref="G441" r:id="rId481" xr:uid="{00000000-0004-0000-0000-0000E0010000}"/>
    <hyperlink ref="H441" r:id="rId482" xr:uid="{00000000-0004-0000-0000-0000E1010000}"/>
    <hyperlink ref="I441" r:id="rId483" xr:uid="{00000000-0004-0000-0000-0000E2010000}"/>
    <hyperlink ref="G442" r:id="rId484" xr:uid="{00000000-0004-0000-0000-0000E3010000}"/>
    <hyperlink ref="H442" r:id="rId485" xr:uid="{00000000-0004-0000-0000-0000E4010000}"/>
    <hyperlink ref="I442" r:id="rId486" xr:uid="{00000000-0004-0000-0000-0000E5010000}"/>
    <hyperlink ref="G443" r:id="rId487" xr:uid="{00000000-0004-0000-0000-0000E6010000}"/>
    <hyperlink ref="H443" r:id="rId488" xr:uid="{00000000-0004-0000-0000-0000E7010000}"/>
    <hyperlink ref="I443" r:id="rId489" xr:uid="{00000000-0004-0000-0000-0000E8010000}"/>
    <hyperlink ref="G444" r:id="rId490" xr:uid="{00000000-0004-0000-0000-0000E9010000}"/>
    <hyperlink ref="H444" r:id="rId491" xr:uid="{00000000-0004-0000-0000-0000EA010000}"/>
    <hyperlink ref="I444" r:id="rId492" xr:uid="{00000000-0004-0000-0000-0000EB010000}"/>
    <hyperlink ref="G415" r:id="rId493" xr:uid="{00000000-0004-0000-0000-0000EC010000}"/>
    <hyperlink ref="H415" r:id="rId494" xr:uid="{00000000-0004-0000-0000-0000ED010000}"/>
    <hyperlink ref="I415" r:id="rId495" xr:uid="{00000000-0004-0000-0000-0000EE010000}"/>
    <hyperlink ref="G416" r:id="rId496" xr:uid="{00000000-0004-0000-0000-0000EF010000}"/>
    <hyperlink ref="H416" r:id="rId497" xr:uid="{00000000-0004-0000-0000-0000F0010000}"/>
    <hyperlink ref="I416" r:id="rId498" xr:uid="{00000000-0004-0000-0000-0000F1010000}"/>
    <hyperlink ref="G417" r:id="rId499" xr:uid="{00000000-0004-0000-0000-0000F2010000}"/>
    <hyperlink ref="H417" r:id="rId500" xr:uid="{00000000-0004-0000-0000-0000F3010000}"/>
    <hyperlink ref="I417" r:id="rId501" xr:uid="{00000000-0004-0000-0000-0000F4010000}"/>
    <hyperlink ref="G418" r:id="rId502" xr:uid="{00000000-0004-0000-0000-0000F5010000}"/>
    <hyperlink ref="H418" r:id="rId503" xr:uid="{00000000-0004-0000-0000-0000F6010000}"/>
    <hyperlink ref="I418" r:id="rId504" xr:uid="{00000000-0004-0000-0000-0000F7010000}"/>
    <hyperlink ref="G419" r:id="rId505" xr:uid="{00000000-0004-0000-0000-0000F8010000}"/>
    <hyperlink ref="H419" r:id="rId506" xr:uid="{00000000-0004-0000-0000-0000F9010000}"/>
    <hyperlink ref="I419" r:id="rId507" xr:uid="{00000000-0004-0000-0000-0000FA010000}"/>
    <hyperlink ref="G420" r:id="rId508" xr:uid="{00000000-0004-0000-0000-0000FB010000}"/>
    <hyperlink ref="H420" r:id="rId509" xr:uid="{00000000-0004-0000-0000-0000FC010000}"/>
    <hyperlink ref="I420" r:id="rId510" xr:uid="{00000000-0004-0000-0000-0000FD010000}"/>
    <hyperlink ref="G421" r:id="rId511" xr:uid="{00000000-0004-0000-0000-0000FE010000}"/>
    <hyperlink ref="H421" r:id="rId512" xr:uid="{00000000-0004-0000-0000-0000FF010000}"/>
    <hyperlink ref="I421" r:id="rId513" xr:uid="{00000000-0004-0000-0000-000000020000}"/>
    <hyperlink ref="G422" r:id="rId514" xr:uid="{00000000-0004-0000-0000-000001020000}"/>
    <hyperlink ref="H422" r:id="rId515" xr:uid="{00000000-0004-0000-0000-000002020000}"/>
    <hyperlink ref="I422" r:id="rId516" xr:uid="{00000000-0004-0000-0000-000003020000}"/>
    <hyperlink ref="G423" r:id="rId517" xr:uid="{00000000-0004-0000-0000-000004020000}"/>
    <hyperlink ref="H423" r:id="rId518" xr:uid="{00000000-0004-0000-0000-000005020000}"/>
    <hyperlink ref="I423" r:id="rId519" xr:uid="{00000000-0004-0000-0000-000006020000}"/>
    <hyperlink ref="G424" r:id="rId520" xr:uid="{00000000-0004-0000-0000-000007020000}"/>
    <hyperlink ref="H424" r:id="rId521" xr:uid="{00000000-0004-0000-0000-000008020000}"/>
    <hyperlink ref="I424" r:id="rId522" xr:uid="{00000000-0004-0000-0000-000009020000}"/>
    <hyperlink ref="G425" r:id="rId523" xr:uid="{00000000-0004-0000-0000-00000A020000}"/>
    <hyperlink ref="H425" r:id="rId524" xr:uid="{00000000-0004-0000-0000-00000B020000}"/>
    <hyperlink ref="I425" r:id="rId525" xr:uid="{00000000-0004-0000-0000-00000C020000}"/>
    <hyperlink ref="G426" r:id="rId526" xr:uid="{00000000-0004-0000-0000-00000D020000}"/>
    <hyperlink ref="H426" r:id="rId527" xr:uid="{00000000-0004-0000-0000-00000E020000}"/>
    <hyperlink ref="I426" r:id="rId528" xr:uid="{00000000-0004-0000-0000-00000F020000}"/>
    <hyperlink ref="G427" r:id="rId529" xr:uid="{00000000-0004-0000-0000-000010020000}"/>
    <hyperlink ref="H427" r:id="rId530" xr:uid="{00000000-0004-0000-0000-000011020000}"/>
    <hyperlink ref="I427" r:id="rId531" xr:uid="{00000000-0004-0000-0000-000012020000}"/>
    <hyperlink ref="G428" r:id="rId532" xr:uid="{00000000-0004-0000-0000-000013020000}"/>
    <hyperlink ref="H428" r:id="rId533" xr:uid="{00000000-0004-0000-0000-000014020000}"/>
    <hyperlink ref="I428" r:id="rId534" xr:uid="{00000000-0004-0000-0000-000015020000}"/>
    <hyperlink ref="G429" r:id="rId535" xr:uid="{00000000-0004-0000-0000-000016020000}"/>
    <hyperlink ref="H429" r:id="rId536" xr:uid="{00000000-0004-0000-0000-000017020000}"/>
    <hyperlink ref="I429" r:id="rId537" xr:uid="{00000000-0004-0000-0000-000018020000}"/>
    <hyperlink ref="G430" r:id="rId538" xr:uid="{00000000-0004-0000-0000-000019020000}"/>
    <hyperlink ref="H430" r:id="rId539" xr:uid="{00000000-0004-0000-0000-00001A020000}"/>
    <hyperlink ref="I430" r:id="rId540" xr:uid="{00000000-0004-0000-0000-00001B020000}"/>
    <hyperlink ref="G431" r:id="rId541" xr:uid="{00000000-0004-0000-0000-00001C020000}"/>
    <hyperlink ref="H431" r:id="rId542" xr:uid="{00000000-0004-0000-0000-00001D020000}"/>
    <hyperlink ref="I431" r:id="rId543" xr:uid="{00000000-0004-0000-0000-00001E020000}"/>
    <hyperlink ref="G432" r:id="rId544" xr:uid="{00000000-0004-0000-0000-00001F020000}"/>
    <hyperlink ref="H432" r:id="rId545" xr:uid="{00000000-0004-0000-0000-000020020000}"/>
    <hyperlink ref="I432" r:id="rId546" xr:uid="{00000000-0004-0000-0000-000021020000}"/>
    <hyperlink ref="G433" r:id="rId547" xr:uid="{00000000-0004-0000-0000-000022020000}"/>
    <hyperlink ref="H433" r:id="rId548" xr:uid="{00000000-0004-0000-0000-000023020000}"/>
    <hyperlink ref="I433" r:id="rId549" xr:uid="{00000000-0004-0000-0000-000024020000}"/>
    <hyperlink ref="G434" r:id="rId550" xr:uid="{00000000-0004-0000-0000-000025020000}"/>
    <hyperlink ref="H434" r:id="rId551" xr:uid="{00000000-0004-0000-0000-000026020000}"/>
    <hyperlink ref="I434" r:id="rId552" xr:uid="{00000000-0004-0000-0000-000027020000}"/>
    <hyperlink ref="G435" r:id="rId553" xr:uid="{00000000-0004-0000-0000-000028020000}"/>
    <hyperlink ref="H435" r:id="rId554" xr:uid="{00000000-0004-0000-0000-000029020000}"/>
    <hyperlink ref="I435" r:id="rId555" xr:uid="{00000000-0004-0000-0000-00002A020000}"/>
    <hyperlink ref="G542" r:id="rId556" xr:uid="{00000000-0004-0000-0000-00002B020000}"/>
    <hyperlink ref="H542" r:id="rId557" xr:uid="{00000000-0004-0000-0000-00002C020000}"/>
    <hyperlink ref="I542" r:id="rId558" xr:uid="{00000000-0004-0000-0000-00002D020000}"/>
    <hyperlink ref="G518" r:id="rId559" xr:uid="{00000000-0004-0000-0000-00002E020000}"/>
    <hyperlink ref="H518" r:id="rId560" xr:uid="{00000000-0004-0000-0000-00002F020000}"/>
    <hyperlink ref="I518" r:id="rId561" xr:uid="{00000000-0004-0000-0000-000030020000}"/>
    <hyperlink ref="G519" r:id="rId562" xr:uid="{00000000-0004-0000-0000-000031020000}"/>
    <hyperlink ref="H519" r:id="rId563" xr:uid="{00000000-0004-0000-0000-000032020000}"/>
    <hyperlink ref="I519" r:id="rId564" xr:uid="{00000000-0004-0000-0000-000033020000}"/>
    <hyperlink ref="G520" r:id="rId565" xr:uid="{00000000-0004-0000-0000-000034020000}"/>
    <hyperlink ref="H520" r:id="rId566" xr:uid="{00000000-0004-0000-0000-000035020000}"/>
    <hyperlink ref="I520" r:id="rId567" xr:uid="{00000000-0004-0000-0000-000036020000}"/>
    <hyperlink ref="G521" r:id="rId568" xr:uid="{00000000-0004-0000-0000-000037020000}"/>
    <hyperlink ref="H521" r:id="rId569" xr:uid="{00000000-0004-0000-0000-000038020000}"/>
    <hyperlink ref="I521" r:id="rId570" xr:uid="{00000000-0004-0000-0000-000039020000}"/>
    <hyperlink ref="G522" r:id="rId571" xr:uid="{00000000-0004-0000-0000-00003A020000}"/>
    <hyperlink ref="H522" r:id="rId572" xr:uid="{00000000-0004-0000-0000-00003B020000}"/>
    <hyperlink ref="I522" r:id="rId573" xr:uid="{00000000-0004-0000-0000-00003C020000}"/>
    <hyperlink ref="G523" r:id="rId574" xr:uid="{00000000-0004-0000-0000-00003D020000}"/>
    <hyperlink ref="H523" r:id="rId575" xr:uid="{00000000-0004-0000-0000-00003E020000}"/>
    <hyperlink ref="I523" r:id="rId576" xr:uid="{00000000-0004-0000-0000-00003F020000}"/>
    <hyperlink ref="G524" r:id="rId577" xr:uid="{00000000-0004-0000-0000-000040020000}"/>
    <hyperlink ref="H524" r:id="rId578" xr:uid="{00000000-0004-0000-0000-000041020000}"/>
    <hyperlink ref="I524" r:id="rId579" xr:uid="{00000000-0004-0000-0000-000042020000}"/>
    <hyperlink ref="G525" r:id="rId580" xr:uid="{00000000-0004-0000-0000-000043020000}"/>
    <hyperlink ref="H525" r:id="rId581" xr:uid="{00000000-0004-0000-0000-000044020000}"/>
    <hyperlink ref="I525" r:id="rId582" xr:uid="{00000000-0004-0000-0000-000045020000}"/>
    <hyperlink ref="G526" r:id="rId583" xr:uid="{00000000-0004-0000-0000-000046020000}"/>
    <hyperlink ref="H526" r:id="rId584" xr:uid="{00000000-0004-0000-0000-000047020000}"/>
    <hyperlink ref="I526" r:id="rId585" xr:uid="{00000000-0004-0000-0000-000048020000}"/>
    <hyperlink ref="G527" r:id="rId586" xr:uid="{00000000-0004-0000-0000-000049020000}"/>
    <hyperlink ref="H527" r:id="rId587" xr:uid="{00000000-0004-0000-0000-00004A020000}"/>
    <hyperlink ref="I527" r:id="rId588" xr:uid="{00000000-0004-0000-0000-00004B020000}"/>
    <hyperlink ref="G528" r:id="rId589" xr:uid="{00000000-0004-0000-0000-00004C020000}"/>
    <hyperlink ref="H528" r:id="rId590" xr:uid="{00000000-0004-0000-0000-00004D020000}"/>
    <hyperlink ref="I528" r:id="rId591" xr:uid="{00000000-0004-0000-0000-00004E020000}"/>
    <hyperlink ref="G529" r:id="rId592" xr:uid="{00000000-0004-0000-0000-00004F020000}"/>
    <hyperlink ref="H529" r:id="rId593" xr:uid="{00000000-0004-0000-0000-000050020000}"/>
    <hyperlink ref="I529" r:id="rId594" xr:uid="{00000000-0004-0000-0000-000051020000}"/>
    <hyperlink ref="G530" r:id="rId595" xr:uid="{00000000-0004-0000-0000-000052020000}"/>
    <hyperlink ref="H530" r:id="rId596" xr:uid="{00000000-0004-0000-0000-000053020000}"/>
    <hyperlink ref="I530" r:id="rId597" xr:uid="{00000000-0004-0000-0000-000054020000}"/>
    <hyperlink ref="G531" r:id="rId598" xr:uid="{00000000-0004-0000-0000-000055020000}"/>
    <hyperlink ref="H531" r:id="rId599" xr:uid="{00000000-0004-0000-0000-000056020000}"/>
    <hyperlink ref="I531" r:id="rId600" xr:uid="{00000000-0004-0000-0000-000057020000}"/>
    <hyperlink ref="G532" r:id="rId601" xr:uid="{00000000-0004-0000-0000-000058020000}"/>
    <hyperlink ref="H532" r:id="rId602" xr:uid="{00000000-0004-0000-0000-000059020000}"/>
    <hyperlink ref="I532" r:id="rId603" xr:uid="{00000000-0004-0000-0000-00005A020000}"/>
    <hyperlink ref="G533" r:id="rId604" xr:uid="{00000000-0004-0000-0000-00005B020000}"/>
    <hyperlink ref="H533" r:id="rId605" xr:uid="{00000000-0004-0000-0000-00005C020000}"/>
    <hyperlink ref="I533" r:id="rId606" xr:uid="{00000000-0004-0000-0000-00005D020000}"/>
    <hyperlink ref="G534" r:id="rId607" xr:uid="{00000000-0004-0000-0000-00005E020000}"/>
    <hyperlink ref="H534" r:id="rId608" xr:uid="{00000000-0004-0000-0000-00005F020000}"/>
    <hyperlink ref="I534" r:id="rId609" xr:uid="{00000000-0004-0000-0000-000060020000}"/>
    <hyperlink ref="G535" r:id="rId610" xr:uid="{00000000-0004-0000-0000-000061020000}"/>
    <hyperlink ref="H535" r:id="rId611" xr:uid="{00000000-0004-0000-0000-000062020000}"/>
    <hyperlink ref="I535" r:id="rId612" xr:uid="{00000000-0004-0000-0000-000063020000}"/>
    <hyperlink ref="G536" r:id="rId613" xr:uid="{00000000-0004-0000-0000-000064020000}"/>
    <hyperlink ref="H536" r:id="rId614" xr:uid="{00000000-0004-0000-0000-000065020000}"/>
    <hyperlink ref="I536" r:id="rId615" xr:uid="{00000000-0004-0000-0000-000066020000}"/>
    <hyperlink ref="G537" r:id="rId616" xr:uid="{00000000-0004-0000-0000-000067020000}"/>
    <hyperlink ref="H537" r:id="rId617" xr:uid="{00000000-0004-0000-0000-000068020000}"/>
    <hyperlink ref="I537" r:id="rId618" xr:uid="{00000000-0004-0000-0000-000069020000}"/>
    <hyperlink ref="G538" r:id="rId619" xr:uid="{00000000-0004-0000-0000-00006A020000}"/>
    <hyperlink ref="H538" r:id="rId620" xr:uid="{00000000-0004-0000-0000-00006B020000}"/>
    <hyperlink ref="I538" r:id="rId621" xr:uid="{00000000-0004-0000-0000-00006C020000}"/>
    <hyperlink ref="G539" r:id="rId622" xr:uid="{00000000-0004-0000-0000-00006D020000}"/>
    <hyperlink ref="H539" r:id="rId623" xr:uid="{00000000-0004-0000-0000-00006E020000}"/>
    <hyperlink ref="I539" r:id="rId624" xr:uid="{00000000-0004-0000-0000-00006F020000}"/>
    <hyperlink ref="G540" r:id="rId625" xr:uid="{00000000-0004-0000-0000-000070020000}"/>
    <hyperlink ref="H540" r:id="rId626" xr:uid="{00000000-0004-0000-0000-000071020000}"/>
    <hyperlink ref="I540" r:id="rId627" xr:uid="{00000000-0004-0000-0000-000072020000}"/>
    <hyperlink ref="G541" r:id="rId628" xr:uid="{00000000-0004-0000-0000-000073020000}"/>
    <hyperlink ref="H541" r:id="rId629" xr:uid="{00000000-0004-0000-0000-000074020000}"/>
    <hyperlink ref="I541" r:id="rId630" xr:uid="{00000000-0004-0000-0000-000075020000}"/>
    <hyperlink ref="G147" r:id="rId631" xr:uid="{00000000-0004-0000-0000-000076020000}"/>
    <hyperlink ref="H147" r:id="rId632" xr:uid="{00000000-0004-0000-0000-000077020000}"/>
    <hyperlink ref="I147" r:id="rId633" xr:uid="{00000000-0004-0000-0000-000078020000}"/>
    <hyperlink ref="G148" r:id="rId634" xr:uid="{00000000-0004-0000-0000-000079020000}"/>
    <hyperlink ref="H148" r:id="rId635" xr:uid="{00000000-0004-0000-0000-00007A020000}"/>
    <hyperlink ref="I148" r:id="rId636" xr:uid="{00000000-0004-0000-0000-00007B020000}"/>
    <hyperlink ref="G149" r:id="rId637" xr:uid="{00000000-0004-0000-0000-00007C020000}"/>
    <hyperlink ref="H149" r:id="rId638" xr:uid="{00000000-0004-0000-0000-00007D020000}"/>
    <hyperlink ref="I149" r:id="rId639" xr:uid="{00000000-0004-0000-0000-00007E020000}"/>
    <hyperlink ref="G150" r:id="rId640" xr:uid="{00000000-0004-0000-0000-00007F020000}"/>
    <hyperlink ref="H150" r:id="rId641" xr:uid="{00000000-0004-0000-0000-000080020000}"/>
    <hyperlink ref="I150" r:id="rId642" xr:uid="{00000000-0004-0000-0000-000081020000}"/>
    <hyperlink ref="G74" r:id="rId643" xr:uid="{00000000-0004-0000-0000-000082020000}"/>
    <hyperlink ref="H74" r:id="rId644" xr:uid="{00000000-0004-0000-0000-000083020000}"/>
    <hyperlink ref="I74" r:id="rId645" xr:uid="{00000000-0004-0000-0000-000084020000}"/>
    <hyperlink ref="G75" r:id="rId646" xr:uid="{00000000-0004-0000-0000-000085020000}"/>
    <hyperlink ref="H75" r:id="rId647" xr:uid="{00000000-0004-0000-0000-000086020000}"/>
    <hyperlink ref="I75" r:id="rId648" xr:uid="{00000000-0004-0000-0000-000087020000}"/>
    <hyperlink ref="G76" r:id="rId649" xr:uid="{00000000-0004-0000-0000-000088020000}"/>
    <hyperlink ref="H76" r:id="rId650" xr:uid="{00000000-0004-0000-0000-000089020000}"/>
    <hyperlink ref="I76" r:id="rId651" xr:uid="{00000000-0004-0000-0000-00008A020000}"/>
    <hyperlink ref="G77" r:id="rId652" xr:uid="{00000000-0004-0000-0000-00008B020000}"/>
    <hyperlink ref="H77" r:id="rId653" xr:uid="{00000000-0004-0000-0000-00008C020000}"/>
    <hyperlink ref="I77" r:id="rId654" xr:uid="{00000000-0004-0000-0000-00008D020000}"/>
    <hyperlink ref="G78" r:id="rId655" xr:uid="{00000000-0004-0000-0000-00008E020000}"/>
    <hyperlink ref="H78" r:id="rId656" xr:uid="{00000000-0004-0000-0000-00008F020000}"/>
    <hyperlink ref="I78" r:id="rId657" xr:uid="{00000000-0004-0000-0000-000090020000}"/>
    <hyperlink ref="G79" r:id="rId658" xr:uid="{00000000-0004-0000-0000-000091020000}"/>
    <hyperlink ref="H79" r:id="rId659" xr:uid="{00000000-0004-0000-0000-000092020000}"/>
    <hyperlink ref="I79" r:id="rId660" xr:uid="{00000000-0004-0000-0000-000093020000}"/>
    <hyperlink ref="G80" r:id="rId661" xr:uid="{00000000-0004-0000-0000-000094020000}"/>
    <hyperlink ref="H80" r:id="rId662" xr:uid="{00000000-0004-0000-0000-000095020000}"/>
    <hyperlink ref="I80" r:id="rId663" xr:uid="{00000000-0004-0000-0000-000096020000}"/>
    <hyperlink ref="G81" r:id="rId664" xr:uid="{00000000-0004-0000-0000-000097020000}"/>
    <hyperlink ref="H81" r:id="rId665" xr:uid="{00000000-0004-0000-0000-000098020000}"/>
    <hyperlink ref="I81" r:id="rId666" xr:uid="{00000000-0004-0000-0000-000099020000}"/>
    <hyperlink ref="G82" r:id="rId667" xr:uid="{00000000-0004-0000-0000-00009A020000}"/>
    <hyperlink ref="H82" r:id="rId668" xr:uid="{00000000-0004-0000-0000-00009B020000}"/>
    <hyperlink ref="I82" r:id="rId669" xr:uid="{00000000-0004-0000-0000-00009C020000}"/>
    <hyperlink ref="G83" r:id="rId670" xr:uid="{00000000-0004-0000-0000-00009D020000}"/>
    <hyperlink ref="H83" r:id="rId671" xr:uid="{00000000-0004-0000-0000-00009E020000}"/>
    <hyperlink ref="I83" r:id="rId672" xr:uid="{00000000-0004-0000-0000-00009F020000}"/>
    <hyperlink ref="G54" r:id="rId673" xr:uid="{00000000-0004-0000-0000-0000A0020000}"/>
    <hyperlink ref="H54" r:id="rId674" xr:uid="{00000000-0004-0000-0000-0000A1020000}"/>
    <hyperlink ref="I54" r:id="rId675" xr:uid="{00000000-0004-0000-0000-0000A2020000}"/>
    <hyperlink ref="G55" r:id="rId676" xr:uid="{00000000-0004-0000-0000-0000A3020000}"/>
    <hyperlink ref="H55" r:id="rId677" xr:uid="{00000000-0004-0000-0000-0000A4020000}"/>
    <hyperlink ref="I55" r:id="rId678" xr:uid="{00000000-0004-0000-0000-0000A5020000}"/>
    <hyperlink ref="G56" r:id="rId679" xr:uid="{00000000-0004-0000-0000-0000A6020000}"/>
    <hyperlink ref="H56" r:id="rId680" xr:uid="{00000000-0004-0000-0000-0000A7020000}"/>
    <hyperlink ref="I56" r:id="rId681" xr:uid="{00000000-0004-0000-0000-0000A8020000}"/>
    <hyperlink ref="G57" r:id="rId682" xr:uid="{00000000-0004-0000-0000-0000A9020000}"/>
    <hyperlink ref="H57" r:id="rId683" xr:uid="{00000000-0004-0000-0000-0000AA020000}"/>
    <hyperlink ref="I57" r:id="rId684" xr:uid="{00000000-0004-0000-0000-0000AB020000}"/>
    <hyperlink ref="G58" r:id="rId685" xr:uid="{00000000-0004-0000-0000-0000AC020000}"/>
    <hyperlink ref="H58" r:id="rId686" xr:uid="{00000000-0004-0000-0000-0000AD020000}"/>
    <hyperlink ref="I58" r:id="rId687" xr:uid="{00000000-0004-0000-0000-0000AE020000}"/>
    <hyperlink ref="G59" r:id="rId688" xr:uid="{00000000-0004-0000-0000-0000AF020000}"/>
    <hyperlink ref="H59" r:id="rId689" xr:uid="{00000000-0004-0000-0000-0000B0020000}"/>
    <hyperlink ref="I59" r:id="rId690" xr:uid="{00000000-0004-0000-0000-0000B1020000}"/>
    <hyperlink ref="G60" r:id="rId691" xr:uid="{00000000-0004-0000-0000-0000B2020000}"/>
    <hyperlink ref="H60" r:id="rId692" xr:uid="{00000000-0004-0000-0000-0000B3020000}"/>
    <hyperlink ref="I60" r:id="rId693" xr:uid="{00000000-0004-0000-0000-0000B4020000}"/>
    <hyperlink ref="G61" r:id="rId694" xr:uid="{00000000-0004-0000-0000-0000B5020000}"/>
    <hyperlink ref="H61" r:id="rId695" xr:uid="{00000000-0004-0000-0000-0000B6020000}"/>
    <hyperlink ref="I61" r:id="rId696" xr:uid="{00000000-0004-0000-0000-0000B7020000}"/>
    <hyperlink ref="G62" r:id="rId697" xr:uid="{00000000-0004-0000-0000-0000B8020000}"/>
    <hyperlink ref="H62" r:id="rId698" xr:uid="{00000000-0004-0000-0000-0000B9020000}"/>
    <hyperlink ref="I62" r:id="rId699" xr:uid="{00000000-0004-0000-0000-0000BA020000}"/>
    <hyperlink ref="G63" r:id="rId700" xr:uid="{00000000-0004-0000-0000-0000BB020000}"/>
    <hyperlink ref="H63" r:id="rId701" xr:uid="{00000000-0004-0000-0000-0000BC020000}"/>
    <hyperlink ref="I63" r:id="rId702" xr:uid="{00000000-0004-0000-0000-0000BD020000}"/>
    <hyperlink ref="G64" r:id="rId703" xr:uid="{00000000-0004-0000-0000-0000BE020000}"/>
    <hyperlink ref="H64" r:id="rId704" xr:uid="{00000000-0004-0000-0000-0000BF020000}"/>
    <hyperlink ref="I64" r:id="rId705" xr:uid="{00000000-0004-0000-0000-0000C0020000}"/>
    <hyperlink ref="G65" r:id="rId706" xr:uid="{00000000-0004-0000-0000-0000C1020000}"/>
    <hyperlink ref="H65" r:id="rId707" xr:uid="{00000000-0004-0000-0000-0000C2020000}"/>
    <hyperlink ref="I65" r:id="rId708" xr:uid="{00000000-0004-0000-0000-0000C3020000}"/>
    <hyperlink ref="G66" r:id="rId709" xr:uid="{00000000-0004-0000-0000-0000C4020000}"/>
    <hyperlink ref="H66" r:id="rId710" xr:uid="{00000000-0004-0000-0000-0000C5020000}"/>
    <hyperlink ref="I66" r:id="rId711" xr:uid="{00000000-0004-0000-0000-0000C6020000}"/>
    <hyperlink ref="G67" r:id="rId712" xr:uid="{00000000-0004-0000-0000-0000C7020000}"/>
    <hyperlink ref="H67" r:id="rId713" xr:uid="{00000000-0004-0000-0000-0000C8020000}"/>
    <hyperlink ref="I67" r:id="rId714" xr:uid="{00000000-0004-0000-0000-0000C9020000}"/>
    <hyperlink ref="G68" r:id="rId715" xr:uid="{00000000-0004-0000-0000-0000CA020000}"/>
    <hyperlink ref="H68" r:id="rId716" xr:uid="{00000000-0004-0000-0000-0000CB020000}"/>
    <hyperlink ref="I68" r:id="rId717" xr:uid="{00000000-0004-0000-0000-0000CC020000}"/>
    <hyperlink ref="G69" r:id="rId718" xr:uid="{00000000-0004-0000-0000-0000CD020000}"/>
    <hyperlink ref="H69" r:id="rId719" xr:uid="{00000000-0004-0000-0000-0000CE020000}"/>
    <hyperlink ref="I69" r:id="rId720" xr:uid="{00000000-0004-0000-0000-0000CF020000}"/>
    <hyperlink ref="G70" r:id="rId721" xr:uid="{00000000-0004-0000-0000-0000D0020000}"/>
    <hyperlink ref="H70" r:id="rId722" xr:uid="{00000000-0004-0000-0000-0000D1020000}"/>
    <hyperlink ref="I70" r:id="rId723" xr:uid="{00000000-0004-0000-0000-0000D2020000}"/>
    <hyperlink ref="G71" r:id="rId724" xr:uid="{00000000-0004-0000-0000-0000D3020000}"/>
    <hyperlink ref="H71" r:id="rId725" xr:uid="{00000000-0004-0000-0000-0000D4020000}"/>
    <hyperlink ref="I71" r:id="rId726" xr:uid="{00000000-0004-0000-0000-0000D5020000}"/>
    <hyperlink ref="G72" r:id="rId727" xr:uid="{00000000-0004-0000-0000-0000D6020000}"/>
    <hyperlink ref="H72" r:id="rId728" xr:uid="{00000000-0004-0000-0000-0000D7020000}"/>
    <hyperlink ref="I72" r:id="rId729" xr:uid="{00000000-0004-0000-0000-0000D8020000}"/>
    <hyperlink ref="G73" r:id="rId730" xr:uid="{00000000-0004-0000-0000-0000D9020000}"/>
    <hyperlink ref="H73" r:id="rId731" xr:uid="{00000000-0004-0000-0000-0000DA020000}"/>
    <hyperlink ref="I73" r:id="rId732" xr:uid="{00000000-0004-0000-0000-0000DB020000}"/>
    <hyperlink ref="G121" r:id="rId733" xr:uid="{00000000-0004-0000-0000-0000DC020000}"/>
    <hyperlink ref="H121" r:id="rId734" xr:uid="{00000000-0004-0000-0000-0000DD020000}"/>
    <hyperlink ref="I121" r:id="rId735" xr:uid="{00000000-0004-0000-0000-0000DE020000}"/>
    <hyperlink ref="G122" r:id="rId736" xr:uid="{00000000-0004-0000-0000-0000DF020000}"/>
    <hyperlink ref="H122" r:id="rId737" xr:uid="{00000000-0004-0000-0000-0000E0020000}"/>
    <hyperlink ref="I122" r:id="rId738" xr:uid="{00000000-0004-0000-0000-0000E1020000}"/>
    <hyperlink ref="G123" r:id="rId739" xr:uid="{00000000-0004-0000-0000-0000E2020000}"/>
    <hyperlink ref="H123" r:id="rId740" xr:uid="{00000000-0004-0000-0000-0000E3020000}"/>
    <hyperlink ref="I123" r:id="rId741" xr:uid="{00000000-0004-0000-0000-0000E4020000}"/>
    <hyperlink ref="G124" r:id="rId742" xr:uid="{00000000-0004-0000-0000-0000E5020000}"/>
    <hyperlink ref="H124" r:id="rId743" xr:uid="{00000000-0004-0000-0000-0000E6020000}"/>
    <hyperlink ref="I124" r:id="rId744" xr:uid="{00000000-0004-0000-0000-0000E7020000}"/>
    <hyperlink ref="G115" r:id="rId745" xr:uid="{00000000-0004-0000-0000-0000E8020000}"/>
    <hyperlink ref="H115" r:id="rId746" xr:uid="{00000000-0004-0000-0000-0000E9020000}"/>
    <hyperlink ref="I115" r:id="rId747" xr:uid="{00000000-0004-0000-0000-0000EA020000}"/>
    <hyperlink ref="G116" r:id="rId748" xr:uid="{00000000-0004-0000-0000-0000EB020000}"/>
    <hyperlink ref="H116" r:id="rId749" xr:uid="{00000000-0004-0000-0000-0000EC020000}"/>
    <hyperlink ref="I116" r:id="rId750" xr:uid="{00000000-0004-0000-0000-0000ED020000}"/>
    <hyperlink ref="G117" r:id="rId751" xr:uid="{00000000-0004-0000-0000-0000EE020000}"/>
    <hyperlink ref="H117" r:id="rId752" xr:uid="{00000000-0004-0000-0000-0000EF020000}"/>
    <hyperlink ref="I117" r:id="rId753" xr:uid="{00000000-0004-0000-0000-0000F0020000}"/>
    <hyperlink ref="G118" r:id="rId754" xr:uid="{00000000-0004-0000-0000-0000F1020000}"/>
    <hyperlink ref="H118" r:id="rId755" xr:uid="{00000000-0004-0000-0000-0000F2020000}"/>
    <hyperlink ref="I118" r:id="rId756" xr:uid="{00000000-0004-0000-0000-0000F3020000}"/>
    <hyperlink ref="G119" r:id="rId757" xr:uid="{00000000-0004-0000-0000-0000F4020000}"/>
    <hyperlink ref="H119" r:id="rId758" xr:uid="{00000000-0004-0000-0000-0000F5020000}"/>
    <hyperlink ref="I119" r:id="rId759" xr:uid="{00000000-0004-0000-0000-0000F6020000}"/>
    <hyperlink ref="G120" r:id="rId760" xr:uid="{00000000-0004-0000-0000-0000F7020000}"/>
    <hyperlink ref="H120" r:id="rId761" xr:uid="{00000000-0004-0000-0000-0000F8020000}"/>
    <hyperlink ref="I120" r:id="rId762" xr:uid="{00000000-0004-0000-0000-0000F9020000}"/>
    <hyperlink ref="G109" r:id="rId763" xr:uid="{00000000-0004-0000-0000-0000FA020000}"/>
    <hyperlink ref="H109" r:id="rId764" xr:uid="{00000000-0004-0000-0000-0000FB020000}"/>
    <hyperlink ref="I109" r:id="rId765" xr:uid="{00000000-0004-0000-0000-0000FC020000}"/>
    <hyperlink ref="G110" r:id="rId766" xr:uid="{00000000-0004-0000-0000-0000FD020000}"/>
    <hyperlink ref="H110" r:id="rId767" xr:uid="{00000000-0004-0000-0000-0000FE020000}"/>
    <hyperlink ref="I110" r:id="rId768" xr:uid="{00000000-0004-0000-0000-0000FF020000}"/>
    <hyperlink ref="G111" r:id="rId769" xr:uid="{00000000-0004-0000-0000-000000030000}"/>
    <hyperlink ref="H111" r:id="rId770" xr:uid="{00000000-0004-0000-0000-000001030000}"/>
    <hyperlink ref="I111" r:id="rId771" xr:uid="{00000000-0004-0000-0000-000002030000}"/>
    <hyperlink ref="G112" r:id="rId772" xr:uid="{00000000-0004-0000-0000-000003030000}"/>
    <hyperlink ref="H112" r:id="rId773" xr:uid="{00000000-0004-0000-0000-000004030000}"/>
    <hyperlink ref="I112" r:id="rId774" xr:uid="{00000000-0004-0000-0000-000005030000}"/>
    <hyperlink ref="G113" r:id="rId775" xr:uid="{00000000-0004-0000-0000-000006030000}"/>
    <hyperlink ref="H113" r:id="rId776" xr:uid="{00000000-0004-0000-0000-000007030000}"/>
    <hyperlink ref="I113" r:id="rId777" xr:uid="{00000000-0004-0000-0000-000008030000}"/>
    <hyperlink ref="G114" r:id="rId778" xr:uid="{00000000-0004-0000-0000-000009030000}"/>
    <hyperlink ref="H114" r:id="rId779" xr:uid="{00000000-0004-0000-0000-00000A030000}"/>
    <hyperlink ref="I114" r:id="rId780" xr:uid="{00000000-0004-0000-0000-00000B030000}"/>
    <hyperlink ref="G182" r:id="rId781" xr:uid="{00000000-0004-0000-0000-00000C030000}"/>
    <hyperlink ref="H182" r:id="rId782" xr:uid="{00000000-0004-0000-0000-00000D030000}"/>
    <hyperlink ref="I182" r:id="rId783" xr:uid="{00000000-0004-0000-0000-00000E030000}"/>
    <hyperlink ref="G183" r:id="rId784" xr:uid="{00000000-0004-0000-0000-00000F030000}"/>
    <hyperlink ref="H183" r:id="rId785" xr:uid="{00000000-0004-0000-0000-000010030000}"/>
    <hyperlink ref="I183" r:id="rId786" xr:uid="{00000000-0004-0000-0000-000011030000}"/>
    <hyperlink ref="G184" r:id="rId787" xr:uid="{00000000-0004-0000-0000-000012030000}"/>
    <hyperlink ref="H184" r:id="rId788" xr:uid="{00000000-0004-0000-0000-000013030000}"/>
    <hyperlink ref="I184" r:id="rId789" xr:uid="{00000000-0004-0000-0000-000014030000}"/>
    <hyperlink ref="G185" r:id="rId790" xr:uid="{00000000-0004-0000-0000-000015030000}"/>
    <hyperlink ref="H185" r:id="rId791" xr:uid="{00000000-0004-0000-0000-000016030000}"/>
    <hyperlink ref="I185" r:id="rId792" xr:uid="{00000000-0004-0000-0000-000017030000}"/>
    <hyperlink ref="G186" r:id="rId793" xr:uid="{00000000-0004-0000-0000-000018030000}"/>
    <hyperlink ref="H186" r:id="rId794" xr:uid="{00000000-0004-0000-0000-000019030000}"/>
    <hyperlink ref="I186" r:id="rId795" xr:uid="{00000000-0004-0000-0000-00001A030000}"/>
    <hyperlink ref="G187" r:id="rId796" xr:uid="{00000000-0004-0000-0000-00001B030000}"/>
    <hyperlink ref="H187" r:id="rId797" xr:uid="{00000000-0004-0000-0000-00001C030000}"/>
    <hyperlink ref="I187" r:id="rId798" xr:uid="{00000000-0004-0000-0000-00001D030000}"/>
    <hyperlink ref="G188" r:id="rId799" xr:uid="{00000000-0004-0000-0000-00001E030000}"/>
    <hyperlink ref="H188" r:id="rId800" xr:uid="{00000000-0004-0000-0000-00001F030000}"/>
    <hyperlink ref="I188" r:id="rId801" xr:uid="{00000000-0004-0000-0000-000020030000}"/>
    <hyperlink ref="G189" r:id="rId802" xr:uid="{00000000-0004-0000-0000-000021030000}"/>
    <hyperlink ref="H189" r:id="rId803" xr:uid="{00000000-0004-0000-0000-000022030000}"/>
    <hyperlink ref="I189" r:id="rId804" xr:uid="{00000000-0004-0000-0000-000023030000}"/>
    <hyperlink ref="G190" r:id="rId805" xr:uid="{00000000-0004-0000-0000-000024030000}"/>
    <hyperlink ref="H190" r:id="rId806" xr:uid="{00000000-0004-0000-0000-000025030000}"/>
    <hyperlink ref="I190" r:id="rId807" xr:uid="{00000000-0004-0000-0000-000026030000}"/>
    <hyperlink ref="G221" r:id="rId808" xr:uid="{00000000-0004-0000-0000-000027030000}"/>
    <hyperlink ref="H221" r:id="rId809" xr:uid="{00000000-0004-0000-0000-000028030000}"/>
    <hyperlink ref="I221" r:id="rId810" xr:uid="{00000000-0004-0000-0000-000029030000}"/>
    <hyperlink ref="G237" r:id="rId811" xr:uid="{00000000-0004-0000-0000-00002A030000}"/>
    <hyperlink ref="H237" r:id="rId812" xr:uid="{00000000-0004-0000-0000-00002B030000}"/>
    <hyperlink ref="I237" r:id="rId813" xr:uid="{00000000-0004-0000-0000-00002C030000}"/>
    <hyperlink ref="G319" r:id="rId814" xr:uid="{00000000-0004-0000-0000-00002D030000}"/>
    <hyperlink ref="H319" r:id="rId815" xr:uid="{00000000-0004-0000-0000-00002E030000}"/>
    <hyperlink ref="I319" r:id="rId816" xr:uid="{00000000-0004-0000-0000-00002F030000}"/>
    <hyperlink ref="G301" r:id="rId817" xr:uid="{00000000-0004-0000-0000-000030030000}"/>
    <hyperlink ref="H301" r:id="rId818" xr:uid="{00000000-0004-0000-0000-000031030000}"/>
    <hyperlink ref="I301" r:id="rId819" xr:uid="{00000000-0004-0000-0000-000032030000}"/>
    <hyperlink ref="G222" r:id="rId820" xr:uid="{00000000-0004-0000-0000-000033030000}"/>
    <hyperlink ref="H222" r:id="rId821" xr:uid="{00000000-0004-0000-0000-000034030000}"/>
    <hyperlink ref="I222" r:id="rId822" xr:uid="{00000000-0004-0000-0000-000035030000}"/>
    <hyperlink ref="G225" r:id="rId823" xr:uid="{00000000-0004-0000-0000-000036030000}"/>
    <hyperlink ref="H225" r:id="rId824" xr:uid="{00000000-0004-0000-0000-000037030000}"/>
    <hyperlink ref="I225" r:id="rId825" xr:uid="{00000000-0004-0000-0000-000038030000}"/>
    <hyperlink ref="G238" r:id="rId826" xr:uid="{00000000-0004-0000-0000-000039030000}"/>
    <hyperlink ref="H238" r:id="rId827" xr:uid="{00000000-0004-0000-0000-00003A030000}"/>
    <hyperlink ref="I238" r:id="rId828" xr:uid="{00000000-0004-0000-0000-00003B030000}"/>
    <hyperlink ref="G320" r:id="rId829" xr:uid="{00000000-0004-0000-0000-00003C030000}"/>
    <hyperlink ref="H320" r:id="rId830" xr:uid="{00000000-0004-0000-0000-00003D030000}"/>
    <hyperlink ref="I320" r:id="rId831" xr:uid="{00000000-0004-0000-0000-00003E030000}"/>
    <hyperlink ref="G302" r:id="rId832" xr:uid="{00000000-0004-0000-0000-00003F030000}"/>
    <hyperlink ref="H302" r:id="rId833" xr:uid="{00000000-0004-0000-0000-000040030000}"/>
    <hyperlink ref="I302" r:id="rId834" xr:uid="{00000000-0004-0000-0000-000041030000}"/>
    <hyperlink ref="G322" r:id="rId835" xr:uid="{00000000-0004-0000-0000-000042030000}"/>
    <hyperlink ref="H322" r:id="rId836" xr:uid="{00000000-0004-0000-0000-000043030000}"/>
    <hyperlink ref="I322" r:id="rId837" xr:uid="{00000000-0004-0000-0000-000044030000}"/>
    <hyperlink ref="G219" r:id="rId838" xr:uid="{00000000-0004-0000-0000-000045030000}"/>
    <hyperlink ref="H219" r:id="rId839" xr:uid="{00000000-0004-0000-0000-000046030000}"/>
    <hyperlink ref="I219" r:id="rId840" xr:uid="{00000000-0004-0000-0000-000047030000}"/>
    <hyperlink ref="G223" r:id="rId841" xr:uid="{00000000-0004-0000-0000-000048030000}"/>
    <hyperlink ref="H223" r:id="rId842" xr:uid="{00000000-0004-0000-0000-000049030000}"/>
    <hyperlink ref="I223" r:id="rId843" xr:uid="{00000000-0004-0000-0000-00004A030000}"/>
    <hyperlink ref="G235" r:id="rId844" xr:uid="{00000000-0004-0000-0000-00004B030000}"/>
    <hyperlink ref="H235" r:id="rId845" xr:uid="{00000000-0004-0000-0000-00004C030000}"/>
    <hyperlink ref="I235" r:id="rId846" xr:uid="{00000000-0004-0000-0000-00004D030000}"/>
    <hyperlink ref="G317" r:id="rId847" xr:uid="{00000000-0004-0000-0000-00004E030000}"/>
    <hyperlink ref="H317" r:id="rId848" xr:uid="{00000000-0004-0000-0000-00004F030000}"/>
    <hyperlink ref="I317" r:id="rId849" xr:uid="{00000000-0004-0000-0000-000050030000}"/>
    <hyperlink ref="G299" r:id="rId850" xr:uid="{00000000-0004-0000-0000-000051030000}"/>
    <hyperlink ref="H299" r:id="rId851" xr:uid="{00000000-0004-0000-0000-000052030000}"/>
    <hyperlink ref="I299" r:id="rId852" xr:uid="{00000000-0004-0000-0000-000053030000}"/>
    <hyperlink ref="G220" r:id="rId853" xr:uid="{00000000-0004-0000-0000-000054030000}"/>
    <hyperlink ref="H220" r:id="rId854" xr:uid="{00000000-0004-0000-0000-000055030000}"/>
    <hyperlink ref="I220" r:id="rId855" xr:uid="{00000000-0004-0000-0000-000056030000}"/>
    <hyperlink ref="G224" r:id="rId856" xr:uid="{00000000-0004-0000-0000-000057030000}"/>
    <hyperlink ref="H224" r:id="rId857" xr:uid="{00000000-0004-0000-0000-000058030000}"/>
    <hyperlink ref="I224" r:id="rId858" xr:uid="{00000000-0004-0000-0000-000059030000}"/>
    <hyperlink ref="G236" r:id="rId859" xr:uid="{00000000-0004-0000-0000-00005A030000}"/>
    <hyperlink ref="H236" r:id="rId860" xr:uid="{00000000-0004-0000-0000-00005B030000}"/>
    <hyperlink ref="I236" r:id="rId861" xr:uid="{00000000-0004-0000-0000-00005C030000}"/>
    <hyperlink ref="G318" r:id="rId862" xr:uid="{00000000-0004-0000-0000-00005D030000}"/>
    <hyperlink ref="H318" r:id="rId863" xr:uid="{00000000-0004-0000-0000-00005E030000}"/>
    <hyperlink ref="I318" r:id="rId864" xr:uid="{00000000-0004-0000-0000-00005F030000}"/>
    <hyperlink ref="G300" r:id="rId865" xr:uid="{00000000-0004-0000-0000-000060030000}"/>
    <hyperlink ref="H300" r:id="rId866" xr:uid="{00000000-0004-0000-0000-000061030000}"/>
    <hyperlink ref="I300" r:id="rId867" xr:uid="{00000000-0004-0000-0000-000062030000}"/>
    <hyperlink ref="G321" r:id="rId868" xr:uid="{00000000-0004-0000-0000-000063030000}"/>
    <hyperlink ref="H321" r:id="rId869" xr:uid="{00000000-0004-0000-0000-000064030000}"/>
    <hyperlink ref="I321" r:id="rId870" xr:uid="{00000000-0004-0000-0000-000065030000}"/>
    <hyperlink ref="G157" r:id="rId871" xr:uid="{00000000-0004-0000-0000-000066030000}"/>
    <hyperlink ref="H157" r:id="rId872" xr:uid="{00000000-0004-0000-0000-000067030000}"/>
    <hyperlink ref="I157" r:id="rId873" xr:uid="{00000000-0004-0000-0000-000068030000}"/>
    <hyperlink ref="G158" r:id="rId874" xr:uid="{00000000-0004-0000-0000-000069030000}"/>
    <hyperlink ref="H158" r:id="rId875" xr:uid="{00000000-0004-0000-0000-00006A030000}"/>
    <hyperlink ref="I158" r:id="rId876" xr:uid="{00000000-0004-0000-0000-00006B030000}"/>
    <hyperlink ref="G159" r:id="rId877" xr:uid="{00000000-0004-0000-0000-00006C030000}"/>
    <hyperlink ref="H159" r:id="rId878" xr:uid="{00000000-0004-0000-0000-00006D030000}"/>
    <hyperlink ref="I159" r:id="rId879" xr:uid="{00000000-0004-0000-0000-00006E030000}"/>
    <hyperlink ref="G160" r:id="rId880" xr:uid="{00000000-0004-0000-0000-00006F030000}"/>
    <hyperlink ref="H160" r:id="rId881" xr:uid="{00000000-0004-0000-0000-000070030000}"/>
    <hyperlink ref="I160" r:id="rId882" xr:uid="{00000000-0004-0000-0000-000071030000}"/>
    <hyperlink ref="G161" r:id="rId883" xr:uid="{00000000-0004-0000-0000-000072030000}"/>
    <hyperlink ref="H161" r:id="rId884" xr:uid="{00000000-0004-0000-0000-000073030000}"/>
    <hyperlink ref="I161" r:id="rId885" xr:uid="{00000000-0004-0000-0000-000074030000}"/>
    <hyperlink ref="G162" r:id="rId886" xr:uid="{00000000-0004-0000-0000-000075030000}"/>
    <hyperlink ref="H162" r:id="rId887" xr:uid="{00000000-0004-0000-0000-000076030000}"/>
    <hyperlink ref="I162" r:id="rId888" xr:uid="{00000000-0004-0000-0000-000077030000}"/>
    <hyperlink ref="G163" r:id="rId889" xr:uid="{00000000-0004-0000-0000-000078030000}"/>
    <hyperlink ref="H163" r:id="rId890" xr:uid="{00000000-0004-0000-0000-000079030000}"/>
    <hyperlink ref="I163" r:id="rId891" xr:uid="{00000000-0004-0000-0000-00007A030000}"/>
    <hyperlink ref="G164" r:id="rId892" xr:uid="{00000000-0004-0000-0000-00007B030000}"/>
    <hyperlink ref="H164" r:id="rId893" xr:uid="{00000000-0004-0000-0000-00007C030000}"/>
    <hyperlink ref="I164" r:id="rId894" xr:uid="{00000000-0004-0000-0000-00007D030000}"/>
    <hyperlink ref="G375" r:id="rId895" xr:uid="{00000000-0004-0000-0000-00007E030000}"/>
    <hyperlink ref="H375" r:id="rId896" xr:uid="{00000000-0004-0000-0000-00007F030000}"/>
    <hyperlink ref="I375" r:id="rId897" xr:uid="{00000000-0004-0000-0000-000080030000}"/>
    <hyperlink ref="G376" r:id="rId898" xr:uid="{00000000-0004-0000-0000-000081030000}"/>
    <hyperlink ref="H376" r:id="rId899" xr:uid="{00000000-0004-0000-0000-000082030000}"/>
    <hyperlink ref="I376" r:id="rId900" xr:uid="{00000000-0004-0000-0000-000083030000}"/>
    <hyperlink ref="G377" r:id="rId901" xr:uid="{00000000-0004-0000-0000-000084030000}"/>
    <hyperlink ref="H377" r:id="rId902" xr:uid="{00000000-0004-0000-0000-000085030000}"/>
    <hyperlink ref="I377" r:id="rId903" xr:uid="{00000000-0004-0000-0000-000086030000}"/>
    <hyperlink ref="G378" r:id="rId904" xr:uid="{00000000-0004-0000-0000-000087030000}"/>
    <hyperlink ref="H378" r:id="rId905" xr:uid="{00000000-0004-0000-0000-000088030000}"/>
    <hyperlink ref="I378" r:id="rId906" xr:uid="{00000000-0004-0000-0000-000089030000}"/>
    <hyperlink ref="G371" r:id="rId907" xr:uid="{00000000-0004-0000-0000-00008A030000}"/>
    <hyperlink ref="H371" r:id="rId908" xr:uid="{00000000-0004-0000-0000-00008B030000}"/>
    <hyperlink ref="I371" r:id="rId909" xr:uid="{00000000-0004-0000-0000-00008C030000}"/>
    <hyperlink ref="G372" r:id="rId910" xr:uid="{00000000-0004-0000-0000-00008D030000}"/>
    <hyperlink ref="H372" r:id="rId911" xr:uid="{00000000-0004-0000-0000-00008E030000}"/>
    <hyperlink ref="I372" r:id="rId912" xr:uid="{00000000-0004-0000-0000-00008F030000}"/>
    <hyperlink ref="G373" r:id="rId913" xr:uid="{00000000-0004-0000-0000-000090030000}"/>
    <hyperlink ref="H373" r:id="rId914" xr:uid="{00000000-0004-0000-0000-000091030000}"/>
    <hyperlink ref="I373" r:id="rId915" xr:uid="{00000000-0004-0000-0000-000092030000}"/>
    <hyperlink ref="G374" r:id="rId916" xr:uid="{00000000-0004-0000-0000-000093030000}"/>
    <hyperlink ref="H374" r:id="rId917" xr:uid="{00000000-0004-0000-0000-000094030000}"/>
    <hyperlink ref="I374" r:id="rId918" xr:uid="{00000000-0004-0000-0000-000095030000}"/>
    <hyperlink ref="G379" r:id="rId919" xr:uid="{00000000-0004-0000-0000-000096030000}"/>
    <hyperlink ref="H379" r:id="rId920" xr:uid="{00000000-0004-0000-0000-000097030000}"/>
    <hyperlink ref="I379" r:id="rId921" xr:uid="{00000000-0004-0000-0000-000098030000}"/>
    <hyperlink ref="G380" r:id="rId922" xr:uid="{00000000-0004-0000-0000-000099030000}"/>
    <hyperlink ref="H380" r:id="rId923" xr:uid="{00000000-0004-0000-0000-00009A030000}"/>
    <hyperlink ref="I380" r:id="rId924" xr:uid="{00000000-0004-0000-0000-00009B030000}"/>
    <hyperlink ref="G381" r:id="rId925" xr:uid="{00000000-0004-0000-0000-00009C030000}"/>
    <hyperlink ref="H381" r:id="rId926" xr:uid="{00000000-0004-0000-0000-00009D030000}"/>
    <hyperlink ref="I381" r:id="rId927" xr:uid="{00000000-0004-0000-0000-00009E030000}"/>
    <hyperlink ref="G382" r:id="rId928" xr:uid="{00000000-0004-0000-0000-00009F030000}"/>
    <hyperlink ref="H382" r:id="rId929" xr:uid="{00000000-0004-0000-0000-0000A0030000}"/>
    <hyperlink ref="I382" r:id="rId930" xr:uid="{00000000-0004-0000-0000-0000A1030000}"/>
    <hyperlink ref="G412" r:id="rId931" xr:uid="{00000000-0004-0000-0000-0000A2030000}"/>
    <hyperlink ref="H412" r:id="rId932" xr:uid="{00000000-0004-0000-0000-0000A3030000}"/>
    <hyperlink ref="I412" r:id="rId933" xr:uid="{00000000-0004-0000-0000-0000A4030000}"/>
    <hyperlink ref="G410" r:id="rId934" xr:uid="{00000000-0004-0000-0000-0000A5030000}"/>
    <hyperlink ref="H410" r:id="rId935" xr:uid="{00000000-0004-0000-0000-0000A6030000}"/>
    <hyperlink ref="I410" r:id="rId936" xr:uid="{00000000-0004-0000-0000-0000A7030000}"/>
    <hyperlink ref="G411" r:id="rId937" xr:uid="{00000000-0004-0000-0000-0000A8030000}"/>
    <hyperlink ref="H411" r:id="rId938" xr:uid="{00000000-0004-0000-0000-0000A9030000}"/>
    <hyperlink ref="I411" r:id="rId939" xr:uid="{00000000-0004-0000-0000-0000AA030000}"/>
    <hyperlink ref="G240" r:id="rId940" xr:uid="{00000000-0004-0000-0000-0000AB030000}"/>
    <hyperlink ref="H240" r:id="rId941" xr:uid="{00000000-0004-0000-0000-0000AC030000}"/>
    <hyperlink ref="I240" r:id="rId942" xr:uid="{00000000-0004-0000-0000-0000AD030000}"/>
    <hyperlink ref="G239" r:id="rId943" xr:uid="{00000000-0004-0000-0000-0000AE030000}"/>
    <hyperlink ref="H239" r:id="rId944" xr:uid="{00000000-0004-0000-0000-0000AF030000}"/>
    <hyperlink ref="I239" r:id="rId945" xr:uid="{00000000-0004-0000-0000-0000B0030000}"/>
    <hyperlink ref="G243" r:id="rId946" xr:uid="{00000000-0004-0000-0000-0000B1030000}"/>
    <hyperlink ref="H243" r:id="rId947" xr:uid="{00000000-0004-0000-0000-0000B2030000}"/>
    <hyperlink ref="I243" r:id="rId948" xr:uid="{00000000-0004-0000-0000-0000B3030000}"/>
    <hyperlink ref="G242" r:id="rId949" xr:uid="{00000000-0004-0000-0000-0000B4030000}"/>
    <hyperlink ref="H242" r:id="rId950" xr:uid="{00000000-0004-0000-0000-0000B5030000}"/>
    <hyperlink ref="I242" r:id="rId951" xr:uid="{00000000-0004-0000-0000-0000B6030000}"/>
    <hyperlink ref="G241" r:id="rId952" xr:uid="{00000000-0004-0000-0000-0000B7030000}"/>
    <hyperlink ref="H241" r:id="rId953" xr:uid="{00000000-0004-0000-0000-0000B8030000}"/>
    <hyperlink ref="I241" r:id="rId954" xr:uid="{00000000-0004-0000-0000-0000B9030000}"/>
    <hyperlink ref="G37" r:id="rId955" xr:uid="{00000000-0004-0000-0000-0000BA030000}"/>
    <hyperlink ref="H37" r:id="rId956" xr:uid="{00000000-0004-0000-0000-0000BB030000}"/>
    <hyperlink ref="I37" r:id="rId957" xr:uid="{00000000-0004-0000-0000-0000BC030000}"/>
    <hyperlink ref="G38" r:id="rId958" xr:uid="{00000000-0004-0000-0000-0000BD030000}"/>
    <hyperlink ref="H38" r:id="rId959" xr:uid="{00000000-0004-0000-0000-0000BE030000}"/>
    <hyperlink ref="I38" r:id="rId960" xr:uid="{00000000-0004-0000-0000-0000BF030000}"/>
    <hyperlink ref="G39" r:id="rId961" xr:uid="{00000000-0004-0000-0000-0000C0030000}"/>
    <hyperlink ref="H39" r:id="rId962" xr:uid="{00000000-0004-0000-0000-0000C1030000}"/>
    <hyperlink ref="I39" r:id="rId963" xr:uid="{00000000-0004-0000-0000-0000C2030000}"/>
    <hyperlink ref="G40" r:id="rId964" xr:uid="{00000000-0004-0000-0000-0000C3030000}"/>
    <hyperlink ref="H40" r:id="rId965" xr:uid="{00000000-0004-0000-0000-0000C4030000}"/>
    <hyperlink ref="I40" r:id="rId966" xr:uid="{00000000-0004-0000-0000-0000C5030000}"/>
    <hyperlink ref="G33" r:id="rId967" xr:uid="{00000000-0004-0000-0000-0000C6030000}"/>
    <hyperlink ref="H33" r:id="rId968" xr:uid="{00000000-0004-0000-0000-0000C7030000}"/>
    <hyperlink ref="I33" r:id="rId969" xr:uid="{00000000-0004-0000-0000-0000C8030000}"/>
    <hyperlink ref="G34" r:id="rId970" xr:uid="{00000000-0004-0000-0000-0000C9030000}"/>
    <hyperlink ref="H34" r:id="rId971" xr:uid="{00000000-0004-0000-0000-0000CA030000}"/>
    <hyperlink ref="I34" r:id="rId972" xr:uid="{00000000-0004-0000-0000-0000CB030000}"/>
    <hyperlink ref="G35" r:id="rId973" xr:uid="{00000000-0004-0000-0000-0000CC030000}"/>
    <hyperlink ref="H35" r:id="rId974" xr:uid="{00000000-0004-0000-0000-0000CD030000}"/>
    <hyperlink ref="I35" r:id="rId975" xr:uid="{00000000-0004-0000-0000-0000CE030000}"/>
    <hyperlink ref="G36" r:id="rId976" xr:uid="{00000000-0004-0000-0000-0000CF030000}"/>
    <hyperlink ref="H36" r:id="rId977" xr:uid="{00000000-0004-0000-0000-0000D0030000}"/>
    <hyperlink ref="I36" r:id="rId978" xr:uid="{00000000-0004-0000-0000-0000D1030000}"/>
    <hyperlink ref="G41" r:id="rId979" xr:uid="{00000000-0004-0000-0000-0000D2030000}"/>
    <hyperlink ref="H41" r:id="rId980" xr:uid="{00000000-0004-0000-0000-0000D3030000}"/>
    <hyperlink ref="I41" r:id="rId981" xr:uid="{00000000-0004-0000-0000-0000D4030000}"/>
    <hyperlink ref="G42" r:id="rId982" xr:uid="{00000000-0004-0000-0000-0000D5030000}"/>
    <hyperlink ref="H42" r:id="rId983" xr:uid="{00000000-0004-0000-0000-0000D6030000}"/>
    <hyperlink ref="I42" r:id="rId984" xr:uid="{00000000-0004-0000-0000-0000D7030000}"/>
    <hyperlink ref="G43" r:id="rId985" xr:uid="{00000000-0004-0000-0000-0000D8030000}"/>
    <hyperlink ref="H43" r:id="rId986" xr:uid="{00000000-0004-0000-0000-0000D9030000}"/>
    <hyperlink ref="I43" r:id="rId987" xr:uid="{00000000-0004-0000-0000-0000DA030000}"/>
    <hyperlink ref="G44" r:id="rId988" xr:uid="{00000000-0004-0000-0000-0000DB030000}"/>
    <hyperlink ref="H44" r:id="rId989" xr:uid="{00000000-0004-0000-0000-0000DC030000}"/>
    <hyperlink ref="I44" r:id="rId990" xr:uid="{00000000-0004-0000-0000-0000DD030000}"/>
    <hyperlink ref="G365" r:id="rId991" xr:uid="{00000000-0004-0000-0000-0000DE030000}"/>
    <hyperlink ref="H365" r:id="rId992" xr:uid="{00000000-0004-0000-0000-0000DF030000}"/>
    <hyperlink ref="I365" r:id="rId993" xr:uid="{00000000-0004-0000-0000-0000E0030000}"/>
    <hyperlink ref="G366" r:id="rId994" xr:uid="{00000000-0004-0000-0000-0000E1030000}"/>
    <hyperlink ref="H366" r:id="rId995" xr:uid="{00000000-0004-0000-0000-0000E2030000}"/>
    <hyperlink ref="I366" r:id="rId996" xr:uid="{00000000-0004-0000-0000-0000E3030000}"/>
    <hyperlink ref="G367" r:id="rId997" xr:uid="{00000000-0004-0000-0000-0000E4030000}"/>
    <hyperlink ref="H367" r:id="rId998" xr:uid="{00000000-0004-0000-0000-0000E5030000}"/>
    <hyperlink ref="I367" r:id="rId999" xr:uid="{00000000-0004-0000-0000-0000E6030000}"/>
    <hyperlink ref="G368" r:id="rId1000" xr:uid="{00000000-0004-0000-0000-0000E7030000}"/>
    <hyperlink ref="H368" r:id="rId1001" xr:uid="{00000000-0004-0000-0000-0000E8030000}"/>
    <hyperlink ref="I368" r:id="rId1002" xr:uid="{00000000-0004-0000-0000-0000E9030000}"/>
    <hyperlink ref="G369" r:id="rId1003" xr:uid="{00000000-0004-0000-0000-0000EA030000}"/>
    <hyperlink ref="H369" r:id="rId1004" xr:uid="{00000000-0004-0000-0000-0000EB030000}"/>
    <hyperlink ref="I369" r:id="rId1005" xr:uid="{00000000-0004-0000-0000-0000EC030000}"/>
    <hyperlink ref="G370" r:id="rId1006" xr:uid="{00000000-0004-0000-0000-0000ED030000}"/>
    <hyperlink ref="H370" r:id="rId1007" xr:uid="{00000000-0004-0000-0000-0000EE030000}"/>
    <hyperlink ref="I370" r:id="rId1008" xr:uid="{00000000-0004-0000-0000-0000EF030000}"/>
    <hyperlink ref="G359" r:id="rId1009" xr:uid="{00000000-0004-0000-0000-0000F0030000}"/>
    <hyperlink ref="H359" r:id="rId1010" xr:uid="{00000000-0004-0000-0000-0000F1030000}"/>
    <hyperlink ref="I359" r:id="rId1011" xr:uid="{00000000-0004-0000-0000-0000F2030000}"/>
    <hyperlink ref="G360" r:id="rId1012" xr:uid="{00000000-0004-0000-0000-0000F3030000}"/>
    <hyperlink ref="H360" r:id="rId1013" xr:uid="{00000000-0004-0000-0000-0000F4030000}"/>
    <hyperlink ref="I360" r:id="rId1014" xr:uid="{00000000-0004-0000-0000-0000F5030000}"/>
    <hyperlink ref="G361" r:id="rId1015" xr:uid="{00000000-0004-0000-0000-0000F6030000}"/>
    <hyperlink ref="H361" r:id="rId1016" xr:uid="{00000000-0004-0000-0000-0000F7030000}"/>
    <hyperlink ref="I361" r:id="rId1017" xr:uid="{00000000-0004-0000-0000-0000F8030000}"/>
    <hyperlink ref="G362" r:id="rId1018" xr:uid="{00000000-0004-0000-0000-0000F9030000}"/>
    <hyperlink ref="H362" r:id="rId1019" xr:uid="{00000000-0004-0000-0000-0000FA030000}"/>
    <hyperlink ref="I362" r:id="rId1020" xr:uid="{00000000-0004-0000-0000-0000FB030000}"/>
    <hyperlink ref="G363" r:id="rId1021" xr:uid="{00000000-0004-0000-0000-0000FC030000}"/>
    <hyperlink ref="H363" r:id="rId1022" xr:uid="{00000000-0004-0000-0000-0000FD030000}"/>
    <hyperlink ref="I363" r:id="rId1023" xr:uid="{00000000-0004-0000-0000-0000FE030000}"/>
    <hyperlink ref="G364" r:id="rId1024" xr:uid="{00000000-0004-0000-0000-0000FF030000}"/>
    <hyperlink ref="H364" r:id="rId1025" xr:uid="{00000000-0004-0000-0000-000000040000}"/>
    <hyperlink ref="I364" r:id="rId1026" xr:uid="{00000000-0004-0000-0000-000001040000}"/>
    <hyperlink ref="G353" r:id="rId1027" xr:uid="{00000000-0004-0000-0000-000002040000}"/>
    <hyperlink ref="H353" r:id="rId1028" xr:uid="{00000000-0004-0000-0000-000003040000}"/>
    <hyperlink ref="I353" r:id="rId1029" xr:uid="{00000000-0004-0000-0000-000004040000}"/>
    <hyperlink ref="G354" r:id="rId1030" xr:uid="{00000000-0004-0000-0000-000005040000}"/>
    <hyperlink ref="H354" r:id="rId1031" xr:uid="{00000000-0004-0000-0000-000006040000}"/>
    <hyperlink ref="I354" r:id="rId1032" xr:uid="{00000000-0004-0000-0000-000007040000}"/>
    <hyperlink ref="G355" r:id="rId1033" xr:uid="{00000000-0004-0000-0000-000008040000}"/>
    <hyperlink ref="H355" r:id="rId1034" xr:uid="{00000000-0004-0000-0000-000009040000}"/>
    <hyperlink ref="I355" r:id="rId1035" xr:uid="{00000000-0004-0000-0000-00000A040000}"/>
    <hyperlink ref="G356" r:id="rId1036" xr:uid="{00000000-0004-0000-0000-00000B040000}"/>
    <hyperlink ref="H356" r:id="rId1037" xr:uid="{00000000-0004-0000-0000-00000C040000}"/>
    <hyperlink ref="I356" r:id="rId1038" xr:uid="{00000000-0004-0000-0000-00000D040000}"/>
    <hyperlink ref="G357" r:id="rId1039" xr:uid="{00000000-0004-0000-0000-00000E040000}"/>
    <hyperlink ref="H357" r:id="rId1040" xr:uid="{00000000-0004-0000-0000-00000F040000}"/>
    <hyperlink ref="I357" r:id="rId1041" xr:uid="{00000000-0004-0000-0000-000010040000}"/>
    <hyperlink ref="G358" r:id="rId1042" xr:uid="{00000000-0004-0000-0000-000011040000}"/>
    <hyperlink ref="H358" r:id="rId1043" xr:uid="{00000000-0004-0000-0000-000012040000}"/>
    <hyperlink ref="I358" r:id="rId1044" xr:uid="{00000000-0004-0000-0000-000013040000}"/>
    <hyperlink ref="G173" r:id="rId1045" xr:uid="{00000000-0004-0000-0000-000014040000}"/>
    <hyperlink ref="H173" r:id="rId1046" xr:uid="{00000000-0004-0000-0000-000015040000}"/>
    <hyperlink ref="I173" r:id="rId1047" xr:uid="{00000000-0004-0000-0000-000016040000}"/>
    <hyperlink ref="G174" r:id="rId1048" xr:uid="{00000000-0004-0000-0000-000017040000}"/>
    <hyperlink ref="H174" r:id="rId1049" xr:uid="{00000000-0004-0000-0000-000018040000}"/>
    <hyperlink ref="I174" r:id="rId1050" xr:uid="{00000000-0004-0000-0000-000019040000}"/>
    <hyperlink ref="G175" r:id="rId1051" xr:uid="{00000000-0004-0000-0000-00001A040000}"/>
    <hyperlink ref="H175" r:id="rId1052" xr:uid="{00000000-0004-0000-0000-00001B040000}"/>
    <hyperlink ref="I175" r:id="rId1053" xr:uid="{00000000-0004-0000-0000-00001C040000}"/>
    <hyperlink ref="G176" r:id="rId1054" xr:uid="{00000000-0004-0000-0000-00001D040000}"/>
    <hyperlink ref="H176" r:id="rId1055" xr:uid="{00000000-0004-0000-0000-00001E040000}"/>
    <hyperlink ref="I176" r:id="rId1056" xr:uid="{00000000-0004-0000-0000-00001F040000}"/>
    <hyperlink ref="G177" r:id="rId1057" xr:uid="{00000000-0004-0000-0000-000020040000}"/>
    <hyperlink ref="H177" r:id="rId1058" xr:uid="{00000000-0004-0000-0000-000021040000}"/>
    <hyperlink ref="I177" r:id="rId1059" xr:uid="{00000000-0004-0000-0000-000022040000}"/>
    <hyperlink ref="G105" r:id="rId1060" xr:uid="{00000000-0004-0000-0000-000023040000}"/>
    <hyperlink ref="H105" r:id="rId1061" xr:uid="{00000000-0004-0000-0000-000024040000}"/>
    <hyperlink ref="I105" r:id="rId1062" xr:uid="{00000000-0004-0000-0000-000025040000}"/>
    <hyperlink ref="G106" r:id="rId1063" xr:uid="{00000000-0004-0000-0000-000026040000}"/>
    <hyperlink ref="H106" r:id="rId1064" xr:uid="{00000000-0004-0000-0000-000027040000}"/>
    <hyperlink ref="I106" r:id="rId1065" xr:uid="{00000000-0004-0000-0000-000028040000}"/>
    <hyperlink ref="G107" r:id="rId1066" xr:uid="{00000000-0004-0000-0000-000029040000}"/>
    <hyperlink ref="H107" r:id="rId1067" xr:uid="{00000000-0004-0000-0000-00002A040000}"/>
    <hyperlink ref="I107" r:id="rId1068" xr:uid="{00000000-0004-0000-0000-00002B040000}"/>
    <hyperlink ref="G108" r:id="rId1069" xr:uid="{00000000-0004-0000-0000-00002C040000}"/>
    <hyperlink ref="H108" r:id="rId1070" xr:uid="{00000000-0004-0000-0000-00002D040000}"/>
    <hyperlink ref="I108" r:id="rId1071" xr:uid="{00000000-0004-0000-0000-00002E040000}"/>
    <hyperlink ref="G97" r:id="rId1072" xr:uid="{00000000-0004-0000-0000-00002F040000}"/>
    <hyperlink ref="H97" r:id="rId1073" xr:uid="{00000000-0004-0000-0000-000030040000}"/>
    <hyperlink ref="I97" r:id="rId1074" xr:uid="{00000000-0004-0000-0000-000031040000}"/>
    <hyperlink ref="G98" r:id="rId1075" xr:uid="{00000000-0004-0000-0000-000032040000}"/>
    <hyperlink ref="H98" r:id="rId1076" xr:uid="{00000000-0004-0000-0000-000033040000}"/>
    <hyperlink ref="I98" r:id="rId1077" xr:uid="{00000000-0004-0000-0000-000034040000}"/>
    <hyperlink ref="G99" r:id="rId1078" xr:uid="{00000000-0004-0000-0000-000035040000}"/>
    <hyperlink ref="H99" r:id="rId1079" xr:uid="{00000000-0004-0000-0000-000036040000}"/>
    <hyperlink ref="I99" r:id="rId1080" xr:uid="{00000000-0004-0000-0000-000037040000}"/>
    <hyperlink ref="G100" r:id="rId1081" xr:uid="{00000000-0004-0000-0000-000038040000}"/>
    <hyperlink ref="H100" r:id="rId1082" xr:uid="{00000000-0004-0000-0000-000039040000}"/>
    <hyperlink ref="I100" r:id="rId1083" xr:uid="{00000000-0004-0000-0000-00003A040000}"/>
    <hyperlink ref="G93" r:id="rId1084" xr:uid="{00000000-0004-0000-0000-00003B040000}"/>
    <hyperlink ref="H93" r:id="rId1085" xr:uid="{00000000-0004-0000-0000-00003C040000}"/>
    <hyperlink ref="I93" r:id="rId1086" xr:uid="{00000000-0004-0000-0000-00003D040000}"/>
    <hyperlink ref="G94" r:id="rId1087" xr:uid="{00000000-0004-0000-0000-00003E040000}"/>
    <hyperlink ref="H94" r:id="rId1088" xr:uid="{00000000-0004-0000-0000-00003F040000}"/>
    <hyperlink ref="G95" r:id="rId1089" xr:uid="{00000000-0004-0000-0000-000040040000}"/>
    <hyperlink ref="H95" r:id="rId1090" xr:uid="{00000000-0004-0000-0000-000041040000}"/>
    <hyperlink ref="I95" r:id="rId1091" xr:uid="{00000000-0004-0000-0000-000042040000}"/>
    <hyperlink ref="G96" r:id="rId1092" xr:uid="{00000000-0004-0000-0000-000043040000}"/>
    <hyperlink ref="H96" r:id="rId1093" xr:uid="{00000000-0004-0000-0000-000044040000}"/>
    <hyperlink ref="I96" r:id="rId1094" xr:uid="{00000000-0004-0000-0000-000045040000}"/>
    <hyperlink ref="G101" r:id="rId1095" xr:uid="{00000000-0004-0000-0000-000046040000}"/>
    <hyperlink ref="H101" r:id="rId1096" xr:uid="{00000000-0004-0000-0000-000047040000}"/>
    <hyperlink ref="I101" r:id="rId1097" xr:uid="{00000000-0004-0000-0000-000048040000}"/>
    <hyperlink ref="G102" r:id="rId1098" xr:uid="{00000000-0004-0000-0000-000049040000}"/>
    <hyperlink ref="H102" r:id="rId1099" xr:uid="{00000000-0004-0000-0000-00004A040000}"/>
    <hyperlink ref="I102" r:id="rId1100" xr:uid="{00000000-0004-0000-0000-00004B040000}"/>
    <hyperlink ref="G103" r:id="rId1101" xr:uid="{00000000-0004-0000-0000-00004C040000}"/>
    <hyperlink ref="H103" r:id="rId1102" xr:uid="{00000000-0004-0000-0000-00004D040000}"/>
    <hyperlink ref="I103" r:id="rId1103" xr:uid="{00000000-0004-0000-0000-00004E040000}"/>
    <hyperlink ref="G104" r:id="rId1104" xr:uid="{00000000-0004-0000-0000-00004F040000}"/>
    <hyperlink ref="H104" r:id="rId1105" xr:uid="{00000000-0004-0000-0000-000050040000}"/>
    <hyperlink ref="I104" r:id="rId1106" xr:uid="{00000000-0004-0000-0000-000051040000}"/>
    <hyperlink ref="G390" r:id="rId1107" xr:uid="{00000000-0004-0000-0000-000052040000}"/>
    <hyperlink ref="H390" r:id="rId1108" xr:uid="{00000000-0004-0000-0000-000053040000}"/>
    <hyperlink ref="I390" r:id="rId1109" xr:uid="{00000000-0004-0000-0000-000054040000}"/>
    <hyperlink ref="G391" r:id="rId1110" xr:uid="{00000000-0004-0000-0000-000055040000}"/>
    <hyperlink ref="H391" r:id="rId1111" xr:uid="{00000000-0004-0000-0000-000056040000}"/>
    <hyperlink ref="I391" r:id="rId1112" xr:uid="{00000000-0004-0000-0000-000057040000}"/>
    <hyperlink ref="G392" r:id="rId1113" xr:uid="{00000000-0004-0000-0000-000058040000}"/>
    <hyperlink ref="H392" r:id="rId1114" xr:uid="{00000000-0004-0000-0000-000059040000}"/>
    <hyperlink ref="I392" r:id="rId1115" xr:uid="{00000000-0004-0000-0000-00005A040000}"/>
    <hyperlink ref="G393" r:id="rId1116" xr:uid="{00000000-0004-0000-0000-00005B040000}"/>
    <hyperlink ref="H393" r:id="rId1117" xr:uid="{00000000-0004-0000-0000-00005C040000}"/>
    <hyperlink ref="I393" r:id="rId1118" xr:uid="{00000000-0004-0000-0000-00005D040000}"/>
    <hyperlink ref="G394" r:id="rId1119" xr:uid="{00000000-0004-0000-0000-00005E040000}"/>
    <hyperlink ref="H394" r:id="rId1120" xr:uid="{00000000-0004-0000-0000-00005F040000}"/>
    <hyperlink ref="I394" r:id="rId1121" xr:uid="{00000000-0004-0000-0000-000060040000}"/>
    <hyperlink ref="G395" r:id="rId1122" xr:uid="{00000000-0004-0000-0000-000061040000}"/>
    <hyperlink ref="H395" r:id="rId1123" xr:uid="{00000000-0004-0000-0000-000062040000}"/>
    <hyperlink ref="I395" r:id="rId1124" xr:uid="{00000000-0004-0000-0000-000063040000}"/>
    <hyperlink ref="G396" r:id="rId1125" xr:uid="{00000000-0004-0000-0000-000064040000}"/>
    <hyperlink ref="H396" r:id="rId1126" xr:uid="{00000000-0004-0000-0000-000065040000}"/>
    <hyperlink ref="I396" r:id="rId1127" xr:uid="{00000000-0004-0000-0000-000066040000}"/>
    <hyperlink ref="G397" r:id="rId1128" xr:uid="{00000000-0004-0000-0000-000067040000}"/>
    <hyperlink ref="H397" r:id="rId1129" xr:uid="{00000000-0004-0000-0000-000068040000}"/>
    <hyperlink ref="I397" r:id="rId1130" xr:uid="{00000000-0004-0000-0000-000069040000}"/>
    <hyperlink ref="G383" r:id="rId1131" xr:uid="{00000000-0004-0000-0000-00006A040000}"/>
    <hyperlink ref="H383" r:id="rId1132" xr:uid="{00000000-0004-0000-0000-00006B040000}"/>
    <hyperlink ref="I383" r:id="rId1133" xr:uid="{00000000-0004-0000-0000-00006C040000}"/>
    <hyperlink ref="G384" r:id="rId1134" xr:uid="{00000000-0004-0000-0000-00006D040000}"/>
    <hyperlink ref="H384" r:id="rId1135" xr:uid="{00000000-0004-0000-0000-00006E040000}"/>
    <hyperlink ref="I384" r:id="rId1136" xr:uid="{00000000-0004-0000-0000-00006F040000}"/>
    <hyperlink ref="G385" r:id="rId1137" xr:uid="{00000000-0004-0000-0000-000070040000}"/>
    <hyperlink ref="H385" r:id="rId1138" xr:uid="{00000000-0004-0000-0000-000071040000}"/>
    <hyperlink ref="I385" r:id="rId1139" xr:uid="{00000000-0004-0000-0000-000072040000}"/>
    <hyperlink ref="G386" r:id="rId1140" xr:uid="{00000000-0004-0000-0000-000073040000}"/>
    <hyperlink ref="H386" r:id="rId1141" xr:uid="{00000000-0004-0000-0000-000074040000}"/>
    <hyperlink ref="I386" r:id="rId1142" xr:uid="{00000000-0004-0000-0000-000075040000}"/>
    <hyperlink ref="G387" r:id="rId1143" xr:uid="{00000000-0004-0000-0000-000076040000}"/>
    <hyperlink ref="H387" r:id="rId1144" xr:uid="{00000000-0004-0000-0000-000077040000}"/>
    <hyperlink ref="I387" r:id="rId1145" xr:uid="{00000000-0004-0000-0000-000078040000}"/>
    <hyperlink ref="G388" r:id="rId1146" xr:uid="{00000000-0004-0000-0000-000079040000}"/>
    <hyperlink ref="H388" r:id="rId1147" xr:uid="{00000000-0004-0000-0000-00007A040000}"/>
    <hyperlink ref="I388" r:id="rId1148" xr:uid="{00000000-0004-0000-0000-00007B040000}"/>
    <hyperlink ref="G389" r:id="rId1149" xr:uid="{00000000-0004-0000-0000-00007C040000}"/>
    <hyperlink ref="H389" r:id="rId1150" xr:uid="{00000000-0004-0000-0000-00007D040000}"/>
    <hyperlink ref="I389" r:id="rId1151" xr:uid="{00000000-0004-0000-0000-00007E040000}"/>
    <hyperlink ref="G343" r:id="rId1152" xr:uid="{00000000-0004-0000-0000-00007F040000}"/>
    <hyperlink ref="H343" r:id="rId1153" xr:uid="{00000000-0004-0000-0000-000080040000}"/>
    <hyperlink ref="I343" r:id="rId1154" xr:uid="{00000000-0004-0000-0000-000081040000}"/>
    <hyperlink ref="G344" r:id="rId1155" xr:uid="{00000000-0004-0000-0000-000082040000}"/>
    <hyperlink ref="H344" r:id="rId1156" xr:uid="{00000000-0004-0000-0000-000083040000}"/>
    <hyperlink ref="I344" r:id="rId1157" xr:uid="{00000000-0004-0000-0000-000084040000}"/>
    <hyperlink ref="G345" r:id="rId1158" xr:uid="{00000000-0004-0000-0000-000085040000}"/>
    <hyperlink ref="H345" r:id="rId1159" xr:uid="{00000000-0004-0000-0000-000086040000}"/>
    <hyperlink ref="I345" r:id="rId1160" xr:uid="{00000000-0004-0000-0000-000087040000}"/>
    <hyperlink ref="G346" r:id="rId1161" xr:uid="{00000000-0004-0000-0000-000088040000}"/>
    <hyperlink ref="H346" r:id="rId1162" xr:uid="{00000000-0004-0000-0000-000089040000}"/>
    <hyperlink ref="I346" r:id="rId1163" xr:uid="{00000000-0004-0000-0000-00008A040000}"/>
    <hyperlink ref="G347" r:id="rId1164" xr:uid="{00000000-0004-0000-0000-00008B040000}"/>
    <hyperlink ref="H347" r:id="rId1165" xr:uid="{00000000-0004-0000-0000-00008C040000}"/>
    <hyperlink ref="I347" r:id="rId1166" xr:uid="{00000000-0004-0000-0000-00008D040000}"/>
    <hyperlink ref="G338" r:id="rId1167" xr:uid="{00000000-0004-0000-0000-00008E040000}"/>
    <hyperlink ref="H338" r:id="rId1168" xr:uid="{00000000-0004-0000-0000-00008F040000}"/>
    <hyperlink ref="I338" r:id="rId1169" xr:uid="{00000000-0004-0000-0000-000090040000}"/>
    <hyperlink ref="G339" r:id="rId1170" xr:uid="{00000000-0004-0000-0000-000091040000}"/>
    <hyperlink ref="H339" r:id="rId1171" xr:uid="{00000000-0004-0000-0000-000092040000}"/>
    <hyperlink ref="I339" r:id="rId1172" xr:uid="{00000000-0004-0000-0000-000093040000}"/>
    <hyperlink ref="G340" r:id="rId1173" xr:uid="{00000000-0004-0000-0000-000094040000}"/>
    <hyperlink ref="H340" r:id="rId1174" xr:uid="{00000000-0004-0000-0000-000095040000}"/>
    <hyperlink ref="I340" r:id="rId1175" xr:uid="{00000000-0004-0000-0000-000096040000}"/>
    <hyperlink ref="G341" r:id="rId1176" xr:uid="{00000000-0004-0000-0000-000097040000}"/>
    <hyperlink ref="H341" r:id="rId1177" xr:uid="{00000000-0004-0000-0000-000098040000}"/>
    <hyperlink ref="I341" r:id="rId1178" xr:uid="{00000000-0004-0000-0000-000099040000}"/>
    <hyperlink ref="G342" r:id="rId1179" xr:uid="{00000000-0004-0000-0000-00009A040000}"/>
    <hyperlink ref="H342" r:id="rId1180" xr:uid="{00000000-0004-0000-0000-00009B040000}"/>
    <hyperlink ref="I342" r:id="rId1181" xr:uid="{00000000-0004-0000-0000-00009C040000}"/>
    <hyperlink ref="G348" r:id="rId1182" xr:uid="{00000000-0004-0000-0000-00009D040000}"/>
    <hyperlink ref="H348" r:id="rId1183" xr:uid="{00000000-0004-0000-0000-00009E040000}"/>
    <hyperlink ref="I348" r:id="rId1184" xr:uid="{00000000-0004-0000-0000-00009F040000}"/>
    <hyperlink ref="G349" r:id="rId1185" xr:uid="{00000000-0004-0000-0000-0000A0040000}"/>
    <hyperlink ref="H349" r:id="rId1186" xr:uid="{00000000-0004-0000-0000-0000A1040000}"/>
    <hyperlink ref="I349" r:id="rId1187" xr:uid="{00000000-0004-0000-0000-0000A2040000}"/>
    <hyperlink ref="G350" r:id="rId1188" xr:uid="{00000000-0004-0000-0000-0000A3040000}"/>
    <hyperlink ref="H350" r:id="rId1189" xr:uid="{00000000-0004-0000-0000-0000A4040000}"/>
    <hyperlink ref="I350" r:id="rId1190" xr:uid="{00000000-0004-0000-0000-0000A5040000}"/>
    <hyperlink ref="G351" r:id="rId1191" xr:uid="{00000000-0004-0000-0000-0000A6040000}"/>
    <hyperlink ref="H351" r:id="rId1192" xr:uid="{00000000-0004-0000-0000-0000A7040000}"/>
    <hyperlink ref="I351" r:id="rId1193" xr:uid="{00000000-0004-0000-0000-0000A8040000}"/>
    <hyperlink ref="G352" r:id="rId1194" xr:uid="{00000000-0004-0000-0000-0000A9040000}"/>
    <hyperlink ref="H352" r:id="rId1195" xr:uid="{00000000-0004-0000-0000-0000AA040000}"/>
    <hyperlink ref="I352" r:id="rId1196" xr:uid="{00000000-0004-0000-0000-0000AB040000}"/>
    <hyperlink ref="G289" r:id="rId1197" xr:uid="{00000000-0004-0000-0000-0000AC040000}"/>
    <hyperlink ref="H289" r:id="rId1198" xr:uid="{00000000-0004-0000-0000-0000AD040000}"/>
    <hyperlink ref="I289" r:id="rId1199" xr:uid="{00000000-0004-0000-0000-0000AE040000}"/>
    <hyperlink ref="G290" r:id="rId1200" xr:uid="{00000000-0004-0000-0000-0000AF040000}"/>
    <hyperlink ref="H290" r:id="rId1201" xr:uid="{00000000-0004-0000-0000-0000B0040000}"/>
    <hyperlink ref="I290" r:id="rId1202" xr:uid="{00000000-0004-0000-0000-0000B1040000}"/>
    <hyperlink ref="G291" r:id="rId1203" xr:uid="{00000000-0004-0000-0000-0000B2040000}"/>
    <hyperlink ref="H291" r:id="rId1204" xr:uid="{00000000-0004-0000-0000-0000B3040000}"/>
    <hyperlink ref="I291" r:id="rId1205" xr:uid="{00000000-0004-0000-0000-0000B4040000}"/>
    <hyperlink ref="G292" r:id="rId1206" xr:uid="{00000000-0004-0000-0000-0000B5040000}"/>
    <hyperlink ref="H292" r:id="rId1207" xr:uid="{00000000-0004-0000-0000-0000B6040000}"/>
    <hyperlink ref="I292" r:id="rId1208" xr:uid="{00000000-0004-0000-0000-0000B7040000}"/>
    <hyperlink ref="G293" r:id="rId1209" xr:uid="{00000000-0004-0000-0000-0000B8040000}"/>
    <hyperlink ref="H293" r:id="rId1210" xr:uid="{00000000-0004-0000-0000-0000B9040000}"/>
    <hyperlink ref="I293" r:id="rId1211" xr:uid="{00000000-0004-0000-0000-0000BA040000}"/>
    <hyperlink ref="G294" r:id="rId1212" xr:uid="{00000000-0004-0000-0000-0000BB040000}"/>
    <hyperlink ref="H294" r:id="rId1213" xr:uid="{00000000-0004-0000-0000-0000BC040000}"/>
    <hyperlink ref="I294" r:id="rId1214" xr:uid="{00000000-0004-0000-0000-0000BD040000}"/>
    <hyperlink ref="G295" r:id="rId1215" xr:uid="{00000000-0004-0000-0000-0000BE040000}"/>
    <hyperlink ref="H295" r:id="rId1216" xr:uid="{00000000-0004-0000-0000-0000BF040000}"/>
    <hyperlink ref="I295" r:id="rId1217" xr:uid="{00000000-0004-0000-0000-0000C0040000}"/>
    <hyperlink ref="G296" r:id="rId1218" xr:uid="{00000000-0004-0000-0000-0000C1040000}"/>
    <hyperlink ref="H296" r:id="rId1219" xr:uid="{00000000-0004-0000-0000-0000C2040000}"/>
    <hyperlink ref="I296" r:id="rId1220" xr:uid="{00000000-0004-0000-0000-0000C3040000}"/>
    <hyperlink ref="G297" r:id="rId1221" xr:uid="{00000000-0004-0000-0000-0000C4040000}"/>
    <hyperlink ref="H297" r:id="rId1222" xr:uid="{00000000-0004-0000-0000-0000C5040000}"/>
    <hyperlink ref="I297" r:id="rId1223" xr:uid="{00000000-0004-0000-0000-0000C6040000}"/>
    <hyperlink ref="G298" r:id="rId1224" xr:uid="{00000000-0004-0000-0000-0000C7040000}"/>
    <hyperlink ref="H298" r:id="rId1225" xr:uid="{00000000-0004-0000-0000-0000C8040000}"/>
    <hyperlink ref="I298" r:id="rId1226" xr:uid="{00000000-0004-0000-0000-0000C9040000}"/>
    <hyperlink ref="G276" r:id="rId1227" xr:uid="{00000000-0004-0000-0000-0000CA040000}"/>
    <hyperlink ref="H276" r:id="rId1228" xr:uid="{00000000-0004-0000-0000-0000CB040000}"/>
    <hyperlink ref="I276" r:id="rId1229" xr:uid="{00000000-0004-0000-0000-0000CC040000}"/>
    <hyperlink ref="G277" r:id="rId1230" xr:uid="{00000000-0004-0000-0000-0000CD040000}"/>
    <hyperlink ref="H277" r:id="rId1231" xr:uid="{00000000-0004-0000-0000-0000CE040000}"/>
    <hyperlink ref="I277" r:id="rId1232" xr:uid="{00000000-0004-0000-0000-0000CF040000}"/>
    <hyperlink ref="G278" r:id="rId1233" xr:uid="{00000000-0004-0000-0000-0000D0040000}"/>
    <hyperlink ref="H278" r:id="rId1234" xr:uid="{00000000-0004-0000-0000-0000D1040000}"/>
    <hyperlink ref="I278" r:id="rId1235" xr:uid="{00000000-0004-0000-0000-0000D2040000}"/>
    <hyperlink ref="G279" r:id="rId1236" xr:uid="{00000000-0004-0000-0000-0000D3040000}"/>
    <hyperlink ref="H279" r:id="rId1237" xr:uid="{00000000-0004-0000-0000-0000D4040000}"/>
    <hyperlink ref="I279" r:id="rId1238" xr:uid="{00000000-0004-0000-0000-0000D5040000}"/>
    <hyperlink ref="G280" r:id="rId1239" xr:uid="{00000000-0004-0000-0000-0000D6040000}"/>
    <hyperlink ref="H280" r:id="rId1240" xr:uid="{00000000-0004-0000-0000-0000D7040000}"/>
    <hyperlink ref="I280" r:id="rId1241" xr:uid="{00000000-0004-0000-0000-0000D8040000}"/>
    <hyperlink ref="G281" r:id="rId1242" xr:uid="{00000000-0004-0000-0000-0000D9040000}"/>
    <hyperlink ref="H281" r:id="rId1243" xr:uid="{00000000-0004-0000-0000-0000DA040000}"/>
    <hyperlink ref="I281" r:id="rId1244" xr:uid="{00000000-0004-0000-0000-0000DB040000}"/>
    <hyperlink ref="G282" r:id="rId1245" xr:uid="{00000000-0004-0000-0000-0000DC040000}"/>
    <hyperlink ref="H282" r:id="rId1246" xr:uid="{00000000-0004-0000-0000-0000DD040000}"/>
    <hyperlink ref="I282" r:id="rId1247" xr:uid="{00000000-0004-0000-0000-0000DE040000}"/>
    <hyperlink ref="G283" r:id="rId1248" xr:uid="{00000000-0004-0000-0000-0000DF040000}"/>
    <hyperlink ref="H283" r:id="rId1249" xr:uid="{00000000-0004-0000-0000-0000E0040000}"/>
    <hyperlink ref="I283" r:id="rId1250" xr:uid="{00000000-0004-0000-0000-0000E1040000}"/>
    <hyperlink ref="G284" r:id="rId1251" xr:uid="{00000000-0004-0000-0000-0000E2040000}"/>
    <hyperlink ref="H284" r:id="rId1252" xr:uid="{00000000-0004-0000-0000-0000E3040000}"/>
    <hyperlink ref="I284" r:id="rId1253" xr:uid="{00000000-0004-0000-0000-0000E4040000}"/>
    <hyperlink ref="G285" r:id="rId1254" xr:uid="{00000000-0004-0000-0000-0000E5040000}"/>
    <hyperlink ref="H285" r:id="rId1255" xr:uid="{00000000-0004-0000-0000-0000E6040000}"/>
    <hyperlink ref="I285" r:id="rId1256" xr:uid="{00000000-0004-0000-0000-0000E7040000}"/>
    <hyperlink ref="G286" r:id="rId1257" xr:uid="{00000000-0004-0000-0000-0000E8040000}"/>
    <hyperlink ref="H286" r:id="rId1258" xr:uid="{00000000-0004-0000-0000-0000E9040000}"/>
    <hyperlink ref="I286" r:id="rId1259" xr:uid="{00000000-0004-0000-0000-0000EA040000}"/>
    <hyperlink ref="G287" r:id="rId1260" xr:uid="{00000000-0004-0000-0000-0000EB040000}"/>
    <hyperlink ref="H287" r:id="rId1261" xr:uid="{00000000-0004-0000-0000-0000EC040000}"/>
    <hyperlink ref="I287" r:id="rId1262" xr:uid="{00000000-0004-0000-0000-0000ED040000}"/>
    <hyperlink ref="G288" r:id="rId1263" xr:uid="{00000000-0004-0000-0000-0000EE040000}"/>
    <hyperlink ref="H288" r:id="rId1264" xr:uid="{00000000-0004-0000-0000-0000EF040000}"/>
    <hyperlink ref="I288" r:id="rId1265" xr:uid="{00000000-0004-0000-0000-0000F0040000}"/>
    <hyperlink ref="G138" r:id="rId1266" xr:uid="{00000000-0004-0000-0000-0000F1040000}"/>
    <hyperlink ref="H138" r:id="rId1267" xr:uid="{00000000-0004-0000-0000-0000F2040000}"/>
    <hyperlink ref="I138" r:id="rId1268" xr:uid="{00000000-0004-0000-0000-0000F3040000}"/>
    <hyperlink ref="G139" r:id="rId1269" xr:uid="{00000000-0004-0000-0000-0000F4040000}"/>
    <hyperlink ref="H139" r:id="rId1270" xr:uid="{00000000-0004-0000-0000-0000F5040000}"/>
    <hyperlink ref="I139" r:id="rId1271" xr:uid="{00000000-0004-0000-0000-0000F6040000}"/>
    <hyperlink ref="G140" r:id="rId1272" xr:uid="{00000000-0004-0000-0000-0000F7040000}"/>
    <hyperlink ref="H140" r:id="rId1273" xr:uid="{00000000-0004-0000-0000-0000F8040000}"/>
    <hyperlink ref="I140" r:id="rId1274" xr:uid="{00000000-0004-0000-0000-0000F9040000}"/>
    <hyperlink ref="G141" r:id="rId1275" xr:uid="{00000000-0004-0000-0000-0000FA040000}"/>
    <hyperlink ref="H141" r:id="rId1276" xr:uid="{00000000-0004-0000-0000-0000FB040000}"/>
    <hyperlink ref="I141" r:id="rId1277" xr:uid="{00000000-0004-0000-0000-0000FC040000}"/>
    <hyperlink ref="G142" r:id="rId1278" xr:uid="{00000000-0004-0000-0000-0000FD040000}"/>
    <hyperlink ref="H142" r:id="rId1279" xr:uid="{00000000-0004-0000-0000-0000FE040000}"/>
    <hyperlink ref="I142" r:id="rId1280" xr:uid="{00000000-0004-0000-0000-0000FF040000}"/>
    <hyperlink ref="G191" r:id="rId1281" xr:uid="{00000000-0004-0000-0000-000000050000}"/>
    <hyperlink ref="H191" r:id="rId1282" xr:uid="{00000000-0004-0000-0000-000001050000}"/>
    <hyperlink ref="I191" r:id="rId1283" xr:uid="{00000000-0004-0000-0000-000002050000}"/>
    <hyperlink ref="G192" r:id="rId1284" xr:uid="{00000000-0004-0000-0000-000003050000}"/>
    <hyperlink ref="H192" r:id="rId1285" xr:uid="{00000000-0004-0000-0000-000004050000}"/>
    <hyperlink ref="I192" r:id="rId1286" xr:uid="{00000000-0004-0000-0000-000005050000}"/>
    <hyperlink ref="G193" r:id="rId1287" xr:uid="{00000000-0004-0000-0000-000006050000}"/>
    <hyperlink ref="H193" r:id="rId1288" xr:uid="{00000000-0004-0000-0000-000007050000}"/>
    <hyperlink ref="I193" r:id="rId1289" xr:uid="{00000000-0004-0000-0000-000008050000}"/>
    <hyperlink ref="G194" r:id="rId1290" xr:uid="{00000000-0004-0000-0000-000009050000}"/>
    <hyperlink ref="H194" r:id="rId1291" xr:uid="{00000000-0004-0000-0000-00000A050000}"/>
    <hyperlink ref="I194" r:id="rId1292" xr:uid="{00000000-0004-0000-0000-00000B050000}"/>
    <hyperlink ref="G195" r:id="rId1293" xr:uid="{00000000-0004-0000-0000-00000C050000}"/>
    <hyperlink ref="H195" r:id="rId1294" xr:uid="{00000000-0004-0000-0000-00000D050000}"/>
    <hyperlink ref="I195" r:id="rId1295" xr:uid="{00000000-0004-0000-0000-00000E050000}"/>
    <hyperlink ref="G196" r:id="rId1296" xr:uid="{00000000-0004-0000-0000-00000F050000}"/>
    <hyperlink ref="H196" r:id="rId1297" xr:uid="{00000000-0004-0000-0000-000010050000}"/>
    <hyperlink ref="I196" r:id="rId1298" xr:uid="{00000000-0004-0000-0000-000011050000}"/>
    <hyperlink ref="G197" r:id="rId1299" xr:uid="{00000000-0004-0000-0000-000012050000}"/>
    <hyperlink ref="H197" r:id="rId1300" xr:uid="{00000000-0004-0000-0000-000013050000}"/>
    <hyperlink ref="I197" r:id="rId1301" xr:uid="{00000000-0004-0000-0000-000014050000}"/>
    <hyperlink ref="G198" r:id="rId1302" xr:uid="{00000000-0004-0000-0000-000015050000}"/>
    <hyperlink ref="H198" r:id="rId1303" xr:uid="{00000000-0004-0000-0000-000016050000}"/>
    <hyperlink ref="I198" r:id="rId1304" xr:uid="{00000000-0004-0000-0000-000017050000}"/>
    <hyperlink ref="G199" r:id="rId1305" xr:uid="{00000000-0004-0000-0000-000018050000}"/>
    <hyperlink ref="H199" r:id="rId1306" xr:uid="{00000000-0004-0000-0000-000019050000}"/>
    <hyperlink ref="I199" r:id="rId1307" xr:uid="{00000000-0004-0000-0000-00001A050000}"/>
    <hyperlink ref="G200" r:id="rId1308" xr:uid="{00000000-0004-0000-0000-00001B050000}"/>
    <hyperlink ref="H200" r:id="rId1309" xr:uid="{00000000-0004-0000-0000-00001C050000}"/>
    <hyperlink ref="I200" r:id="rId1310" xr:uid="{00000000-0004-0000-0000-00001D050000}"/>
    <hyperlink ref="G201" r:id="rId1311" xr:uid="{00000000-0004-0000-0000-00001E050000}"/>
    <hyperlink ref="H201" r:id="rId1312" xr:uid="{00000000-0004-0000-0000-00001F050000}"/>
    <hyperlink ref="I201" r:id="rId1313" xr:uid="{00000000-0004-0000-0000-000020050000}"/>
    <hyperlink ref="G202" r:id="rId1314" xr:uid="{00000000-0004-0000-0000-000021050000}"/>
    <hyperlink ref="H202" r:id="rId1315" xr:uid="{00000000-0004-0000-0000-000022050000}"/>
    <hyperlink ref="I202" r:id="rId1316" xr:uid="{00000000-0004-0000-0000-000023050000}"/>
    <hyperlink ref="G203" r:id="rId1317" xr:uid="{00000000-0004-0000-0000-000024050000}"/>
    <hyperlink ref="H203" r:id="rId1318" xr:uid="{00000000-0004-0000-0000-000025050000}"/>
    <hyperlink ref="I203" r:id="rId1319" xr:uid="{00000000-0004-0000-0000-000026050000}"/>
    <hyperlink ref="G204" r:id="rId1320" xr:uid="{00000000-0004-0000-0000-000027050000}"/>
    <hyperlink ref="H204" r:id="rId1321" xr:uid="{00000000-0004-0000-0000-000028050000}"/>
    <hyperlink ref="I204" r:id="rId1322" xr:uid="{00000000-0004-0000-0000-000029050000}"/>
    <hyperlink ref="G414" r:id="rId1323" xr:uid="{00000000-0004-0000-0000-00002A050000}"/>
    <hyperlink ref="H414" r:id="rId1324" xr:uid="{00000000-0004-0000-0000-00002B050000}"/>
    <hyperlink ref="I414" r:id="rId1325" xr:uid="{00000000-0004-0000-0000-00002C050000}"/>
    <hyperlink ref="G413" r:id="rId1326" xr:uid="{00000000-0004-0000-0000-00002D050000}"/>
    <hyperlink ref="H413" r:id="rId1327" xr:uid="{00000000-0004-0000-0000-00002E050000}"/>
    <hyperlink ref="I413" r:id="rId1328" xr:uid="{00000000-0004-0000-0000-00002F050000}"/>
    <hyperlink ref="G305" r:id="rId1329" xr:uid="{00000000-0004-0000-0000-000030050000}"/>
    <hyperlink ref="H305" r:id="rId1330" xr:uid="{00000000-0004-0000-0000-000031050000}"/>
    <hyperlink ref="I305" r:id="rId1331" xr:uid="{00000000-0004-0000-0000-000032050000}"/>
    <hyperlink ref="G308" r:id="rId1332" xr:uid="{00000000-0004-0000-0000-000033050000}"/>
    <hyperlink ref="H308" r:id="rId1333" xr:uid="{00000000-0004-0000-0000-000034050000}"/>
    <hyperlink ref="I308" r:id="rId1334" xr:uid="{00000000-0004-0000-0000-000035050000}"/>
    <hyperlink ref="G309" r:id="rId1335" xr:uid="{00000000-0004-0000-0000-000036050000}"/>
    <hyperlink ref="H309" r:id="rId1336" xr:uid="{00000000-0004-0000-0000-000037050000}"/>
    <hyperlink ref="I309" r:id="rId1337" xr:uid="{00000000-0004-0000-0000-000038050000}"/>
    <hyperlink ref="G303" r:id="rId1338" xr:uid="{00000000-0004-0000-0000-000039050000}"/>
    <hyperlink ref="H303" r:id="rId1339" xr:uid="{00000000-0004-0000-0000-00003A050000}"/>
    <hyperlink ref="I303" r:id="rId1340" xr:uid="{00000000-0004-0000-0000-00003B050000}"/>
    <hyperlink ref="G304" r:id="rId1341" xr:uid="{00000000-0004-0000-0000-00003C050000}"/>
    <hyperlink ref="H304" r:id="rId1342" xr:uid="{00000000-0004-0000-0000-00003D050000}"/>
    <hyperlink ref="I304" r:id="rId1343" xr:uid="{00000000-0004-0000-0000-00003E050000}"/>
    <hyperlink ref="G306" r:id="rId1344" xr:uid="{00000000-0004-0000-0000-00003F050000}"/>
    <hyperlink ref="H306" r:id="rId1345" xr:uid="{00000000-0004-0000-0000-000040050000}"/>
    <hyperlink ref="I306" r:id="rId1346" xr:uid="{00000000-0004-0000-0000-000041050000}"/>
    <hyperlink ref="G307" r:id="rId1347" xr:uid="{00000000-0004-0000-0000-000042050000}"/>
    <hyperlink ref="H307" r:id="rId1348" xr:uid="{00000000-0004-0000-0000-000043050000}"/>
    <hyperlink ref="I307" r:id="rId1349" xr:uid="{00000000-0004-0000-0000-000044050000}"/>
    <hyperlink ref="G479" r:id="rId1350" xr:uid="{00000000-0004-0000-0000-000045050000}"/>
    <hyperlink ref="H479" r:id="rId1351" xr:uid="{00000000-0004-0000-0000-000046050000}"/>
    <hyperlink ref="I479" r:id="rId1352" xr:uid="{00000000-0004-0000-0000-000047050000}"/>
    <hyperlink ref="G480" r:id="rId1353" xr:uid="{00000000-0004-0000-0000-000048050000}"/>
    <hyperlink ref="H480" r:id="rId1354" xr:uid="{00000000-0004-0000-0000-000049050000}"/>
    <hyperlink ref="I480" r:id="rId1355" xr:uid="{00000000-0004-0000-0000-00004A050000}"/>
    <hyperlink ref="G505" r:id="rId1356" xr:uid="{00000000-0004-0000-0000-00004B050000}"/>
    <hyperlink ref="H505" r:id="rId1357" xr:uid="{00000000-0004-0000-0000-00004C050000}"/>
    <hyperlink ref="I505" r:id="rId1358" xr:uid="{00000000-0004-0000-0000-00004D050000}"/>
    <hyperlink ref="G481" r:id="rId1359" xr:uid="{00000000-0004-0000-0000-00004E050000}"/>
    <hyperlink ref="H481" r:id="rId1360" xr:uid="{00000000-0004-0000-0000-00004F050000}"/>
    <hyperlink ref="I481" r:id="rId1361" xr:uid="{00000000-0004-0000-0000-000050050000}"/>
    <hyperlink ref="G482" r:id="rId1362" xr:uid="{00000000-0004-0000-0000-000051050000}"/>
    <hyperlink ref="H482" r:id="rId1363" xr:uid="{00000000-0004-0000-0000-000052050000}"/>
    <hyperlink ref="I482" r:id="rId1364" xr:uid="{00000000-0004-0000-0000-000053050000}"/>
    <hyperlink ref="G506" r:id="rId1365" xr:uid="{00000000-0004-0000-0000-000054050000}"/>
    <hyperlink ref="H506" r:id="rId1366" xr:uid="{00000000-0004-0000-0000-000055050000}"/>
    <hyperlink ref="I506" r:id="rId1367" xr:uid="{00000000-0004-0000-0000-000056050000}"/>
    <hyperlink ref="G483" r:id="rId1368" xr:uid="{00000000-0004-0000-0000-000057050000}"/>
    <hyperlink ref="H483" r:id="rId1369" xr:uid="{00000000-0004-0000-0000-000058050000}"/>
    <hyperlink ref="I483" r:id="rId1370" xr:uid="{00000000-0004-0000-0000-000059050000}"/>
    <hyperlink ref="G484" r:id="rId1371" xr:uid="{00000000-0004-0000-0000-00005A050000}"/>
    <hyperlink ref="H484" r:id="rId1372" xr:uid="{00000000-0004-0000-0000-00005B050000}"/>
    <hyperlink ref="I484" r:id="rId1373" xr:uid="{00000000-0004-0000-0000-00005C050000}"/>
    <hyperlink ref="G507" r:id="rId1374" xr:uid="{00000000-0004-0000-0000-00005D050000}"/>
    <hyperlink ref="H507" r:id="rId1375" xr:uid="{00000000-0004-0000-0000-00005E050000}"/>
    <hyperlink ref="I507" r:id="rId1376" xr:uid="{00000000-0004-0000-0000-00005F050000}"/>
    <hyperlink ref="G485" r:id="rId1377" xr:uid="{00000000-0004-0000-0000-000060050000}"/>
    <hyperlink ref="H485" r:id="rId1378" xr:uid="{00000000-0004-0000-0000-000061050000}"/>
    <hyperlink ref="I485" r:id="rId1379" xr:uid="{00000000-0004-0000-0000-000062050000}"/>
    <hyperlink ref="G486" r:id="rId1380" xr:uid="{00000000-0004-0000-0000-000063050000}"/>
    <hyperlink ref="H486" r:id="rId1381" xr:uid="{00000000-0004-0000-0000-000064050000}"/>
    <hyperlink ref="I486" r:id="rId1382" xr:uid="{00000000-0004-0000-0000-000065050000}"/>
    <hyperlink ref="G508" r:id="rId1383" xr:uid="{00000000-0004-0000-0000-000066050000}"/>
    <hyperlink ref="H508" r:id="rId1384" xr:uid="{00000000-0004-0000-0000-000067050000}"/>
    <hyperlink ref="I508" r:id="rId1385" xr:uid="{00000000-0004-0000-0000-000068050000}"/>
    <hyperlink ref="G487" r:id="rId1386" xr:uid="{00000000-0004-0000-0000-000069050000}"/>
    <hyperlink ref="H487" r:id="rId1387" xr:uid="{00000000-0004-0000-0000-00006A050000}"/>
    <hyperlink ref="I487" r:id="rId1388" xr:uid="{00000000-0004-0000-0000-00006B050000}"/>
    <hyperlink ref="G488" r:id="rId1389" xr:uid="{00000000-0004-0000-0000-00006C050000}"/>
    <hyperlink ref="H488" r:id="rId1390" xr:uid="{00000000-0004-0000-0000-00006D050000}"/>
    <hyperlink ref="I488" r:id="rId1391" xr:uid="{00000000-0004-0000-0000-00006E050000}"/>
    <hyperlink ref="G509" r:id="rId1392" xr:uid="{00000000-0004-0000-0000-00006F050000}"/>
    <hyperlink ref="H509" r:id="rId1393" xr:uid="{00000000-0004-0000-0000-000070050000}"/>
    <hyperlink ref="I509" r:id="rId1394" xr:uid="{00000000-0004-0000-0000-000071050000}"/>
    <hyperlink ref="G489" r:id="rId1395" xr:uid="{00000000-0004-0000-0000-000072050000}"/>
    <hyperlink ref="H489" r:id="rId1396" xr:uid="{00000000-0004-0000-0000-000073050000}"/>
    <hyperlink ref="I489" r:id="rId1397" xr:uid="{00000000-0004-0000-0000-000074050000}"/>
    <hyperlink ref="G490" r:id="rId1398" xr:uid="{00000000-0004-0000-0000-000075050000}"/>
    <hyperlink ref="H490" r:id="rId1399" xr:uid="{00000000-0004-0000-0000-000076050000}"/>
    <hyperlink ref="I490" r:id="rId1400" xr:uid="{00000000-0004-0000-0000-000077050000}"/>
    <hyperlink ref="G510" r:id="rId1401" xr:uid="{00000000-0004-0000-0000-000078050000}"/>
    <hyperlink ref="H510" r:id="rId1402" xr:uid="{00000000-0004-0000-0000-000079050000}"/>
    <hyperlink ref="I510" r:id="rId1403" xr:uid="{00000000-0004-0000-0000-00007A050000}"/>
    <hyperlink ref="G491" r:id="rId1404" xr:uid="{00000000-0004-0000-0000-00007B050000}"/>
    <hyperlink ref="H491" r:id="rId1405" xr:uid="{00000000-0004-0000-0000-00007C050000}"/>
    <hyperlink ref="I491" r:id="rId1406" xr:uid="{00000000-0004-0000-0000-00007D050000}"/>
    <hyperlink ref="G492" r:id="rId1407" xr:uid="{00000000-0004-0000-0000-00007E050000}"/>
    <hyperlink ref="H492" r:id="rId1408" xr:uid="{00000000-0004-0000-0000-00007F050000}"/>
    <hyperlink ref="I492" r:id="rId1409" xr:uid="{00000000-0004-0000-0000-000080050000}"/>
    <hyperlink ref="G511" r:id="rId1410" xr:uid="{00000000-0004-0000-0000-000081050000}"/>
    <hyperlink ref="H511" r:id="rId1411" xr:uid="{00000000-0004-0000-0000-000082050000}"/>
    <hyperlink ref="I511" r:id="rId1412" xr:uid="{00000000-0004-0000-0000-000083050000}"/>
    <hyperlink ref="G493" r:id="rId1413" xr:uid="{00000000-0004-0000-0000-000084050000}"/>
    <hyperlink ref="H493" r:id="rId1414" xr:uid="{00000000-0004-0000-0000-000085050000}"/>
    <hyperlink ref="I493" r:id="rId1415" xr:uid="{00000000-0004-0000-0000-000086050000}"/>
    <hyperlink ref="G494" r:id="rId1416" xr:uid="{00000000-0004-0000-0000-000087050000}"/>
    <hyperlink ref="H494" r:id="rId1417" xr:uid="{00000000-0004-0000-0000-000088050000}"/>
    <hyperlink ref="I494" r:id="rId1418" xr:uid="{00000000-0004-0000-0000-000089050000}"/>
    <hyperlink ref="G512" r:id="rId1419" xr:uid="{00000000-0004-0000-0000-00008A050000}"/>
    <hyperlink ref="H512" r:id="rId1420" xr:uid="{00000000-0004-0000-0000-00008B050000}"/>
    <hyperlink ref="I512" r:id="rId1421" xr:uid="{00000000-0004-0000-0000-00008C050000}"/>
    <hyperlink ref="G495" r:id="rId1422" xr:uid="{00000000-0004-0000-0000-00008D050000}"/>
    <hyperlink ref="H495" r:id="rId1423" xr:uid="{00000000-0004-0000-0000-00008E050000}"/>
    <hyperlink ref="I495" r:id="rId1424" xr:uid="{00000000-0004-0000-0000-00008F050000}"/>
    <hyperlink ref="G496" r:id="rId1425" xr:uid="{00000000-0004-0000-0000-000090050000}"/>
    <hyperlink ref="H496" r:id="rId1426" xr:uid="{00000000-0004-0000-0000-000091050000}"/>
    <hyperlink ref="I496" r:id="rId1427" xr:uid="{00000000-0004-0000-0000-000092050000}"/>
    <hyperlink ref="G513" r:id="rId1428" xr:uid="{00000000-0004-0000-0000-000093050000}"/>
    <hyperlink ref="H513" r:id="rId1429" xr:uid="{00000000-0004-0000-0000-000094050000}"/>
    <hyperlink ref="I513" r:id="rId1430" xr:uid="{00000000-0004-0000-0000-000095050000}"/>
    <hyperlink ref="G497" r:id="rId1431" xr:uid="{00000000-0004-0000-0000-000096050000}"/>
    <hyperlink ref="H497" r:id="rId1432" xr:uid="{00000000-0004-0000-0000-000097050000}"/>
    <hyperlink ref="I497" r:id="rId1433" xr:uid="{00000000-0004-0000-0000-000098050000}"/>
    <hyperlink ref="G498" r:id="rId1434" xr:uid="{00000000-0004-0000-0000-000099050000}"/>
    <hyperlink ref="H498" r:id="rId1435" xr:uid="{00000000-0004-0000-0000-00009A050000}"/>
    <hyperlink ref="I498" r:id="rId1436" xr:uid="{00000000-0004-0000-0000-00009B050000}"/>
    <hyperlink ref="G514" r:id="rId1437" xr:uid="{00000000-0004-0000-0000-00009C050000}"/>
    <hyperlink ref="H514" r:id="rId1438" xr:uid="{00000000-0004-0000-0000-00009D050000}"/>
    <hyperlink ref="I514" r:id="rId1439" xr:uid="{00000000-0004-0000-0000-00009E050000}"/>
    <hyperlink ref="G499" r:id="rId1440" xr:uid="{00000000-0004-0000-0000-00009F050000}"/>
    <hyperlink ref="H499" r:id="rId1441" xr:uid="{00000000-0004-0000-0000-0000A0050000}"/>
    <hyperlink ref="I499" r:id="rId1442" xr:uid="{00000000-0004-0000-0000-0000A1050000}"/>
    <hyperlink ref="G500" r:id="rId1443" xr:uid="{00000000-0004-0000-0000-0000A2050000}"/>
    <hyperlink ref="H500" r:id="rId1444" xr:uid="{00000000-0004-0000-0000-0000A3050000}"/>
    <hyperlink ref="I500" r:id="rId1445" xr:uid="{00000000-0004-0000-0000-0000A4050000}"/>
    <hyperlink ref="G515" r:id="rId1446" xr:uid="{00000000-0004-0000-0000-0000A5050000}"/>
    <hyperlink ref="H515" r:id="rId1447" xr:uid="{00000000-0004-0000-0000-0000A6050000}"/>
    <hyperlink ref="I515" r:id="rId1448" xr:uid="{00000000-0004-0000-0000-0000A7050000}"/>
    <hyperlink ref="G501" r:id="rId1449" xr:uid="{00000000-0004-0000-0000-0000A8050000}"/>
    <hyperlink ref="H501" r:id="rId1450" xr:uid="{00000000-0004-0000-0000-0000A9050000}"/>
    <hyperlink ref="I501" r:id="rId1451" xr:uid="{00000000-0004-0000-0000-0000AA050000}"/>
    <hyperlink ref="G502" r:id="rId1452" xr:uid="{00000000-0004-0000-0000-0000AB050000}"/>
    <hyperlink ref="H502" r:id="rId1453" xr:uid="{00000000-0004-0000-0000-0000AC050000}"/>
    <hyperlink ref="I502" r:id="rId1454" xr:uid="{00000000-0004-0000-0000-0000AD050000}"/>
    <hyperlink ref="G516" r:id="rId1455" xr:uid="{00000000-0004-0000-0000-0000AE050000}"/>
    <hyperlink ref="H516" r:id="rId1456" xr:uid="{00000000-0004-0000-0000-0000AF050000}"/>
    <hyperlink ref="I516" r:id="rId1457" xr:uid="{00000000-0004-0000-0000-0000B0050000}"/>
    <hyperlink ref="G503" r:id="rId1458" xr:uid="{00000000-0004-0000-0000-0000B1050000}"/>
    <hyperlink ref="H503" r:id="rId1459" xr:uid="{00000000-0004-0000-0000-0000B2050000}"/>
    <hyperlink ref="I503" r:id="rId1460" xr:uid="{00000000-0004-0000-0000-0000B3050000}"/>
    <hyperlink ref="G504" r:id="rId1461" xr:uid="{00000000-0004-0000-0000-0000B4050000}"/>
    <hyperlink ref="H504" r:id="rId1462" xr:uid="{00000000-0004-0000-0000-0000B5050000}"/>
    <hyperlink ref="I504" r:id="rId1463" xr:uid="{00000000-0004-0000-0000-0000B6050000}"/>
    <hyperlink ref="G517" r:id="rId1464" xr:uid="{00000000-0004-0000-0000-0000B7050000}"/>
    <hyperlink ref="H517" r:id="rId1465" xr:uid="{00000000-0004-0000-0000-0000B8050000}"/>
    <hyperlink ref="I517" r:id="rId1466" xr:uid="{00000000-0004-0000-0000-0000B9050000}"/>
    <hyperlink ref="G315" r:id="rId1467" xr:uid="{00000000-0004-0000-0000-0000BA050000}"/>
    <hyperlink ref="H315" r:id="rId1468" xr:uid="{00000000-0004-0000-0000-0000BB050000}"/>
    <hyperlink ref="I315" r:id="rId1469" xr:uid="{00000000-0004-0000-0000-0000BC050000}"/>
    <hyperlink ref="G316" r:id="rId1470" xr:uid="{00000000-0004-0000-0000-0000BD050000}"/>
    <hyperlink ref="H316" r:id="rId1471" xr:uid="{00000000-0004-0000-0000-0000BE050000}"/>
    <hyperlink ref="I316" r:id="rId1472" xr:uid="{00000000-0004-0000-0000-0000BF050000}"/>
    <hyperlink ref="G311" r:id="rId1473" xr:uid="{00000000-0004-0000-0000-0000C0050000}"/>
    <hyperlink ref="H311" r:id="rId1474" xr:uid="{00000000-0004-0000-0000-0000C1050000}"/>
    <hyperlink ref="I311" r:id="rId1475" xr:uid="{00000000-0004-0000-0000-0000C2050000}"/>
    <hyperlink ref="G314" r:id="rId1476" xr:uid="{00000000-0004-0000-0000-0000C3050000}"/>
    <hyperlink ref="H314" r:id="rId1477" xr:uid="{00000000-0004-0000-0000-0000C4050000}"/>
    <hyperlink ref="I314" r:id="rId1478" xr:uid="{00000000-0004-0000-0000-0000C5050000}"/>
    <hyperlink ref="G310" r:id="rId1479" xr:uid="{00000000-0004-0000-0000-0000C6050000}"/>
    <hyperlink ref="H310" r:id="rId1480" xr:uid="{00000000-0004-0000-0000-0000C7050000}"/>
    <hyperlink ref="I310" r:id="rId1481" xr:uid="{00000000-0004-0000-0000-0000C8050000}"/>
    <hyperlink ref="G313" r:id="rId1482" xr:uid="{00000000-0004-0000-0000-0000C9050000}"/>
    <hyperlink ref="H313" r:id="rId1483" xr:uid="{00000000-0004-0000-0000-0000CA050000}"/>
    <hyperlink ref="I313" r:id="rId1484" xr:uid="{00000000-0004-0000-0000-0000CB050000}"/>
    <hyperlink ref="G312" r:id="rId1485" xr:uid="{00000000-0004-0000-0000-0000CC050000}"/>
    <hyperlink ref="H312" r:id="rId1486" xr:uid="{00000000-0004-0000-0000-0000CD050000}"/>
    <hyperlink ref="I312" r:id="rId1487" xr:uid="{00000000-0004-0000-0000-0000CE050000}"/>
    <hyperlink ref="G244" r:id="rId1488" xr:uid="{00000000-0004-0000-0000-0000CF050000}"/>
    <hyperlink ref="H244" r:id="rId1489" xr:uid="{00000000-0004-0000-0000-0000D0050000}"/>
    <hyperlink ref="I244" r:id="rId1490" xr:uid="{00000000-0004-0000-0000-0000D1050000}"/>
    <hyperlink ref="G245" r:id="rId1491" xr:uid="{00000000-0004-0000-0000-0000D2050000}"/>
    <hyperlink ref="H245" r:id="rId1492" xr:uid="{00000000-0004-0000-0000-0000D3050000}"/>
    <hyperlink ref="I245" r:id="rId1493" xr:uid="{00000000-0004-0000-0000-0000D4050000}"/>
    <hyperlink ref="G246" r:id="rId1494" xr:uid="{00000000-0004-0000-0000-0000D5050000}"/>
    <hyperlink ref="H246" r:id="rId1495" xr:uid="{00000000-0004-0000-0000-0000D6050000}"/>
    <hyperlink ref="I246" r:id="rId1496" xr:uid="{00000000-0004-0000-0000-0000D7050000}"/>
    <hyperlink ref="G247" r:id="rId1497" xr:uid="{00000000-0004-0000-0000-0000D8050000}"/>
    <hyperlink ref="H247" r:id="rId1498" xr:uid="{00000000-0004-0000-0000-0000D9050000}"/>
    <hyperlink ref="I247" r:id="rId1499" xr:uid="{00000000-0004-0000-0000-0000DA050000}"/>
    <hyperlink ref="G248" r:id="rId1500" xr:uid="{00000000-0004-0000-0000-0000DB050000}"/>
    <hyperlink ref="H248" r:id="rId1501" xr:uid="{00000000-0004-0000-0000-0000DC050000}"/>
    <hyperlink ref="I248" r:id="rId1502" xr:uid="{00000000-0004-0000-0000-0000DD050000}"/>
    <hyperlink ref="G249" r:id="rId1503" xr:uid="{00000000-0004-0000-0000-0000DE050000}"/>
    <hyperlink ref="H249" r:id="rId1504" xr:uid="{00000000-0004-0000-0000-0000DF050000}"/>
    <hyperlink ref="I249" r:id="rId1505" xr:uid="{00000000-0004-0000-0000-0000E0050000}"/>
    <hyperlink ref="G250" r:id="rId1506" xr:uid="{00000000-0004-0000-0000-0000E1050000}"/>
    <hyperlink ref="H250" r:id="rId1507" xr:uid="{00000000-0004-0000-0000-0000E2050000}"/>
    <hyperlink ref="I250" r:id="rId1508" xr:uid="{00000000-0004-0000-0000-0000E3050000}"/>
    <hyperlink ref="G251" r:id="rId1509" xr:uid="{00000000-0004-0000-0000-0000E4050000}"/>
    <hyperlink ref="H251" r:id="rId1510" xr:uid="{00000000-0004-0000-0000-0000E5050000}"/>
    <hyperlink ref="I251" r:id="rId1511" xr:uid="{00000000-0004-0000-0000-0000E6050000}"/>
    <hyperlink ref="G252" r:id="rId1512" xr:uid="{00000000-0004-0000-0000-0000E7050000}"/>
    <hyperlink ref="H252" r:id="rId1513" xr:uid="{00000000-0004-0000-0000-0000E8050000}"/>
    <hyperlink ref="I252" r:id="rId1514" xr:uid="{00000000-0004-0000-0000-0000E9050000}"/>
    <hyperlink ref="G253" r:id="rId1515" xr:uid="{00000000-0004-0000-0000-0000EA050000}"/>
    <hyperlink ref="H253" r:id="rId1516" xr:uid="{00000000-0004-0000-0000-0000EB050000}"/>
    <hyperlink ref="I253" r:id="rId1517" xr:uid="{00000000-0004-0000-0000-0000EC050000}"/>
    <hyperlink ref="G264" r:id="rId1518" xr:uid="{00000000-0004-0000-0000-0000ED050000}"/>
    <hyperlink ref="H264" r:id="rId1519" xr:uid="{00000000-0004-0000-0000-0000EE050000}"/>
    <hyperlink ref="I264" r:id="rId1520" xr:uid="{00000000-0004-0000-0000-0000EF050000}"/>
    <hyperlink ref="G265" r:id="rId1521" xr:uid="{00000000-0004-0000-0000-0000F0050000}"/>
    <hyperlink ref="H265" r:id="rId1522" xr:uid="{00000000-0004-0000-0000-0000F1050000}"/>
    <hyperlink ref="I265" r:id="rId1523" xr:uid="{00000000-0004-0000-0000-0000F2050000}"/>
    <hyperlink ref="G266" r:id="rId1524" xr:uid="{00000000-0004-0000-0000-0000F3050000}"/>
    <hyperlink ref="H266" r:id="rId1525" xr:uid="{00000000-0004-0000-0000-0000F4050000}"/>
    <hyperlink ref="I266" r:id="rId1526" xr:uid="{00000000-0004-0000-0000-0000F5050000}"/>
    <hyperlink ref="G267" r:id="rId1527" xr:uid="{00000000-0004-0000-0000-0000F6050000}"/>
    <hyperlink ref="H267" r:id="rId1528" xr:uid="{00000000-0004-0000-0000-0000F7050000}"/>
    <hyperlink ref="I267" r:id="rId1529" xr:uid="{00000000-0004-0000-0000-0000F8050000}"/>
    <hyperlink ref="G268" r:id="rId1530" xr:uid="{00000000-0004-0000-0000-0000F9050000}"/>
    <hyperlink ref="H268" r:id="rId1531" xr:uid="{00000000-0004-0000-0000-0000FA050000}"/>
    <hyperlink ref="I268" r:id="rId1532" xr:uid="{00000000-0004-0000-0000-0000FB050000}"/>
    <hyperlink ref="G254" r:id="rId1533" xr:uid="{00000000-0004-0000-0000-0000FC050000}"/>
    <hyperlink ref="H254" r:id="rId1534" xr:uid="{00000000-0004-0000-0000-0000FD050000}"/>
    <hyperlink ref="I254" r:id="rId1535" xr:uid="{00000000-0004-0000-0000-0000FE050000}"/>
    <hyperlink ref="G255" r:id="rId1536" xr:uid="{00000000-0004-0000-0000-0000FF050000}"/>
    <hyperlink ref="H255" r:id="rId1537" xr:uid="{00000000-0004-0000-0000-000000060000}"/>
    <hyperlink ref="I255" r:id="rId1538" xr:uid="{00000000-0004-0000-0000-000001060000}"/>
    <hyperlink ref="G256" r:id="rId1539" xr:uid="{00000000-0004-0000-0000-000002060000}"/>
    <hyperlink ref="H256" r:id="rId1540" xr:uid="{00000000-0004-0000-0000-000003060000}"/>
    <hyperlink ref="I256" r:id="rId1541" xr:uid="{00000000-0004-0000-0000-000004060000}"/>
    <hyperlink ref="G257" r:id="rId1542" xr:uid="{00000000-0004-0000-0000-000005060000}"/>
    <hyperlink ref="H257" r:id="rId1543" xr:uid="{00000000-0004-0000-0000-000006060000}"/>
    <hyperlink ref="I257" r:id="rId1544" xr:uid="{00000000-0004-0000-0000-000007060000}"/>
    <hyperlink ref="G258" r:id="rId1545" xr:uid="{00000000-0004-0000-0000-000008060000}"/>
    <hyperlink ref="H258" r:id="rId1546" xr:uid="{00000000-0004-0000-0000-000009060000}"/>
    <hyperlink ref="I258" r:id="rId1547" xr:uid="{00000000-0004-0000-0000-00000A060000}"/>
    <hyperlink ref="G259" r:id="rId1548" xr:uid="{00000000-0004-0000-0000-00000B060000}"/>
    <hyperlink ref="H259" r:id="rId1549" xr:uid="{00000000-0004-0000-0000-00000C060000}"/>
    <hyperlink ref="I259" r:id="rId1550" xr:uid="{00000000-0004-0000-0000-00000D060000}"/>
    <hyperlink ref="G260" r:id="rId1551" xr:uid="{00000000-0004-0000-0000-00000E060000}"/>
    <hyperlink ref="H260" r:id="rId1552" xr:uid="{00000000-0004-0000-0000-00000F060000}"/>
    <hyperlink ref="I260" r:id="rId1553" xr:uid="{00000000-0004-0000-0000-000010060000}"/>
    <hyperlink ref="G261" r:id="rId1554" xr:uid="{00000000-0004-0000-0000-000011060000}"/>
    <hyperlink ref="H261" r:id="rId1555" xr:uid="{00000000-0004-0000-0000-000012060000}"/>
    <hyperlink ref="I261" r:id="rId1556" xr:uid="{00000000-0004-0000-0000-000013060000}"/>
    <hyperlink ref="G262" r:id="rId1557" xr:uid="{00000000-0004-0000-0000-000014060000}"/>
    <hyperlink ref="H262" r:id="rId1558" xr:uid="{00000000-0004-0000-0000-000015060000}"/>
    <hyperlink ref="I262" r:id="rId1559" xr:uid="{00000000-0004-0000-0000-000016060000}"/>
    <hyperlink ref="G263" r:id="rId1560" xr:uid="{00000000-0004-0000-0000-000017060000}"/>
    <hyperlink ref="H263" r:id="rId1561" xr:uid="{00000000-0004-0000-0000-000018060000}"/>
    <hyperlink ref="I263" r:id="rId1562" xr:uid="{00000000-0004-0000-0000-000019060000}"/>
    <hyperlink ref="G269" r:id="rId1563" xr:uid="{00000000-0004-0000-0000-00001A060000}"/>
    <hyperlink ref="H269" r:id="rId1564" xr:uid="{00000000-0004-0000-0000-00001B060000}"/>
    <hyperlink ref="I269" r:id="rId1565" xr:uid="{00000000-0004-0000-0000-00001C060000}"/>
    <hyperlink ref="G270" r:id="rId1566" xr:uid="{00000000-0004-0000-0000-00001D060000}"/>
    <hyperlink ref="H270" r:id="rId1567" xr:uid="{00000000-0004-0000-0000-00001E060000}"/>
    <hyperlink ref="I270" r:id="rId1568" xr:uid="{00000000-0004-0000-0000-00001F060000}"/>
    <hyperlink ref="G271" r:id="rId1569" xr:uid="{00000000-0004-0000-0000-000020060000}"/>
    <hyperlink ref="H271" r:id="rId1570" xr:uid="{00000000-0004-0000-0000-000021060000}"/>
    <hyperlink ref="I271" r:id="rId1571" xr:uid="{00000000-0004-0000-0000-000022060000}"/>
    <hyperlink ref="G272" r:id="rId1572" xr:uid="{00000000-0004-0000-0000-000023060000}"/>
    <hyperlink ref="H272" r:id="rId1573" xr:uid="{00000000-0004-0000-0000-000024060000}"/>
    <hyperlink ref="I272" r:id="rId1574" xr:uid="{00000000-0004-0000-0000-000025060000}"/>
    <hyperlink ref="G273" r:id="rId1575" xr:uid="{00000000-0004-0000-0000-000026060000}"/>
    <hyperlink ref="H273" r:id="rId1576" xr:uid="{00000000-0004-0000-0000-000027060000}"/>
    <hyperlink ref="I273" r:id="rId1577" xr:uid="{00000000-0004-0000-0000-000028060000}"/>
    <hyperlink ref="G571" r:id="rId1578" xr:uid="{00000000-0004-0000-0000-000029060000}"/>
    <hyperlink ref="H571" r:id="rId1579" xr:uid="{00000000-0004-0000-0000-00002A060000}"/>
    <hyperlink ref="I571" r:id="rId1580" xr:uid="{00000000-0004-0000-0000-00002B060000}"/>
    <hyperlink ref="G572" r:id="rId1581" xr:uid="{00000000-0004-0000-0000-00002C060000}"/>
    <hyperlink ref="H572" r:id="rId1582" xr:uid="{00000000-0004-0000-0000-00002D060000}"/>
    <hyperlink ref="I572" r:id="rId1583" xr:uid="{00000000-0004-0000-0000-00002E060000}"/>
    <hyperlink ref="G573" r:id="rId1584" xr:uid="{00000000-0004-0000-0000-00002F060000}"/>
    <hyperlink ref="H573" r:id="rId1585" xr:uid="{00000000-0004-0000-0000-000030060000}"/>
    <hyperlink ref="I573" r:id="rId1586" xr:uid="{00000000-0004-0000-0000-000031060000}"/>
    <hyperlink ref="G574" r:id="rId1587" xr:uid="{00000000-0004-0000-0000-000032060000}"/>
    <hyperlink ref="H574" r:id="rId1588" xr:uid="{00000000-0004-0000-0000-000033060000}"/>
    <hyperlink ref="I574" r:id="rId1589" xr:uid="{00000000-0004-0000-0000-000034060000}"/>
    <hyperlink ref="G575" r:id="rId1590" xr:uid="{00000000-0004-0000-0000-000035060000}"/>
    <hyperlink ref="H575" r:id="rId1591" xr:uid="{00000000-0004-0000-0000-000036060000}"/>
    <hyperlink ref="I575" r:id="rId1592" xr:uid="{00000000-0004-0000-0000-000037060000}"/>
    <hyperlink ref="G576" r:id="rId1593" xr:uid="{00000000-0004-0000-0000-000038060000}"/>
    <hyperlink ref="H576" r:id="rId1594" xr:uid="{00000000-0004-0000-0000-000039060000}"/>
    <hyperlink ref="I576" r:id="rId1595" xr:uid="{00000000-0004-0000-0000-00003A060000}"/>
    <hyperlink ref="G577" r:id="rId1596" xr:uid="{00000000-0004-0000-0000-00003B060000}"/>
    <hyperlink ref="H577" r:id="rId1597" xr:uid="{00000000-0004-0000-0000-00003C060000}"/>
    <hyperlink ref="I577" r:id="rId1598" xr:uid="{00000000-0004-0000-0000-00003D060000}"/>
    <hyperlink ref="G578" r:id="rId1599" xr:uid="{00000000-0004-0000-0000-00003E060000}"/>
    <hyperlink ref="H578" r:id="rId1600" xr:uid="{00000000-0004-0000-0000-00003F060000}"/>
    <hyperlink ref="I578" r:id="rId1601" xr:uid="{00000000-0004-0000-0000-000040060000}"/>
    <hyperlink ref="G579" r:id="rId1602" xr:uid="{00000000-0004-0000-0000-000041060000}"/>
    <hyperlink ref="H579" r:id="rId1603" xr:uid="{00000000-0004-0000-0000-000042060000}"/>
    <hyperlink ref="I579" r:id="rId1604" xr:uid="{00000000-0004-0000-0000-000043060000}"/>
    <hyperlink ref="G580" r:id="rId1605" xr:uid="{00000000-0004-0000-0000-000044060000}"/>
    <hyperlink ref="H580" r:id="rId1606" xr:uid="{00000000-0004-0000-0000-000045060000}"/>
    <hyperlink ref="I580" r:id="rId1607" xr:uid="{00000000-0004-0000-0000-000046060000}"/>
    <hyperlink ref="G581" r:id="rId1608" xr:uid="{00000000-0004-0000-0000-000047060000}"/>
    <hyperlink ref="H581" r:id="rId1609" xr:uid="{00000000-0004-0000-0000-000048060000}"/>
    <hyperlink ref="I581" r:id="rId1610" xr:uid="{00000000-0004-0000-0000-000049060000}"/>
    <hyperlink ref="G582" r:id="rId1611" xr:uid="{00000000-0004-0000-0000-00004A060000}"/>
    <hyperlink ref="H582" r:id="rId1612" xr:uid="{00000000-0004-0000-0000-00004B060000}"/>
    <hyperlink ref="I582" r:id="rId1613" xr:uid="{00000000-0004-0000-0000-00004C060000}"/>
    <hyperlink ref="G583" r:id="rId1614" xr:uid="{00000000-0004-0000-0000-00004D060000}"/>
    <hyperlink ref="H583" r:id="rId1615" xr:uid="{00000000-0004-0000-0000-00004E060000}"/>
    <hyperlink ref="I583" r:id="rId1616" xr:uid="{00000000-0004-0000-0000-00004F060000}"/>
    <hyperlink ref="G584" r:id="rId1617" xr:uid="{00000000-0004-0000-0000-000050060000}"/>
    <hyperlink ref="H584" r:id="rId1618" xr:uid="{00000000-0004-0000-0000-000051060000}"/>
    <hyperlink ref="I584" r:id="rId1619" xr:uid="{00000000-0004-0000-0000-000052060000}"/>
    <hyperlink ref="G557" r:id="rId1620" xr:uid="{00000000-0004-0000-0000-000053060000}"/>
    <hyperlink ref="H557" r:id="rId1621" xr:uid="{00000000-0004-0000-0000-000054060000}"/>
    <hyperlink ref="I557" r:id="rId1622" xr:uid="{00000000-0004-0000-0000-000055060000}"/>
    <hyperlink ref="G558" r:id="rId1623" xr:uid="{00000000-0004-0000-0000-000056060000}"/>
    <hyperlink ref="H558" r:id="rId1624" xr:uid="{00000000-0004-0000-0000-000057060000}"/>
    <hyperlink ref="I558" r:id="rId1625" xr:uid="{00000000-0004-0000-0000-000058060000}"/>
    <hyperlink ref="G559" r:id="rId1626" xr:uid="{00000000-0004-0000-0000-000059060000}"/>
    <hyperlink ref="H559" r:id="rId1627" xr:uid="{00000000-0004-0000-0000-00005A060000}"/>
    <hyperlink ref="I559" r:id="rId1628" xr:uid="{00000000-0004-0000-0000-00005B060000}"/>
    <hyperlink ref="G560" r:id="rId1629" xr:uid="{00000000-0004-0000-0000-00005C060000}"/>
    <hyperlink ref="H560" r:id="rId1630" xr:uid="{00000000-0004-0000-0000-00005D060000}"/>
    <hyperlink ref="I560" r:id="rId1631" xr:uid="{00000000-0004-0000-0000-00005E060000}"/>
    <hyperlink ref="G561" r:id="rId1632" xr:uid="{00000000-0004-0000-0000-00005F060000}"/>
    <hyperlink ref="H561" r:id="rId1633" xr:uid="{00000000-0004-0000-0000-000060060000}"/>
    <hyperlink ref="I561" r:id="rId1634" xr:uid="{00000000-0004-0000-0000-000061060000}"/>
    <hyperlink ref="G562" r:id="rId1635" xr:uid="{00000000-0004-0000-0000-000062060000}"/>
    <hyperlink ref="H562" r:id="rId1636" xr:uid="{00000000-0004-0000-0000-000063060000}"/>
    <hyperlink ref="I562" r:id="rId1637" xr:uid="{00000000-0004-0000-0000-000064060000}"/>
    <hyperlink ref="G563" r:id="rId1638" xr:uid="{00000000-0004-0000-0000-000065060000}"/>
    <hyperlink ref="H563" r:id="rId1639" xr:uid="{00000000-0004-0000-0000-000066060000}"/>
    <hyperlink ref="I563" r:id="rId1640" xr:uid="{00000000-0004-0000-0000-000067060000}"/>
    <hyperlink ref="G564" r:id="rId1641" xr:uid="{00000000-0004-0000-0000-000068060000}"/>
    <hyperlink ref="H564" r:id="rId1642" xr:uid="{00000000-0004-0000-0000-000069060000}"/>
    <hyperlink ref="I564" r:id="rId1643" xr:uid="{00000000-0004-0000-0000-00006A060000}"/>
    <hyperlink ref="G565" r:id="rId1644" xr:uid="{00000000-0004-0000-0000-00006B060000}"/>
    <hyperlink ref="H565" r:id="rId1645" xr:uid="{00000000-0004-0000-0000-00006C060000}"/>
    <hyperlink ref="I565" r:id="rId1646" xr:uid="{00000000-0004-0000-0000-00006D060000}"/>
    <hyperlink ref="G566" r:id="rId1647" xr:uid="{00000000-0004-0000-0000-00006E060000}"/>
    <hyperlink ref="H566" r:id="rId1648" xr:uid="{00000000-0004-0000-0000-00006F060000}"/>
    <hyperlink ref="I566" r:id="rId1649" xr:uid="{00000000-0004-0000-0000-000070060000}"/>
    <hyperlink ref="G567" r:id="rId1650" xr:uid="{00000000-0004-0000-0000-000071060000}"/>
    <hyperlink ref="H567" r:id="rId1651" xr:uid="{00000000-0004-0000-0000-000072060000}"/>
    <hyperlink ref="I567" r:id="rId1652" xr:uid="{00000000-0004-0000-0000-000073060000}"/>
    <hyperlink ref="G568" r:id="rId1653" xr:uid="{00000000-0004-0000-0000-000074060000}"/>
    <hyperlink ref="H568" r:id="rId1654" xr:uid="{00000000-0004-0000-0000-000075060000}"/>
    <hyperlink ref="I568" r:id="rId1655" xr:uid="{00000000-0004-0000-0000-000076060000}"/>
    <hyperlink ref="G569" r:id="rId1656" xr:uid="{00000000-0004-0000-0000-000077060000}"/>
    <hyperlink ref="H569" r:id="rId1657" xr:uid="{00000000-0004-0000-0000-000078060000}"/>
    <hyperlink ref="I569" r:id="rId1658" xr:uid="{00000000-0004-0000-0000-000079060000}"/>
    <hyperlink ref="G570" r:id="rId1659" xr:uid="{00000000-0004-0000-0000-00007A060000}"/>
    <hyperlink ref="H570" r:id="rId1660" xr:uid="{00000000-0004-0000-0000-00007B060000}"/>
    <hyperlink ref="I570" r:id="rId1661" xr:uid="{00000000-0004-0000-0000-00007C060000}"/>
    <hyperlink ref="G543" r:id="rId1662" xr:uid="{00000000-0004-0000-0000-00007D060000}"/>
    <hyperlink ref="H543" r:id="rId1663" xr:uid="{00000000-0004-0000-0000-00007E060000}"/>
    <hyperlink ref="I543" r:id="rId1664" xr:uid="{00000000-0004-0000-0000-00007F060000}"/>
    <hyperlink ref="G544" r:id="rId1665" xr:uid="{00000000-0004-0000-0000-000080060000}"/>
    <hyperlink ref="H544" r:id="rId1666" xr:uid="{00000000-0004-0000-0000-000081060000}"/>
    <hyperlink ref="I544" r:id="rId1667" xr:uid="{00000000-0004-0000-0000-000082060000}"/>
    <hyperlink ref="G545" r:id="rId1668" xr:uid="{00000000-0004-0000-0000-000083060000}"/>
    <hyperlink ref="H545" r:id="rId1669" xr:uid="{00000000-0004-0000-0000-000084060000}"/>
    <hyperlink ref="I545" r:id="rId1670" xr:uid="{00000000-0004-0000-0000-000085060000}"/>
    <hyperlink ref="G546" r:id="rId1671" xr:uid="{00000000-0004-0000-0000-000086060000}"/>
    <hyperlink ref="H546" r:id="rId1672" xr:uid="{00000000-0004-0000-0000-000087060000}"/>
    <hyperlink ref="I546" r:id="rId1673" xr:uid="{00000000-0004-0000-0000-000088060000}"/>
    <hyperlink ref="G547" r:id="rId1674" xr:uid="{00000000-0004-0000-0000-000089060000}"/>
    <hyperlink ref="H547" r:id="rId1675" xr:uid="{00000000-0004-0000-0000-00008A060000}"/>
    <hyperlink ref="I547" r:id="rId1676" xr:uid="{00000000-0004-0000-0000-00008B060000}"/>
    <hyperlink ref="G548" r:id="rId1677" xr:uid="{00000000-0004-0000-0000-00008C060000}"/>
    <hyperlink ref="H548" r:id="rId1678" xr:uid="{00000000-0004-0000-0000-00008D060000}"/>
    <hyperlink ref="I548" r:id="rId1679" xr:uid="{00000000-0004-0000-0000-00008E060000}"/>
    <hyperlink ref="G549" r:id="rId1680" xr:uid="{00000000-0004-0000-0000-00008F060000}"/>
    <hyperlink ref="H549" r:id="rId1681" xr:uid="{00000000-0004-0000-0000-000090060000}"/>
    <hyperlink ref="I549" r:id="rId1682" xr:uid="{00000000-0004-0000-0000-000091060000}"/>
    <hyperlink ref="G550" r:id="rId1683" xr:uid="{00000000-0004-0000-0000-000092060000}"/>
    <hyperlink ref="H550" r:id="rId1684" xr:uid="{00000000-0004-0000-0000-000093060000}"/>
    <hyperlink ref="I550" r:id="rId1685" xr:uid="{00000000-0004-0000-0000-000094060000}"/>
    <hyperlink ref="G551" r:id="rId1686" xr:uid="{00000000-0004-0000-0000-000095060000}"/>
    <hyperlink ref="H551" r:id="rId1687" xr:uid="{00000000-0004-0000-0000-000096060000}"/>
    <hyperlink ref="I551" r:id="rId1688" xr:uid="{00000000-0004-0000-0000-000097060000}"/>
    <hyperlink ref="G552" r:id="rId1689" xr:uid="{00000000-0004-0000-0000-000098060000}"/>
    <hyperlink ref="H552" r:id="rId1690" xr:uid="{00000000-0004-0000-0000-000099060000}"/>
    <hyperlink ref="I552" r:id="rId1691" xr:uid="{00000000-0004-0000-0000-00009A060000}"/>
    <hyperlink ref="G553" r:id="rId1692" xr:uid="{00000000-0004-0000-0000-00009B060000}"/>
    <hyperlink ref="H553" r:id="rId1693" xr:uid="{00000000-0004-0000-0000-00009C060000}"/>
    <hyperlink ref="I553" r:id="rId1694" xr:uid="{00000000-0004-0000-0000-00009D060000}"/>
    <hyperlink ref="G554" r:id="rId1695" xr:uid="{00000000-0004-0000-0000-00009E060000}"/>
    <hyperlink ref="H554" r:id="rId1696" xr:uid="{00000000-0004-0000-0000-00009F060000}"/>
    <hyperlink ref="I554" r:id="rId1697" xr:uid="{00000000-0004-0000-0000-0000A0060000}"/>
    <hyperlink ref="G555" r:id="rId1698" xr:uid="{00000000-0004-0000-0000-0000A1060000}"/>
    <hyperlink ref="H555" r:id="rId1699" xr:uid="{00000000-0004-0000-0000-0000A2060000}"/>
    <hyperlink ref="I555" r:id="rId1700" xr:uid="{00000000-0004-0000-0000-0000A3060000}"/>
    <hyperlink ref="G556" r:id="rId1701" xr:uid="{00000000-0004-0000-0000-0000A4060000}"/>
    <hyperlink ref="H556" r:id="rId1702" xr:uid="{00000000-0004-0000-0000-0000A5060000}"/>
    <hyperlink ref="I556" r:id="rId1703" xr:uid="{00000000-0004-0000-0000-0000A6060000}"/>
    <hyperlink ref="G585" r:id="rId1704" xr:uid="{00000000-0004-0000-0000-0000A7060000}"/>
    <hyperlink ref="H585" r:id="rId1705" xr:uid="{00000000-0004-0000-0000-0000A8060000}"/>
    <hyperlink ref="I585" r:id="rId1706" xr:uid="{00000000-0004-0000-0000-0000A9060000}"/>
    <hyperlink ref="G586" r:id="rId1707" xr:uid="{00000000-0004-0000-0000-0000AA060000}"/>
    <hyperlink ref="H586" r:id="rId1708" xr:uid="{00000000-0004-0000-0000-0000AB060000}"/>
    <hyperlink ref="I586" r:id="rId1709" xr:uid="{00000000-0004-0000-0000-0000AC060000}"/>
    <hyperlink ref="G587" r:id="rId1710" xr:uid="{00000000-0004-0000-0000-0000AD060000}"/>
    <hyperlink ref="H587" r:id="rId1711" xr:uid="{00000000-0004-0000-0000-0000AE060000}"/>
    <hyperlink ref="I587" r:id="rId1712" xr:uid="{00000000-0004-0000-0000-0000AF060000}"/>
    <hyperlink ref="G588" r:id="rId1713" xr:uid="{00000000-0004-0000-0000-0000B0060000}"/>
    <hyperlink ref="H588" r:id="rId1714" xr:uid="{00000000-0004-0000-0000-0000B1060000}"/>
    <hyperlink ref="I588" r:id="rId1715" xr:uid="{00000000-0004-0000-0000-0000B2060000}"/>
    <hyperlink ref="G589" r:id="rId1716" xr:uid="{00000000-0004-0000-0000-0000B3060000}"/>
    <hyperlink ref="H589" r:id="rId1717" xr:uid="{00000000-0004-0000-0000-0000B4060000}"/>
    <hyperlink ref="I589" r:id="rId1718" xr:uid="{00000000-0004-0000-0000-0000B5060000}"/>
    <hyperlink ref="G590" r:id="rId1719" xr:uid="{00000000-0004-0000-0000-0000B6060000}"/>
    <hyperlink ref="H590" r:id="rId1720" xr:uid="{00000000-0004-0000-0000-0000B7060000}"/>
    <hyperlink ref="I590" r:id="rId1721" xr:uid="{00000000-0004-0000-0000-0000B8060000}"/>
    <hyperlink ref="G591" r:id="rId1722" xr:uid="{00000000-0004-0000-0000-0000B9060000}"/>
    <hyperlink ref="H591" r:id="rId1723" xr:uid="{00000000-0004-0000-0000-0000BA060000}"/>
    <hyperlink ref="I591" r:id="rId1724" xr:uid="{00000000-0004-0000-0000-0000BB060000}"/>
    <hyperlink ref="G592" r:id="rId1725" xr:uid="{00000000-0004-0000-0000-0000BC060000}"/>
    <hyperlink ref="H592" r:id="rId1726" xr:uid="{00000000-0004-0000-0000-0000BD060000}"/>
    <hyperlink ref="I592" r:id="rId1727" xr:uid="{00000000-0004-0000-0000-0000BE060000}"/>
    <hyperlink ref="G593" r:id="rId1728" xr:uid="{00000000-0004-0000-0000-0000BF060000}"/>
    <hyperlink ref="H593" r:id="rId1729" xr:uid="{00000000-0004-0000-0000-0000C0060000}"/>
    <hyperlink ref="I593" r:id="rId1730" xr:uid="{00000000-0004-0000-0000-0000C1060000}"/>
    <hyperlink ref="G594" r:id="rId1731" xr:uid="{00000000-0004-0000-0000-0000C2060000}"/>
    <hyperlink ref="H594" r:id="rId1732" xr:uid="{00000000-0004-0000-0000-0000C3060000}"/>
    <hyperlink ref="I594" r:id="rId1733" xr:uid="{00000000-0004-0000-0000-0000C4060000}"/>
    <hyperlink ref="G595" r:id="rId1734" xr:uid="{00000000-0004-0000-0000-0000C5060000}"/>
    <hyperlink ref="H595" r:id="rId1735" xr:uid="{00000000-0004-0000-0000-0000C6060000}"/>
    <hyperlink ref="I595" r:id="rId1736" xr:uid="{00000000-0004-0000-0000-0000C7060000}"/>
    <hyperlink ref="G596" r:id="rId1737" xr:uid="{00000000-0004-0000-0000-0000C8060000}"/>
    <hyperlink ref="H596" r:id="rId1738" xr:uid="{00000000-0004-0000-0000-0000C9060000}"/>
    <hyperlink ref="I596" r:id="rId1739" xr:uid="{00000000-0004-0000-0000-0000CA060000}"/>
    <hyperlink ref="G597" r:id="rId1740" xr:uid="{00000000-0004-0000-0000-0000CB060000}"/>
    <hyperlink ref="H597" r:id="rId1741" xr:uid="{00000000-0004-0000-0000-0000CC060000}"/>
    <hyperlink ref="I597" r:id="rId1742" xr:uid="{00000000-0004-0000-0000-0000CD060000}"/>
    <hyperlink ref="G598" r:id="rId1743" xr:uid="{00000000-0004-0000-0000-0000CE060000}"/>
    <hyperlink ref="H598" r:id="rId1744" xr:uid="{00000000-0004-0000-0000-0000CF060000}"/>
    <hyperlink ref="I598" r:id="rId1745" xr:uid="{00000000-0004-0000-0000-0000D0060000}"/>
    <hyperlink ref="G599" r:id="rId1746" xr:uid="{00000000-0004-0000-0000-0000D1060000}"/>
    <hyperlink ref="H599" r:id="rId1747" xr:uid="{00000000-0004-0000-0000-0000D2060000}"/>
    <hyperlink ref="I599" r:id="rId1748" xr:uid="{00000000-0004-0000-0000-0000D3060000}"/>
    <hyperlink ref="G600" r:id="rId1749" xr:uid="{00000000-0004-0000-0000-0000D4060000}"/>
    <hyperlink ref="H600" r:id="rId1750" xr:uid="{00000000-0004-0000-0000-0000D5060000}"/>
    <hyperlink ref="I600" r:id="rId1751" xr:uid="{00000000-0004-0000-0000-0000D6060000}"/>
    <hyperlink ref="G601" r:id="rId1752" xr:uid="{00000000-0004-0000-0000-0000D7060000}"/>
    <hyperlink ref="H601" r:id="rId1753" xr:uid="{00000000-0004-0000-0000-0000D8060000}"/>
    <hyperlink ref="I601" r:id="rId1754" xr:uid="{00000000-0004-0000-0000-0000D9060000}"/>
    <hyperlink ref="G602" r:id="rId1755" xr:uid="{00000000-0004-0000-0000-0000DA060000}"/>
    <hyperlink ref="H602" r:id="rId1756" xr:uid="{00000000-0004-0000-0000-0000DB060000}"/>
    <hyperlink ref="I602" r:id="rId1757" xr:uid="{00000000-0004-0000-0000-0000DC060000}"/>
    <hyperlink ref="G603" r:id="rId1758" xr:uid="{00000000-0004-0000-0000-0000DD060000}"/>
    <hyperlink ref="H603" r:id="rId1759" xr:uid="{00000000-0004-0000-0000-0000DE060000}"/>
    <hyperlink ref="I603" r:id="rId1760" xr:uid="{00000000-0004-0000-0000-0000DF060000}"/>
    <hyperlink ref="G604" r:id="rId1761" xr:uid="{00000000-0004-0000-0000-0000E0060000}"/>
    <hyperlink ref="H604" r:id="rId1762" xr:uid="{00000000-0004-0000-0000-0000E1060000}"/>
    <hyperlink ref="I604" r:id="rId1763" xr:uid="{00000000-0004-0000-0000-0000E2060000}"/>
    <hyperlink ref="G605" r:id="rId1764" xr:uid="{00000000-0004-0000-0000-0000E3060000}"/>
    <hyperlink ref="H605" r:id="rId1765" xr:uid="{00000000-0004-0000-0000-0000E4060000}"/>
    <hyperlink ref="I605" r:id="rId1766" xr:uid="{00000000-0004-0000-0000-0000E5060000}"/>
    <hyperlink ref="G606" r:id="rId1767" xr:uid="{00000000-0004-0000-0000-0000E6060000}"/>
    <hyperlink ref="H606" r:id="rId1768" xr:uid="{00000000-0004-0000-0000-0000E7060000}"/>
    <hyperlink ref="I606" r:id="rId1769" xr:uid="{00000000-0004-0000-0000-0000E8060000}"/>
    <hyperlink ref="G607" r:id="rId1770" xr:uid="{00000000-0004-0000-0000-0000E9060000}"/>
    <hyperlink ref="H607" r:id="rId1771" xr:uid="{00000000-0004-0000-0000-0000EA060000}"/>
    <hyperlink ref="I607" r:id="rId1772" xr:uid="{00000000-0004-0000-0000-0000EB060000}"/>
    <hyperlink ref="G608" r:id="rId1773" xr:uid="{00000000-0004-0000-0000-0000EC060000}"/>
    <hyperlink ref="H608" r:id="rId1774" xr:uid="{00000000-0004-0000-0000-0000ED060000}"/>
    <hyperlink ref="I608" r:id="rId1775" xr:uid="{00000000-0004-0000-0000-0000EE060000}"/>
    <hyperlink ref="G609" r:id="rId1776" xr:uid="{00000000-0004-0000-0000-0000EF060000}"/>
    <hyperlink ref="H609" r:id="rId1777" xr:uid="{00000000-0004-0000-0000-0000F0060000}"/>
    <hyperlink ref="I609" r:id="rId1778" xr:uid="{00000000-0004-0000-0000-0000F1060000}"/>
    <hyperlink ref="G610" r:id="rId1779" xr:uid="{00000000-0004-0000-0000-0000F2060000}"/>
    <hyperlink ref="H610" r:id="rId1780" xr:uid="{00000000-0004-0000-0000-0000F3060000}"/>
    <hyperlink ref="I610" r:id="rId1781" xr:uid="{00000000-0004-0000-0000-0000F4060000}"/>
    <hyperlink ref="G611" r:id="rId1782" xr:uid="{00000000-0004-0000-0000-0000F5060000}"/>
    <hyperlink ref="H611" r:id="rId1783" xr:uid="{00000000-0004-0000-0000-0000F6060000}"/>
    <hyperlink ref="I611" r:id="rId1784" xr:uid="{00000000-0004-0000-0000-0000F7060000}"/>
    <hyperlink ref="G612" r:id="rId1785" xr:uid="{00000000-0004-0000-0000-0000F8060000}"/>
    <hyperlink ref="H612" r:id="rId1786" xr:uid="{00000000-0004-0000-0000-0000F9060000}"/>
    <hyperlink ref="I612" r:id="rId1787" xr:uid="{00000000-0004-0000-0000-0000FA060000}"/>
    <hyperlink ref="G627" r:id="rId1788" xr:uid="{00000000-0004-0000-0000-0000FB060000}"/>
    <hyperlink ref="H627" r:id="rId1789" xr:uid="{00000000-0004-0000-0000-0000FC060000}"/>
    <hyperlink ref="I627" r:id="rId1790" xr:uid="{00000000-0004-0000-0000-0000FD060000}"/>
    <hyperlink ref="G628" r:id="rId1791" xr:uid="{00000000-0004-0000-0000-0000FE060000}"/>
    <hyperlink ref="H628" r:id="rId1792" xr:uid="{00000000-0004-0000-0000-0000FF060000}"/>
    <hyperlink ref="I628" r:id="rId1793" xr:uid="{00000000-0004-0000-0000-000000070000}"/>
    <hyperlink ref="G629" r:id="rId1794" xr:uid="{00000000-0004-0000-0000-000001070000}"/>
    <hyperlink ref="H629" r:id="rId1795" xr:uid="{00000000-0004-0000-0000-000002070000}"/>
    <hyperlink ref="I629" r:id="rId1796" xr:uid="{00000000-0004-0000-0000-000003070000}"/>
    <hyperlink ref="G630" r:id="rId1797" xr:uid="{00000000-0004-0000-0000-000004070000}"/>
    <hyperlink ref="H630" r:id="rId1798" xr:uid="{00000000-0004-0000-0000-000005070000}"/>
    <hyperlink ref="I630" r:id="rId1799" xr:uid="{00000000-0004-0000-0000-000006070000}"/>
    <hyperlink ref="G631" r:id="rId1800" xr:uid="{00000000-0004-0000-0000-000007070000}"/>
    <hyperlink ref="H631" r:id="rId1801" xr:uid="{00000000-0004-0000-0000-000008070000}"/>
    <hyperlink ref="I631" r:id="rId1802" xr:uid="{00000000-0004-0000-0000-000009070000}"/>
    <hyperlink ref="G632" r:id="rId1803" xr:uid="{00000000-0004-0000-0000-00000A070000}"/>
    <hyperlink ref="H632" r:id="rId1804" xr:uid="{00000000-0004-0000-0000-00000B070000}"/>
    <hyperlink ref="I632" r:id="rId1805" xr:uid="{00000000-0004-0000-0000-00000C070000}"/>
    <hyperlink ref="G633" r:id="rId1806" xr:uid="{00000000-0004-0000-0000-00000D070000}"/>
    <hyperlink ref="H633" r:id="rId1807" xr:uid="{00000000-0004-0000-0000-00000E070000}"/>
    <hyperlink ref="I633" r:id="rId1808" xr:uid="{00000000-0004-0000-0000-00000F070000}"/>
    <hyperlink ref="G634" r:id="rId1809" xr:uid="{00000000-0004-0000-0000-000010070000}"/>
    <hyperlink ref="H634" r:id="rId1810" xr:uid="{00000000-0004-0000-0000-000011070000}"/>
    <hyperlink ref="I634" r:id="rId1811" xr:uid="{00000000-0004-0000-0000-000012070000}"/>
    <hyperlink ref="G635" r:id="rId1812" xr:uid="{00000000-0004-0000-0000-000013070000}"/>
    <hyperlink ref="H635" r:id="rId1813" xr:uid="{00000000-0004-0000-0000-000014070000}"/>
    <hyperlink ref="I635" r:id="rId1814" xr:uid="{00000000-0004-0000-0000-000015070000}"/>
    <hyperlink ref="G636" r:id="rId1815" xr:uid="{00000000-0004-0000-0000-000016070000}"/>
    <hyperlink ref="H636" r:id="rId1816" xr:uid="{00000000-0004-0000-0000-000017070000}"/>
    <hyperlink ref="I636" r:id="rId1817" xr:uid="{00000000-0004-0000-0000-000018070000}"/>
    <hyperlink ref="G637" r:id="rId1818" xr:uid="{00000000-0004-0000-0000-000019070000}"/>
    <hyperlink ref="H637" r:id="rId1819" xr:uid="{00000000-0004-0000-0000-00001A070000}"/>
    <hyperlink ref="I637" r:id="rId1820" xr:uid="{00000000-0004-0000-0000-00001B070000}"/>
    <hyperlink ref="G638" r:id="rId1821" xr:uid="{00000000-0004-0000-0000-00001C070000}"/>
    <hyperlink ref="H638" r:id="rId1822" xr:uid="{00000000-0004-0000-0000-00001D070000}"/>
    <hyperlink ref="I638" r:id="rId1823" xr:uid="{00000000-0004-0000-0000-00001E070000}"/>
    <hyperlink ref="G639" r:id="rId1824" xr:uid="{00000000-0004-0000-0000-00001F070000}"/>
    <hyperlink ref="H639" r:id="rId1825" xr:uid="{00000000-0004-0000-0000-000020070000}"/>
    <hyperlink ref="I639" r:id="rId1826" xr:uid="{00000000-0004-0000-0000-000021070000}"/>
    <hyperlink ref="G640" r:id="rId1827" xr:uid="{00000000-0004-0000-0000-000022070000}"/>
    <hyperlink ref="H640" r:id="rId1828" xr:uid="{00000000-0004-0000-0000-000023070000}"/>
    <hyperlink ref="I640" r:id="rId1829" xr:uid="{00000000-0004-0000-0000-000024070000}"/>
    <hyperlink ref="G613" r:id="rId1830" xr:uid="{00000000-0004-0000-0000-000025070000}"/>
    <hyperlink ref="H613" r:id="rId1831" xr:uid="{00000000-0004-0000-0000-000026070000}"/>
    <hyperlink ref="I613" r:id="rId1832" xr:uid="{00000000-0004-0000-0000-000027070000}"/>
    <hyperlink ref="G614" r:id="rId1833" xr:uid="{00000000-0004-0000-0000-000028070000}"/>
    <hyperlink ref="H614" r:id="rId1834" xr:uid="{00000000-0004-0000-0000-000029070000}"/>
    <hyperlink ref="I614" r:id="rId1835" xr:uid="{00000000-0004-0000-0000-00002A070000}"/>
    <hyperlink ref="G615" r:id="rId1836" xr:uid="{00000000-0004-0000-0000-00002B070000}"/>
    <hyperlink ref="H615" r:id="rId1837" xr:uid="{00000000-0004-0000-0000-00002C070000}"/>
    <hyperlink ref="I615" r:id="rId1838" xr:uid="{00000000-0004-0000-0000-00002D070000}"/>
    <hyperlink ref="G616" r:id="rId1839" xr:uid="{00000000-0004-0000-0000-00002E070000}"/>
    <hyperlink ref="H616" r:id="rId1840" xr:uid="{00000000-0004-0000-0000-00002F070000}"/>
    <hyperlink ref="I616" r:id="rId1841" xr:uid="{00000000-0004-0000-0000-000030070000}"/>
    <hyperlink ref="G617" r:id="rId1842" xr:uid="{00000000-0004-0000-0000-000031070000}"/>
    <hyperlink ref="H617" r:id="rId1843" xr:uid="{00000000-0004-0000-0000-000032070000}"/>
    <hyperlink ref="I617" r:id="rId1844" xr:uid="{00000000-0004-0000-0000-000033070000}"/>
    <hyperlink ref="G618" r:id="rId1845" xr:uid="{00000000-0004-0000-0000-000034070000}"/>
    <hyperlink ref="H618" r:id="rId1846" xr:uid="{00000000-0004-0000-0000-000035070000}"/>
    <hyperlink ref="I618" r:id="rId1847" xr:uid="{00000000-0004-0000-0000-000036070000}"/>
    <hyperlink ref="G619" r:id="rId1848" xr:uid="{00000000-0004-0000-0000-000037070000}"/>
    <hyperlink ref="H619" r:id="rId1849" xr:uid="{00000000-0004-0000-0000-000038070000}"/>
    <hyperlink ref="I619" r:id="rId1850" xr:uid="{00000000-0004-0000-0000-000039070000}"/>
    <hyperlink ref="G620" r:id="rId1851" xr:uid="{00000000-0004-0000-0000-00003A070000}"/>
    <hyperlink ref="H620" r:id="rId1852" xr:uid="{00000000-0004-0000-0000-00003B070000}"/>
    <hyperlink ref="I620" r:id="rId1853" xr:uid="{00000000-0004-0000-0000-00003C070000}"/>
    <hyperlink ref="G621" r:id="rId1854" xr:uid="{00000000-0004-0000-0000-00003D070000}"/>
    <hyperlink ref="H621" r:id="rId1855" xr:uid="{00000000-0004-0000-0000-00003E070000}"/>
    <hyperlink ref="I621" r:id="rId1856" xr:uid="{00000000-0004-0000-0000-00003F070000}"/>
    <hyperlink ref="G622" r:id="rId1857" xr:uid="{00000000-0004-0000-0000-000040070000}"/>
    <hyperlink ref="H622" r:id="rId1858" xr:uid="{00000000-0004-0000-0000-000041070000}"/>
    <hyperlink ref="I622" r:id="rId1859" xr:uid="{00000000-0004-0000-0000-000042070000}"/>
    <hyperlink ref="G623" r:id="rId1860" xr:uid="{00000000-0004-0000-0000-000043070000}"/>
    <hyperlink ref="H623" r:id="rId1861" xr:uid="{00000000-0004-0000-0000-000044070000}"/>
    <hyperlink ref="I623" r:id="rId1862" xr:uid="{00000000-0004-0000-0000-000045070000}"/>
    <hyperlink ref="G624" r:id="rId1863" xr:uid="{00000000-0004-0000-0000-000046070000}"/>
    <hyperlink ref="H624" r:id="rId1864" xr:uid="{00000000-0004-0000-0000-000047070000}"/>
    <hyperlink ref="I624" r:id="rId1865" xr:uid="{00000000-0004-0000-0000-000048070000}"/>
    <hyperlink ref="G625" r:id="rId1866" xr:uid="{00000000-0004-0000-0000-000049070000}"/>
    <hyperlink ref="H625" r:id="rId1867" xr:uid="{00000000-0004-0000-0000-00004A070000}"/>
    <hyperlink ref="I625" r:id="rId1868" xr:uid="{00000000-0004-0000-0000-00004B070000}"/>
    <hyperlink ref="G626" r:id="rId1869" xr:uid="{00000000-0004-0000-0000-00004C070000}"/>
    <hyperlink ref="H626" r:id="rId1870" xr:uid="{00000000-0004-0000-0000-00004D070000}"/>
    <hyperlink ref="I626" r:id="rId1871" xr:uid="{00000000-0004-0000-0000-00004E070000}"/>
    <hyperlink ref="G165" r:id="rId1872" xr:uid="{00000000-0004-0000-0000-00004F070000}"/>
    <hyperlink ref="H165" r:id="rId1873" xr:uid="{00000000-0004-0000-0000-000050070000}"/>
    <hyperlink ref="I165" r:id="rId1874" xr:uid="{00000000-0004-0000-0000-000051070000}"/>
    <hyperlink ref="G166" r:id="rId1875" xr:uid="{00000000-0004-0000-0000-000052070000}"/>
    <hyperlink ref="H166" r:id="rId1876" xr:uid="{00000000-0004-0000-0000-000053070000}"/>
    <hyperlink ref="I166" r:id="rId1877" xr:uid="{00000000-0004-0000-0000-000054070000}"/>
    <hyperlink ref="G167" r:id="rId1878" xr:uid="{00000000-0004-0000-0000-000055070000}"/>
    <hyperlink ref="H167" r:id="rId1879" xr:uid="{00000000-0004-0000-0000-000056070000}"/>
    <hyperlink ref="I167" r:id="rId1880" xr:uid="{00000000-0004-0000-0000-000057070000}"/>
    <hyperlink ref="G168" r:id="rId1881" xr:uid="{00000000-0004-0000-0000-000058070000}"/>
    <hyperlink ref="H168" r:id="rId1882" xr:uid="{00000000-0004-0000-0000-000059070000}"/>
    <hyperlink ref="I168" r:id="rId1883" xr:uid="{00000000-0004-0000-0000-00005A070000}"/>
    <hyperlink ref="G169" r:id="rId1884" xr:uid="{00000000-0004-0000-0000-00005B070000}"/>
    <hyperlink ref="H169" r:id="rId1885" xr:uid="{00000000-0004-0000-0000-00005C070000}"/>
    <hyperlink ref="I169" r:id="rId1886" xr:uid="{00000000-0004-0000-0000-00005D070000}"/>
    <hyperlink ref="G170" r:id="rId1887" xr:uid="{00000000-0004-0000-0000-00005E070000}"/>
    <hyperlink ref="H170" r:id="rId1888" xr:uid="{00000000-0004-0000-0000-00005F070000}"/>
    <hyperlink ref="I170" r:id="rId1889" xr:uid="{00000000-0004-0000-0000-000060070000}"/>
    <hyperlink ref="G171" r:id="rId1890" xr:uid="{00000000-0004-0000-0000-000061070000}"/>
    <hyperlink ref="H171" r:id="rId1891" xr:uid="{00000000-0004-0000-0000-000062070000}"/>
    <hyperlink ref="I171" r:id="rId1892" xr:uid="{00000000-0004-0000-0000-000063070000}"/>
    <hyperlink ref="G172" r:id="rId1893" xr:uid="{00000000-0004-0000-0000-000064070000}"/>
    <hyperlink ref="H172" r:id="rId1894" xr:uid="{00000000-0004-0000-0000-000065070000}"/>
    <hyperlink ref="I172" r:id="rId1895" xr:uid="{00000000-0004-0000-0000-000066070000}"/>
    <hyperlink ref="G205" r:id="rId1896" xr:uid="{00000000-0004-0000-0000-000067070000}"/>
    <hyperlink ref="H205" r:id="rId1897" xr:uid="{00000000-0004-0000-0000-000068070000}"/>
    <hyperlink ref="I205" r:id="rId1898" xr:uid="{00000000-0004-0000-0000-000069070000}"/>
    <hyperlink ref="G206" r:id="rId1899" xr:uid="{00000000-0004-0000-0000-00006A070000}"/>
    <hyperlink ref="H206" r:id="rId1900" xr:uid="{00000000-0004-0000-0000-00006B070000}"/>
    <hyperlink ref="I206" r:id="rId1901" xr:uid="{00000000-0004-0000-0000-00006C070000}"/>
    <hyperlink ref="G207" r:id="rId1902" xr:uid="{00000000-0004-0000-0000-00006D070000}"/>
    <hyperlink ref="H207" r:id="rId1903" xr:uid="{00000000-0004-0000-0000-00006E070000}"/>
    <hyperlink ref="I207" r:id="rId1904" xr:uid="{00000000-0004-0000-0000-00006F070000}"/>
    <hyperlink ref="G208" r:id="rId1905" xr:uid="{00000000-0004-0000-0000-000070070000}"/>
    <hyperlink ref="H208" r:id="rId1906" xr:uid="{00000000-0004-0000-0000-000071070000}"/>
    <hyperlink ref="I208" r:id="rId1907" xr:uid="{00000000-0004-0000-0000-000072070000}"/>
    <hyperlink ref="G209" r:id="rId1908" xr:uid="{00000000-0004-0000-0000-000073070000}"/>
    <hyperlink ref="H209" r:id="rId1909" xr:uid="{00000000-0004-0000-0000-000074070000}"/>
    <hyperlink ref="I209" r:id="rId1910" xr:uid="{00000000-0004-0000-0000-000075070000}"/>
    <hyperlink ref="G210" r:id="rId1911" xr:uid="{00000000-0004-0000-0000-000076070000}"/>
    <hyperlink ref="H210" r:id="rId1912" xr:uid="{00000000-0004-0000-0000-000077070000}"/>
    <hyperlink ref="I210" r:id="rId1913" xr:uid="{00000000-0004-0000-0000-000078070000}"/>
    <hyperlink ref="G211" r:id="rId1914" xr:uid="{00000000-0004-0000-0000-000079070000}"/>
    <hyperlink ref="H211" r:id="rId1915" xr:uid="{00000000-0004-0000-0000-00007A070000}"/>
    <hyperlink ref="I211" r:id="rId1916" xr:uid="{00000000-0004-0000-0000-00007B070000}"/>
    <hyperlink ref="G212" r:id="rId1917" xr:uid="{00000000-0004-0000-0000-00007C070000}"/>
    <hyperlink ref="H212" r:id="rId1918" xr:uid="{00000000-0004-0000-0000-00007D070000}"/>
    <hyperlink ref="I212" r:id="rId1919" xr:uid="{00000000-0004-0000-0000-00007E070000}"/>
    <hyperlink ref="G472" r:id="rId1920" xr:uid="{00000000-0004-0000-0000-00007F070000}"/>
    <hyperlink ref="H472" r:id="rId1921" xr:uid="{00000000-0004-0000-0000-000080070000}"/>
    <hyperlink ref="I472" r:id="rId1922" xr:uid="{00000000-0004-0000-0000-000081070000}"/>
    <hyperlink ref="G473" r:id="rId1923" xr:uid="{00000000-0004-0000-0000-000082070000}"/>
    <hyperlink ref="H473" r:id="rId1924" xr:uid="{00000000-0004-0000-0000-000083070000}"/>
    <hyperlink ref="I473" r:id="rId1925" xr:uid="{00000000-0004-0000-0000-000084070000}"/>
    <hyperlink ref="G474" r:id="rId1926" xr:uid="{00000000-0004-0000-0000-000085070000}"/>
    <hyperlink ref="H474" r:id="rId1927" xr:uid="{00000000-0004-0000-0000-000086070000}"/>
    <hyperlink ref="I474" r:id="rId1928" xr:uid="{00000000-0004-0000-0000-000087070000}"/>
    <hyperlink ref="G475" r:id="rId1929" xr:uid="{00000000-0004-0000-0000-000088070000}"/>
    <hyperlink ref="H475" r:id="rId1930" xr:uid="{00000000-0004-0000-0000-000089070000}"/>
    <hyperlink ref="I475" r:id="rId1931" xr:uid="{00000000-0004-0000-0000-00008A070000}"/>
    <hyperlink ref="G476" r:id="rId1932" xr:uid="{00000000-0004-0000-0000-00008B070000}"/>
    <hyperlink ref="H476" r:id="rId1933" xr:uid="{00000000-0004-0000-0000-00008C070000}"/>
    <hyperlink ref="I476" r:id="rId1934" xr:uid="{00000000-0004-0000-0000-00008D070000}"/>
    <hyperlink ref="G477" r:id="rId1935" xr:uid="{00000000-0004-0000-0000-00008E070000}"/>
    <hyperlink ref="H477" r:id="rId1936" xr:uid="{00000000-0004-0000-0000-00008F070000}"/>
    <hyperlink ref="I477" r:id="rId1937" xr:uid="{00000000-0004-0000-0000-000090070000}"/>
    <hyperlink ref="G478" r:id="rId1938" xr:uid="{00000000-0004-0000-0000-000091070000}"/>
    <hyperlink ref="H478" r:id="rId1939" xr:uid="{00000000-0004-0000-0000-000092070000}"/>
    <hyperlink ref="I478" r:id="rId1940" xr:uid="{00000000-0004-0000-0000-000093070000}"/>
    <hyperlink ref="G404" r:id="rId1941" xr:uid="{B2F88875-BA8C-42BD-BEB9-99E3D2252887}"/>
    <hyperlink ref="G405" r:id="rId1942" xr:uid="{C64F2B07-A0DF-41FC-97D7-887394BFA40F}"/>
    <hyperlink ref="G406" r:id="rId1943" xr:uid="{E0213834-404A-43BD-800B-88A0C8A0DCC8}"/>
    <hyperlink ref="G407" r:id="rId1944" xr:uid="{39502F40-7A0C-4D70-8D72-185C9E2EA52C}"/>
    <hyperlink ref="G408" r:id="rId1945" xr:uid="{D683A64B-2032-4919-886E-D7A2ABDD1BC0}"/>
    <hyperlink ref="G409" r:id="rId1946" xr:uid="{BB56A60A-4557-4C4E-86A5-5E18D238BE69}"/>
    <hyperlink ref="G398" r:id="rId1947" xr:uid="{9751E088-EC8B-4A3C-8564-A20DF5872434}"/>
    <hyperlink ref="G399" r:id="rId1948" xr:uid="{1CE4904C-471B-45AF-A40A-CD89AAEA625F}"/>
    <hyperlink ref="G400" r:id="rId1949" xr:uid="{82AD859D-FF95-42BA-A6D5-B8A930AA49E3}"/>
    <hyperlink ref="G401" r:id="rId1950" xr:uid="{ECE22BBC-7F35-4377-B147-24E7BA77DA62}"/>
    <hyperlink ref="G402" r:id="rId1951" xr:uid="{5ED297D4-A84E-48A3-A8E7-66FD0EB5BFDC}"/>
    <hyperlink ref="G403" r:id="rId1952" xr:uid="{93A3BA76-D510-4268-AB1D-86590786DF41}"/>
    <hyperlink ref="H404" r:id="rId1953" xr:uid="{35A981B2-BEC4-4D6D-BFE5-6AB866F5902B}"/>
    <hyperlink ref="H405" r:id="rId1954" xr:uid="{4422520C-90ED-4CBA-A95A-655A8A45536E}"/>
    <hyperlink ref="H406" r:id="rId1955" xr:uid="{F5D92507-FDC4-457B-8302-98A5F539A535}"/>
    <hyperlink ref="H407" r:id="rId1956" xr:uid="{1FE56A6F-F13D-43D6-959F-C7F2457F668C}"/>
    <hyperlink ref="H408" r:id="rId1957" xr:uid="{028FD7BF-FD24-4C92-99F0-3CEC1E6AB155}"/>
    <hyperlink ref="H409" r:id="rId1958" xr:uid="{3462FA56-7B80-4AD8-A21F-7274218E4BCF}"/>
    <hyperlink ref="H398" r:id="rId1959" xr:uid="{784129EF-A949-4B5C-88A7-9D26EB2BAFBE}"/>
    <hyperlink ref="H399" r:id="rId1960" xr:uid="{18B709A3-8A2F-4457-9657-833CFFADA2C5}"/>
    <hyperlink ref="H400" r:id="rId1961" xr:uid="{E2FEF5BC-4EBF-4D02-A0F8-8070461ADBC5}"/>
    <hyperlink ref="H401" r:id="rId1962" xr:uid="{9D9A7185-339F-4799-89EF-6A98A1DE49A3}"/>
    <hyperlink ref="H402" r:id="rId1963" xr:uid="{01243975-8097-4911-BD7C-C611AED86DCD}"/>
    <hyperlink ref="H403" r:id="rId1964" xr:uid="{3DCF6079-7322-4DFD-ABDC-D0AFE66B20C8}"/>
    <hyperlink ref="I404" r:id="rId1965" xr:uid="{C8EBBB40-A753-4CBE-9422-66BCF1B22D2C}"/>
    <hyperlink ref="I405" r:id="rId1966" xr:uid="{63387D9C-B1C2-4BEA-92E3-AE3522DE201C}"/>
    <hyperlink ref="I406" r:id="rId1967" xr:uid="{A02D2574-EB06-467A-A24B-E8BE03EAF571}"/>
    <hyperlink ref="I407" r:id="rId1968" xr:uid="{CD127BF6-1D41-477F-BDF4-38AC8827801A}"/>
    <hyperlink ref="I408" r:id="rId1969" xr:uid="{CF062584-7A6D-4CF8-BF1B-C6EA6480C22A}"/>
    <hyperlink ref="I409" r:id="rId1970" xr:uid="{42D1BD9F-A702-42C5-A425-996D08C5E585}"/>
    <hyperlink ref="I398" r:id="rId1971" xr:uid="{8744DE5C-4616-44E5-9C63-00AA085CDA47}"/>
    <hyperlink ref="I399" r:id="rId1972" xr:uid="{8CBD642C-8B78-4152-9EBF-F5A38C43FCEC}"/>
    <hyperlink ref="I400" r:id="rId1973" xr:uid="{6928F51D-5126-462B-9F12-CC41E763C2B6}"/>
    <hyperlink ref="I401" r:id="rId1974" xr:uid="{B2F755DE-4A4B-4921-A2A9-18104F4E3DD8}"/>
    <hyperlink ref="I402" r:id="rId1975" xr:uid="{717B536E-5949-47BA-9989-36E1968F0579}"/>
    <hyperlink ref="I403" r:id="rId1976" xr:uid="{9C985889-7C53-41A9-BE3D-EC6838448F86}"/>
  </hyperlinks>
  <pageMargins left="0.7" right="0.7" top="0.75" bottom="0.75" header="0" footer="0"/>
  <pageSetup orientation="landscape" r:id="rId1977"/>
  <legacyDrawing r:id="rId197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987"/>
  <sheetViews>
    <sheetView workbookViewId="0">
      <pane ySplit="1" topLeftCell="A2" activePane="bottomLeft" state="frozen"/>
      <selection activeCell="O1" sqref="O1"/>
      <selection pane="bottomLeft" activeCell="A28" sqref="A28"/>
    </sheetView>
  </sheetViews>
  <sheetFormatPr baseColWidth="10" defaultColWidth="14.44140625" defaultRowHeight="15" customHeight="1" x14ac:dyDescent="0.3"/>
  <cols>
    <col min="1" max="1" width="35.109375" bestFit="1" customWidth="1"/>
    <col min="2" max="2" width="13.88671875" bestFit="1" customWidth="1"/>
    <col min="3" max="3" width="10.6640625" customWidth="1"/>
    <col min="4" max="4" width="15.77734375" bestFit="1" customWidth="1"/>
    <col min="5" max="5" width="27.5546875" customWidth="1"/>
    <col min="6" max="6" width="22.33203125" bestFit="1" customWidth="1"/>
    <col min="7" max="9" width="10.6640625" customWidth="1"/>
    <col min="10" max="10" width="17.44140625" customWidth="1"/>
    <col min="11" max="11" width="10.6640625" customWidth="1"/>
    <col min="12" max="12" width="15.21875" bestFit="1" customWidth="1"/>
    <col min="13" max="13" width="11.44140625" customWidth="1"/>
    <col min="14" max="14" width="26" customWidth="1"/>
    <col min="15" max="15" width="12.6640625" style="74" customWidth="1"/>
    <col min="16" max="16" width="14.33203125" bestFit="1" customWidth="1"/>
    <col min="17" max="17" width="11.5546875" bestFit="1" customWidth="1"/>
    <col min="18" max="18" width="20.33203125" bestFit="1" customWidth="1"/>
    <col min="19" max="19" width="26.21875" bestFit="1" customWidth="1"/>
    <col min="20" max="20" width="16.5546875" bestFit="1" customWidth="1"/>
    <col min="21" max="21" width="18.88671875" customWidth="1"/>
    <col min="22" max="25" width="11.44140625" customWidth="1"/>
    <col min="26" max="26" width="27.33203125" bestFit="1" customWidth="1"/>
    <col min="27" max="27" width="37.109375" bestFit="1" customWidth="1"/>
    <col min="28" max="28" width="11.44140625" customWidth="1"/>
    <col min="29" max="29" width="12.109375" bestFit="1" customWidth="1"/>
    <col min="30" max="30" width="13.44140625" bestFit="1" customWidth="1"/>
    <col min="31" max="31" width="14.109375" bestFit="1" customWidth="1"/>
    <col min="32" max="32" width="16.5546875" bestFit="1" customWidth="1"/>
    <col min="33" max="33" width="14.33203125" bestFit="1" customWidth="1"/>
    <col min="34" max="34" width="16" bestFit="1" customWidth="1"/>
    <col min="35" max="35" width="18.109375" bestFit="1" customWidth="1"/>
    <col min="36" max="36" width="19.21875" bestFit="1" customWidth="1"/>
    <col min="37" max="37" width="10.6640625" customWidth="1"/>
    <col min="38" max="38" width="20" bestFit="1" customWidth="1"/>
    <col min="39" max="39" width="19.21875" customWidth="1"/>
    <col min="40" max="40" width="14.44140625" style="74"/>
  </cols>
  <sheetData>
    <row r="1" spans="1:40" ht="14.25" customHeight="1" x14ac:dyDescent="0.3">
      <c r="A1" s="1" t="s">
        <v>0</v>
      </c>
      <c r="B1" s="1" t="s">
        <v>1</v>
      </c>
      <c r="C1" s="1" t="s">
        <v>2</v>
      </c>
      <c r="D1" s="1" t="s">
        <v>3</v>
      </c>
      <c r="E1" s="1" t="s">
        <v>4</v>
      </c>
      <c r="F1" s="1" t="s">
        <v>5</v>
      </c>
      <c r="G1" s="1" t="s">
        <v>6</v>
      </c>
      <c r="H1" s="1" t="s">
        <v>7</v>
      </c>
      <c r="I1" s="1" t="s">
        <v>8</v>
      </c>
      <c r="J1" s="1" t="s">
        <v>9</v>
      </c>
      <c r="K1" s="1" t="s">
        <v>10</v>
      </c>
      <c r="L1" s="1" t="s">
        <v>5646</v>
      </c>
      <c r="M1" s="1" t="s">
        <v>12</v>
      </c>
      <c r="N1" s="1" t="s">
        <v>13</v>
      </c>
      <c r="O1" s="66" t="s">
        <v>5623</v>
      </c>
      <c r="P1" s="1" t="s">
        <v>14</v>
      </c>
      <c r="Q1" s="1" t="s">
        <v>11</v>
      </c>
      <c r="R1" s="1" t="s">
        <v>15</v>
      </c>
      <c r="S1" s="1" t="s">
        <v>16</v>
      </c>
      <c r="T1" s="1" t="s">
        <v>17</v>
      </c>
      <c r="U1" s="1" t="s">
        <v>18</v>
      </c>
      <c r="V1" s="2" t="s">
        <v>19</v>
      </c>
      <c r="W1" s="2" t="s">
        <v>20</v>
      </c>
      <c r="X1" s="2" t="s">
        <v>21</v>
      </c>
      <c r="Y1" s="2" t="s">
        <v>22</v>
      </c>
      <c r="Z1" s="1" t="s">
        <v>23</v>
      </c>
      <c r="AA1" s="1" t="s">
        <v>24</v>
      </c>
      <c r="AB1" s="1" t="s">
        <v>25</v>
      </c>
      <c r="AC1" s="1" t="s">
        <v>26</v>
      </c>
      <c r="AD1" s="1" t="s">
        <v>27</v>
      </c>
      <c r="AE1" s="1" t="s">
        <v>28</v>
      </c>
      <c r="AF1" s="1" t="s">
        <v>29</v>
      </c>
      <c r="AG1" s="1" t="s">
        <v>30</v>
      </c>
      <c r="AH1" s="1" t="s">
        <v>31</v>
      </c>
      <c r="AI1" s="1" t="s">
        <v>32</v>
      </c>
      <c r="AJ1" s="1" t="s">
        <v>33</v>
      </c>
      <c r="AK1" s="1" t="s">
        <v>34</v>
      </c>
      <c r="AL1" s="1" t="s">
        <v>35</v>
      </c>
      <c r="AM1" s="51" t="s">
        <v>5517</v>
      </c>
      <c r="AN1" s="81" t="s">
        <v>5625</v>
      </c>
    </row>
    <row r="2" spans="1:40" ht="14.25" customHeight="1" x14ac:dyDescent="0.3">
      <c r="A2" s="37" t="s">
        <v>4855</v>
      </c>
      <c r="B2" s="37" t="s">
        <v>4738</v>
      </c>
      <c r="C2" s="37" t="s">
        <v>4856</v>
      </c>
      <c r="D2" s="37" t="s">
        <v>4808</v>
      </c>
      <c r="E2" s="39" t="s">
        <v>4854</v>
      </c>
      <c r="F2" s="37" t="s">
        <v>1725</v>
      </c>
      <c r="G2" s="44" t="s">
        <v>42</v>
      </c>
      <c r="H2" s="44" t="s">
        <v>43</v>
      </c>
      <c r="I2" s="44" t="s">
        <v>44</v>
      </c>
      <c r="J2" s="37" t="s">
        <v>4400</v>
      </c>
      <c r="K2" s="37" t="s">
        <v>46</v>
      </c>
      <c r="L2" s="37" t="s">
        <v>67</v>
      </c>
      <c r="M2" s="37" t="s">
        <v>48</v>
      </c>
      <c r="N2" s="98" t="s">
        <v>4878</v>
      </c>
      <c r="O2" s="102" t="s">
        <v>61</v>
      </c>
      <c r="P2" s="37" t="s">
        <v>4402</v>
      </c>
      <c r="Q2" s="37" t="s">
        <v>68</v>
      </c>
      <c r="R2" s="104" t="s">
        <v>4415</v>
      </c>
      <c r="S2" s="37" t="s">
        <v>52</v>
      </c>
      <c r="T2" s="37" t="s">
        <v>4531</v>
      </c>
      <c r="U2" s="37" t="s">
        <v>4532</v>
      </c>
      <c r="V2" s="45"/>
      <c r="W2" s="45"/>
      <c r="X2" s="45"/>
      <c r="Y2" s="45"/>
      <c r="Z2" s="37" t="s">
        <v>1728</v>
      </c>
      <c r="AA2" s="37" t="s">
        <v>88</v>
      </c>
      <c r="AB2" s="37" t="s">
        <v>57</v>
      </c>
      <c r="AC2" s="37"/>
      <c r="AD2" s="37">
        <v>16</v>
      </c>
      <c r="AE2" s="37">
        <v>16</v>
      </c>
      <c r="AF2" s="37"/>
      <c r="AG2" s="47" t="s">
        <v>4417</v>
      </c>
      <c r="AH2" s="47" t="s">
        <v>4419</v>
      </c>
      <c r="AI2" s="37"/>
      <c r="AJ2" s="37"/>
      <c r="AK2" s="37" t="s">
        <v>58</v>
      </c>
      <c r="AL2" s="37">
        <v>49.9</v>
      </c>
      <c r="AM2" t="s">
        <v>5520</v>
      </c>
      <c r="AN2" s="74" t="s">
        <v>5636</v>
      </c>
    </row>
    <row r="3" spans="1:40" ht="14.25" customHeight="1" x14ac:dyDescent="0.3">
      <c r="A3" s="37" t="s">
        <v>4855</v>
      </c>
      <c r="B3" s="37" t="s">
        <v>4739</v>
      </c>
      <c r="C3" s="37" t="s">
        <v>4856</v>
      </c>
      <c r="D3" s="37" t="s">
        <v>4809</v>
      </c>
      <c r="E3" s="39" t="s">
        <v>4854</v>
      </c>
      <c r="F3" s="37" t="s">
        <v>1725</v>
      </c>
      <c r="G3" s="44" t="s">
        <v>42</v>
      </c>
      <c r="H3" s="44" t="s">
        <v>43</v>
      </c>
      <c r="I3" s="44" t="s">
        <v>44</v>
      </c>
      <c r="J3" s="37" t="s">
        <v>4400</v>
      </c>
      <c r="K3" s="37" t="s">
        <v>46</v>
      </c>
      <c r="L3" s="37" t="s">
        <v>67</v>
      </c>
      <c r="M3" s="37" t="s">
        <v>48</v>
      </c>
      <c r="N3" s="98" t="s">
        <v>4879</v>
      </c>
      <c r="O3" s="102" t="s">
        <v>61</v>
      </c>
      <c r="P3" s="37" t="s">
        <v>4402</v>
      </c>
      <c r="Q3" s="37" t="s">
        <v>68</v>
      </c>
      <c r="R3" s="104" t="s">
        <v>4415</v>
      </c>
      <c r="S3" s="37" t="s">
        <v>52</v>
      </c>
      <c r="T3" s="37" t="s">
        <v>4531</v>
      </c>
      <c r="U3" s="37" t="s">
        <v>4532</v>
      </c>
      <c r="V3" s="45"/>
      <c r="W3" s="45"/>
      <c r="X3" s="45"/>
      <c r="Y3" s="45"/>
      <c r="Z3" s="37" t="s">
        <v>1728</v>
      </c>
      <c r="AA3" s="37" t="s">
        <v>88</v>
      </c>
      <c r="AB3" s="37" t="s">
        <v>57</v>
      </c>
      <c r="AC3" s="37"/>
      <c r="AD3" s="37">
        <v>15.574999999999999</v>
      </c>
      <c r="AE3" s="37">
        <v>15.574999999999999</v>
      </c>
      <c r="AF3" s="37"/>
      <c r="AG3" s="47" t="s">
        <v>4417</v>
      </c>
      <c r="AH3" s="47" t="s">
        <v>4419</v>
      </c>
      <c r="AI3" s="37"/>
      <c r="AJ3" s="37"/>
      <c r="AK3" s="37" t="s">
        <v>58</v>
      </c>
      <c r="AL3" s="37">
        <v>49.9</v>
      </c>
      <c r="AM3" t="s">
        <v>5520</v>
      </c>
      <c r="AN3" s="74" t="s">
        <v>5636</v>
      </c>
    </row>
    <row r="4" spans="1:40" ht="14.25" customHeight="1" x14ac:dyDescent="0.3">
      <c r="A4" s="37" t="s">
        <v>4855</v>
      </c>
      <c r="B4" s="37" t="s">
        <v>4740</v>
      </c>
      <c r="C4" s="37" t="s">
        <v>4856</v>
      </c>
      <c r="D4" s="37" t="s">
        <v>4810</v>
      </c>
      <c r="E4" s="39" t="s">
        <v>4854</v>
      </c>
      <c r="F4" s="37" t="s">
        <v>1725</v>
      </c>
      <c r="G4" s="44" t="s">
        <v>42</v>
      </c>
      <c r="H4" s="44" t="s">
        <v>43</v>
      </c>
      <c r="I4" s="44" t="s">
        <v>44</v>
      </c>
      <c r="J4" s="37" t="s">
        <v>4400</v>
      </c>
      <c r="K4" s="37" t="s">
        <v>46</v>
      </c>
      <c r="L4" s="37" t="s">
        <v>67</v>
      </c>
      <c r="M4" s="37" t="s">
        <v>48</v>
      </c>
      <c r="N4" s="98" t="s">
        <v>4880</v>
      </c>
      <c r="O4" s="102" t="s">
        <v>61</v>
      </c>
      <c r="P4" s="37" t="s">
        <v>4402</v>
      </c>
      <c r="Q4" s="37" t="s">
        <v>68</v>
      </c>
      <c r="R4" s="104" t="s">
        <v>4415</v>
      </c>
      <c r="S4" s="37" t="s">
        <v>52</v>
      </c>
      <c r="T4" s="37" t="s">
        <v>4531</v>
      </c>
      <c r="U4" s="37" t="s">
        <v>4532</v>
      </c>
      <c r="V4" s="45"/>
      <c r="W4" s="45"/>
      <c r="X4" s="45"/>
      <c r="Y4" s="45"/>
      <c r="Z4" s="37" t="s">
        <v>1728</v>
      </c>
      <c r="AA4" s="37" t="s">
        <v>88</v>
      </c>
      <c r="AB4" s="37" t="s">
        <v>57</v>
      </c>
      <c r="AC4" s="37"/>
      <c r="AD4" s="37">
        <v>15.8</v>
      </c>
      <c r="AE4" s="37">
        <v>15.8</v>
      </c>
      <c r="AF4" s="37"/>
      <c r="AG4" s="47" t="s">
        <v>4417</v>
      </c>
      <c r="AH4" s="47" t="s">
        <v>4419</v>
      </c>
      <c r="AI4" s="37"/>
      <c r="AJ4" s="37"/>
      <c r="AK4" s="37" t="s">
        <v>58</v>
      </c>
      <c r="AL4" s="37">
        <v>49.9</v>
      </c>
      <c r="AM4" t="s">
        <v>5520</v>
      </c>
      <c r="AN4" s="74" t="s">
        <v>5636</v>
      </c>
    </row>
    <row r="5" spans="1:40" ht="14.25" customHeight="1" x14ac:dyDescent="0.3">
      <c r="A5" s="37" t="s">
        <v>4855</v>
      </c>
      <c r="B5" s="37" t="s">
        <v>4741</v>
      </c>
      <c r="C5" s="37" t="s">
        <v>4856</v>
      </c>
      <c r="D5" s="37" t="s">
        <v>4811</v>
      </c>
      <c r="E5" s="39" t="s">
        <v>4854</v>
      </c>
      <c r="F5" s="37" t="s">
        <v>1725</v>
      </c>
      <c r="G5" s="44" t="s">
        <v>42</v>
      </c>
      <c r="H5" s="44" t="s">
        <v>43</v>
      </c>
      <c r="I5" s="44" t="s">
        <v>44</v>
      </c>
      <c r="J5" s="37" t="s">
        <v>4400</v>
      </c>
      <c r="K5" s="37" t="s">
        <v>46</v>
      </c>
      <c r="L5" s="37" t="s">
        <v>67</v>
      </c>
      <c r="M5" s="37" t="s">
        <v>48</v>
      </c>
      <c r="N5" s="98" t="s">
        <v>4881</v>
      </c>
      <c r="O5" s="102" t="s">
        <v>586</v>
      </c>
      <c r="P5" s="37" t="s">
        <v>4402</v>
      </c>
      <c r="Q5" s="37" t="s">
        <v>68</v>
      </c>
      <c r="R5" s="104" t="s">
        <v>4415</v>
      </c>
      <c r="S5" s="37" t="s">
        <v>52</v>
      </c>
      <c r="T5" s="37" t="s">
        <v>4531</v>
      </c>
      <c r="U5" s="37" t="s">
        <v>4532</v>
      </c>
      <c r="V5" s="45"/>
      <c r="W5" s="45"/>
      <c r="X5" s="45"/>
      <c r="Y5" s="45"/>
      <c r="Z5" s="37" t="s">
        <v>1728</v>
      </c>
      <c r="AA5" s="37" t="s">
        <v>88</v>
      </c>
      <c r="AB5" s="37" t="s">
        <v>57</v>
      </c>
      <c r="AC5" s="37"/>
      <c r="AD5" s="37">
        <v>15.574999999999999</v>
      </c>
      <c r="AE5" s="37">
        <v>15.574999999999999</v>
      </c>
      <c r="AF5" s="37"/>
      <c r="AG5" s="47" t="s">
        <v>4417</v>
      </c>
      <c r="AH5" s="47" t="s">
        <v>4419</v>
      </c>
      <c r="AI5" s="37"/>
      <c r="AJ5" s="37"/>
      <c r="AK5" s="37" t="s">
        <v>58</v>
      </c>
      <c r="AL5" s="37">
        <v>49.9</v>
      </c>
      <c r="AM5" t="s">
        <v>5520</v>
      </c>
      <c r="AN5" s="74" t="s">
        <v>5636</v>
      </c>
    </row>
    <row r="6" spans="1:40" ht="14.25" customHeight="1" x14ac:dyDescent="0.3">
      <c r="A6" s="37" t="s">
        <v>4855</v>
      </c>
      <c r="B6" s="37" t="s">
        <v>4742</v>
      </c>
      <c r="C6" s="37" t="s">
        <v>4856</v>
      </c>
      <c r="D6" s="37" t="s">
        <v>4812</v>
      </c>
      <c r="E6" s="39" t="s">
        <v>4854</v>
      </c>
      <c r="F6" s="37" t="s">
        <v>1725</v>
      </c>
      <c r="G6" s="44" t="s">
        <v>42</v>
      </c>
      <c r="H6" s="44" t="s">
        <v>43</v>
      </c>
      <c r="I6" s="44" t="s">
        <v>44</v>
      </c>
      <c r="J6" s="37" t="s">
        <v>4400</v>
      </c>
      <c r="K6" s="37" t="s">
        <v>46</v>
      </c>
      <c r="L6" s="37" t="s">
        <v>67</v>
      </c>
      <c r="M6" s="37" t="s">
        <v>48</v>
      </c>
      <c r="N6" s="98" t="s">
        <v>4882</v>
      </c>
      <c r="O6" s="102" t="s">
        <v>64</v>
      </c>
      <c r="P6" s="37" t="s">
        <v>4402</v>
      </c>
      <c r="Q6" s="37" t="s">
        <v>68</v>
      </c>
      <c r="R6" s="104" t="s">
        <v>4415</v>
      </c>
      <c r="S6" s="37" t="s">
        <v>52</v>
      </c>
      <c r="T6" s="37" t="s">
        <v>4531</v>
      </c>
      <c r="U6" s="37" t="s">
        <v>4532</v>
      </c>
      <c r="V6" s="45"/>
      <c r="W6" s="45"/>
      <c r="X6" s="45"/>
      <c r="Y6" s="45"/>
      <c r="Z6" s="37" t="s">
        <v>1728</v>
      </c>
      <c r="AA6" s="37" t="s">
        <v>88</v>
      </c>
      <c r="AB6" s="37" t="s">
        <v>57</v>
      </c>
      <c r="AC6" s="37"/>
      <c r="AD6" s="37">
        <v>15.89</v>
      </c>
      <c r="AE6" s="37">
        <v>15.89</v>
      </c>
      <c r="AF6" s="37"/>
      <c r="AG6" s="47" t="s">
        <v>4417</v>
      </c>
      <c r="AH6" s="47" t="s">
        <v>4419</v>
      </c>
      <c r="AI6" s="37"/>
      <c r="AJ6" s="37"/>
      <c r="AK6" s="37" t="s">
        <v>58</v>
      </c>
      <c r="AL6" s="37">
        <v>49.9</v>
      </c>
      <c r="AM6" t="s">
        <v>5520</v>
      </c>
      <c r="AN6" s="74" t="s">
        <v>5636</v>
      </c>
    </row>
    <row r="7" spans="1:40" ht="14.25" customHeight="1" x14ac:dyDescent="0.3">
      <c r="A7" s="37" t="s">
        <v>4855</v>
      </c>
      <c r="B7" s="37" t="s">
        <v>4743</v>
      </c>
      <c r="C7" s="37" t="s">
        <v>4856</v>
      </c>
      <c r="D7" s="37" t="s">
        <v>4813</v>
      </c>
      <c r="E7" s="39" t="s">
        <v>4854</v>
      </c>
      <c r="F7" s="37" t="s">
        <v>1725</v>
      </c>
      <c r="G7" s="44" t="s">
        <v>42</v>
      </c>
      <c r="H7" s="44" t="s">
        <v>43</v>
      </c>
      <c r="I7" s="44" t="s">
        <v>44</v>
      </c>
      <c r="J7" s="37" t="s">
        <v>4400</v>
      </c>
      <c r="K7" s="37" t="s">
        <v>46</v>
      </c>
      <c r="L7" s="37" t="s">
        <v>67</v>
      </c>
      <c r="M7" s="37" t="s">
        <v>48</v>
      </c>
      <c r="N7" s="98" t="s">
        <v>4883</v>
      </c>
      <c r="O7" s="102" t="s">
        <v>328</v>
      </c>
      <c r="P7" s="37" t="s">
        <v>4402</v>
      </c>
      <c r="Q7" s="37" t="s">
        <v>68</v>
      </c>
      <c r="R7" s="104" t="s">
        <v>4415</v>
      </c>
      <c r="S7" s="37" t="s">
        <v>52</v>
      </c>
      <c r="T7" s="37" t="s">
        <v>4531</v>
      </c>
      <c r="U7" s="37" t="s">
        <v>4532</v>
      </c>
      <c r="V7" s="45"/>
      <c r="W7" s="45"/>
      <c r="X7" s="45"/>
      <c r="Y7" s="45"/>
      <c r="Z7" s="37" t="s">
        <v>1728</v>
      </c>
      <c r="AA7" s="37" t="s">
        <v>88</v>
      </c>
      <c r="AB7" s="37" t="s">
        <v>57</v>
      </c>
      <c r="AC7" s="37"/>
      <c r="AD7" s="37">
        <v>15.574999999999999</v>
      </c>
      <c r="AE7" s="37">
        <v>15.574999999999999</v>
      </c>
      <c r="AF7" s="37"/>
      <c r="AG7" s="47" t="s">
        <v>4417</v>
      </c>
      <c r="AH7" s="47" t="s">
        <v>4419</v>
      </c>
      <c r="AI7" s="37"/>
      <c r="AJ7" s="37"/>
      <c r="AK7" s="37" t="s">
        <v>58</v>
      </c>
      <c r="AL7" s="37">
        <v>49.9</v>
      </c>
      <c r="AM7" t="s">
        <v>5520</v>
      </c>
      <c r="AN7" s="74" t="s">
        <v>5636</v>
      </c>
    </row>
    <row r="8" spans="1:40" ht="14.25" customHeight="1" x14ac:dyDescent="0.3">
      <c r="A8" s="37" t="s">
        <v>4855</v>
      </c>
      <c r="B8" s="37" t="s">
        <v>4744</v>
      </c>
      <c r="C8" s="37" t="s">
        <v>4856</v>
      </c>
      <c r="D8" s="37" t="s">
        <v>4814</v>
      </c>
      <c r="E8" s="39" t="s">
        <v>4854</v>
      </c>
      <c r="F8" s="37" t="s">
        <v>1725</v>
      </c>
      <c r="G8" s="44" t="s">
        <v>42</v>
      </c>
      <c r="H8" s="44" t="s">
        <v>43</v>
      </c>
      <c r="I8" s="44" t="s">
        <v>44</v>
      </c>
      <c r="J8" s="37" t="s">
        <v>4400</v>
      </c>
      <c r="K8" s="37" t="s">
        <v>46</v>
      </c>
      <c r="L8" s="37" t="s">
        <v>67</v>
      </c>
      <c r="M8" s="37" t="s">
        <v>48</v>
      </c>
      <c r="N8" s="98" t="s">
        <v>4878</v>
      </c>
      <c r="O8" s="102" t="s">
        <v>61</v>
      </c>
      <c r="P8" s="37" t="s">
        <v>4533</v>
      </c>
      <c r="Q8" s="37" t="s">
        <v>68</v>
      </c>
      <c r="R8" s="104" t="s">
        <v>4695</v>
      </c>
      <c r="S8" s="37" t="s">
        <v>52</v>
      </c>
      <c r="T8" s="37" t="s">
        <v>4531</v>
      </c>
      <c r="U8" s="37" t="s">
        <v>4532</v>
      </c>
      <c r="V8" s="45"/>
      <c r="W8" s="45"/>
      <c r="X8" s="45"/>
      <c r="Y8" s="45"/>
      <c r="Z8" s="37" t="s">
        <v>1728</v>
      </c>
      <c r="AA8" s="37" t="s">
        <v>88</v>
      </c>
      <c r="AB8" s="37" t="s">
        <v>57</v>
      </c>
      <c r="AC8" s="37"/>
      <c r="AD8" s="37">
        <v>7.24</v>
      </c>
      <c r="AE8" s="37">
        <v>7.24</v>
      </c>
      <c r="AF8" s="37"/>
      <c r="AG8" s="47" t="s">
        <v>4418</v>
      </c>
      <c r="AH8" s="47" t="s">
        <v>4712</v>
      </c>
      <c r="AI8" s="37"/>
      <c r="AJ8" s="37"/>
      <c r="AK8" s="37" t="s">
        <v>58</v>
      </c>
      <c r="AL8" s="37">
        <v>49.9</v>
      </c>
      <c r="AM8" t="s">
        <v>5520</v>
      </c>
      <c r="AN8" s="74" t="s">
        <v>5636</v>
      </c>
    </row>
    <row r="9" spans="1:40" ht="14.25" customHeight="1" x14ac:dyDescent="0.3">
      <c r="A9" s="37" t="s">
        <v>4855</v>
      </c>
      <c r="B9" s="37" t="s">
        <v>4745</v>
      </c>
      <c r="C9" s="37" t="s">
        <v>4856</v>
      </c>
      <c r="D9" s="37" t="s">
        <v>4815</v>
      </c>
      <c r="E9" s="39" t="s">
        <v>4854</v>
      </c>
      <c r="F9" s="37" t="s">
        <v>1725</v>
      </c>
      <c r="G9" s="44" t="s">
        <v>42</v>
      </c>
      <c r="H9" s="44" t="s">
        <v>43</v>
      </c>
      <c r="I9" s="44" t="s">
        <v>44</v>
      </c>
      <c r="J9" s="37" t="s">
        <v>4400</v>
      </c>
      <c r="K9" s="37" t="s">
        <v>46</v>
      </c>
      <c r="L9" s="37" t="s">
        <v>67</v>
      </c>
      <c r="M9" s="37" t="s">
        <v>48</v>
      </c>
      <c r="N9" s="98" t="s">
        <v>4879</v>
      </c>
      <c r="O9" s="102" t="s">
        <v>61</v>
      </c>
      <c r="P9" s="37" t="s">
        <v>4533</v>
      </c>
      <c r="Q9" s="37" t="s">
        <v>68</v>
      </c>
      <c r="R9" s="104" t="s">
        <v>4695</v>
      </c>
      <c r="S9" s="37" t="s">
        <v>52</v>
      </c>
      <c r="T9" s="37" t="s">
        <v>4531</v>
      </c>
      <c r="U9" s="37" t="s">
        <v>4532</v>
      </c>
      <c r="V9" s="45"/>
      <c r="W9" s="45"/>
      <c r="X9" s="45"/>
      <c r="Y9" s="45"/>
      <c r="Z9" s="37" t="s">
        <v>1728</v>
      </c>
      <c r="AA9" s="37" t="s">
        <v>88</v>
      </c>
      <c r="AB9" s="37" t="s">
        <v>57</v>
      </c>
      <c r="AC9" s="37"/>
      <c r="AD9" s="37">
        <v>7.22</v>
      </c>
      <c r="AE9" s="37">
        <v>7.22</v>
      </c>
      <c r="AF9" s="37"/>
      <c r="AG9" s="47" t="s">
        <v>4418</v>
      </c>
      <c r="AH9" s="47" t="s">
        <v>4712</v>
      </c>
      <c r="AI9" s="37"/>
      <c r="AJ9" s="37"/>
      <c r="AK9" s="37" t="s">
        <v>58</v>
      </c>
      <c r="AL9" s="37">
        <v>49.9</v>
      </c>
      <c r="AM9" t="s">
        <v>5520</v>
      </c>
      <c r="AN9" s="74" t="s">
        <v>5636</v>
      </c>
    </row>
    <row r="10" spans="1:40" ht="14.25" customHeight="1" x14ac:dyDescent="0.3">
      <c r="A10" s="37" t="s">
        <v>4855</v>
      </c>
      <c r="B10" s="37" t="s">
        <v>4746</v>
      </c>
      <c r="C10" s="37" t="s">
        <v>4856</v>
      </c>
      <c r="D10" s="37" t="s">
        <v>4816</v>
      </c>
      <c r="E10" s="39" t="s">
        <v>4854</v>
      </c>
      <c r="F10" s="37" t="s">
        <v>1725</v>
      </c>
      <c r="G10" s="44" t="s">
        <v>42</v>
      </c>
      <c r="H10" s="44" t="s">
        <v>43</v>
      </c>
      <c r="I10" s="44" t="s">
        <v>44</v>
      </c>
      <c r="J10" s="37" t="s">
        <v>4400</v>
      </c>
      <c r="K10" s="37" t="s">
        <v>46</v>
      </c>
      <c r="L10" s="37" t="s">
        <v>67</v>
      </c>
      <c r="M10" s="37" t="s">
        <v>48</v>
      </c>
      <c r="N10" s="98" t="s">
        <v>4880</v>
      </c>
      <c r="O10" s="102" t="s">
        <v>61</v>
      </c>
      <c r="P10" s="37" t="s">
        <v>4533</v>
      </c>
      <c r="Q10" s="37" t="s">
        <v>68</v>
      </c>
      <c r="R10" s="104" t="s">
        <v>4695</v>
      </c>
      <c r="S10" s="37" t="s">
        <v>52</v>
      </c>
      <c r="T10" s="37" t="s">
        <v>4531</v>
      </c>
      <c r="U10" s="37" t="s">
        <v>4532</v>
      </c>
      <c r="V10" s="45"/>
      <c r="W10" s="45"/>
      <c r="X10" s="45"/>
      <c r="Y10" s="45"/>
      <c r="Z10" s="37" t="s">
        <v>1728</v>
      </c>
      <c r="AA10" s="37" t="s">
        <v>88</v>
      </c>
      <c r="AB10" s="37" t="s">
        <v>57</v>
      </c>
      <c r="AC10" s="37"/>
      <c r="AD10" s="37">
        <v>7.375</v>
      </c>
      <c r="AE10" s="37">
        <v>7.375</v>
      </c>
      <c r="AF10" s="37"/>
      <c r="AG10" s="47" t="s">
        <v>4418</v>
      </c>
      <c r="AH10" s="47" t="s">
        <v>4712</v>
      </c>
      <c r="AI10" s="37"/>
      <c r="AJ10" s="37"/>
      <c r="AK10" s="37" t="s">
        <v>58</v>
      </c>
      <c r="AL10" s="37">
        <v>49.9</v>
      </c>
      <c r="AM10" t="s">
        <v>5520</v>
      </c>
      <c r="AN10" s="74" t="s">
        <v>5636</v>
      </c>
    </row>
    <row r="11" spans="1:40" ht="14.25" customHeight="1" x14ac:dyDescent="0.3">
      <c r="A11" s="37" t="s">
        <v>4855</v>
      </c>
      <c r="B11" s="37" t="s">
        <v>4747</v>
      </c>
      <c r="C11" s="37" t="s">
        <v>4856</v>
      </c>
      <c r="D11" s="37" t="s">
        <v>4817</v>
      </c>
      <c r="E11" s="39" t="s">
        <v>4854</v>
      </c>
      <c r="F11" s="37" t="s">
        <v>1725</v>
      </c>
      <c r="G11" s="44" t="s">
        <v>42</v>
      </c>
      <c r="H11" s="44" t="s">
        <v>43</v>
      </c>
      <c r="I11" s="44" t="s">
        <v>44</v>
      </c>
      <c r="J11" s="37" t="s">
        <v>4400</v>
      </c>
      <c r="K11" s="37" t="s">
        <v>46</v>
      </c>
      <c r="L11" s="37" t="s">
        <v>67</v>
      </c>
      <c r="M11" s="37" t="s">
        <v>48</v>
      </c>
      <c r="N11" s="98" t="s">
        <v>4881</v>
      </c>
      <c r="O11" s="102" t="s">
        <v>586</v>
      </c>
      <c r="P11" s="37" t="s">
        <v>4533</v>
      </c>
      <c r="Q11" s="37" t="s">
        <v>68</v>
      </c>
      <c r="R11" s="104" t="s">
        <v>4695</v>
      </c>
      <c r="S11" s="37" t="s">
        <v>52</v>
      </c>
      <c r="T11" s="37" t="s">
        <v>4531</v>
      </c>
      <c r="U11" s="37" t="s">
        <v>4532</v>
      </c>
      <c r="V11" s="45"/>
      <c r="W11" s="45"/>
      <c r="X11" s="45"/>
      <c r="Y11" s="45"/>
      <c r="Z11" s="37" t="s">
        <v>1728</v>
      </c>
      <c r="AA11" s="37" t="s">
        <v>88</v>
      </c>
      <c r="AB11" s="37" t="s">
        <v>57</v>
      </c>
      <c r="AC11" s="37"/>
      <c r="AD11" s="37">
        <v>7.28</v>
      </c>
      <c r="AE11" s="37">
        <v>7.28</v>
      </c>
      <c r="AF11" s="37"/>
      <c r="AG11" s="47" t="s">
        <v>4418</v>
      </c>
      <c r="AH11" s="47" t="s">
        <v>4712</v>
      </c>
      <c r="AI11" s="37"/>
      <c r="AJ11" s="37"/>
      <c r="AK11" s="37" t="s">
        <v>58</v>
      </c>
      <c r="AL11" s="37">
        <v>49.9</v>
      </c>
      <c r="AM11" t="s">
        <v>5520</v>
      </c>
      <c r="AN11" s="74" t="s">
        <v>5636</v>
      </c>
    </row>
    <row r="12" spans="1:40" ht="14.25" customHeight="1" x14ac:dyDescent="0.3">
      <c r="A12" s="37" t="s">
        <v>4855</v>
      </c>
      <c r="B12" s="37" t="s">
        <v>4748</v>
      </c>
      <c r="C12" s="37" t="s">
        <v>4856</v>
      </c>
      <c r="D12" s="37" t="s">
        <v>4818</v>
      </c>
      <c r="E12" s="39" t="s">
        <v>4854</v>
      </c>
      <c r="F12" s="37" t="s">
        <v>1725</v>
      </c>
      <c r="G12" s="44" t="s">
        <v>42</v>
      </c>
      <c r="H12" s="44" t="s">
        <v>43</v>
      </c>
      <c r="I12" s="44" t="s">
        <v>44</v>
      </c>
      <c r="J12" s="37" t="s">
        <v>4400</v>
      </c>
      <c r="K12" s="37" t="s">
        <v>46</v>
      </c>
      <c r="L12" s="37" t="s">
        <v>67</v>
      </c>
      <c r="M12" s="37" t="s">
        <v>48</v>
      </c>
      <c r="N12" s="98" t="s">
        <v>4882</v>
      </c>
      <c r="O12" s="102" t="s">
        <v>64</v>
      </c>
      <c r="P12" s="37" t="s">
        <v>4533</v>
      </c>
      <c r="Q12" s="37" t="s">
        <v>68</v>
      </c>
      <c r="R12" s="104" t="s">
        <v>4695</v>
      </c>
      <c r="S12" s="37" t="s">
        <v>52</v>
      </c>
      <c r="T12" s="37" t="s">
        <v>4531</v>
      </c>
      <c r="U12" s="37" t="s">
        <v>4532</v>
      </c>
      <c r="V12" s="45"/>
      <c r="W12" s="45"/>
      <c r="X12" s="45"/>
      <c r="Y12" s="45"/>
      <c r="Z12" s="37" t="s">
        <v>1728</v>
      </c>
      <c r="AA12" s="37" t="s">
        <v>88</v>
      </c>
      <c r="AB12" s="37" t="s">
        <v>57</v>
      </c>
      <c r="AC12" s="37"/>
      <c r="AD12" s="37">
        <v>7.27</v>
      </c>
      <c r="AE12" s="37">
        <v>7.27</v>
      </c>
      <c r="AF12" s="37"/>
      <c r="AG12" s="47" t="s">
        <v>4418</v>
      </c>
      <c r="AH12" s="47" t="s">
        <v>4712</v>
      </c>
      <c r="AI12" s="37"/>
      <c r="AJ12" s="37"/>
      <c r="AK12" s="37" t="s">
        <v>58</v>
      </c>
      <c r="AL12" s="37">
        <v>49.9</v>
      </c>
      <c r="AM12" t="s">
        <v>5520</v>
      </c>
      <c r="AN12" s="74" t="s">
        <v>5636</v>
      </c>
    </row>
    <row r="13" spans="1:40" ht="14.25" customHeight="1" x14ac:dyDescent="0.3">
      <c r="A13" s="37" t="s">
        <v>4855</v>
      </c>
      <c r="B13" s="37" t="s">
        <v>4749</v>
      </c>
      <c r="C13" s="37" t="s">
        <v>4856</v>
      </c>
      <c r="D13" s="37" t="s">
        <v>4819</v>
      </c>
      <c r="E13" s="39" t="s">
        <v>4854</v>
      </c>
      <c r="F13" s="37" t="s">
        <v>1725</v>
      </c>
      <c r="G13" s="44" t="s">
        <v>42</v>
      </c>
      <c r="H13" s="44" t="s">
        <v>43</v>
      </c>
      <c r="I13" s="44" t="s">
        <v>44</v>
      </c>
      <c r="J13" s="37" t="s">
        <v>4400</v>
      </c>
      <c r="K13" s="37" t="s">
        <v>46</v>
      </c>
      <c r="L13" s="37" t="s">
        <v>67</v>
      </c>
      <c r="M13" s="37" t="s">
        <v>48</v>
      </c>
      <c r="N13" s="98" t="s">
        <v>4883</v>
      </c>
      <c r="O13" s="102" t="s">
        <v>328</v>
      </c>
      <c r="P13" s="37" t="s">
        <v>4533</v>
      </c>
      <c r="Q13" s="37" t="s">
        <v>68</v>
      </c>
      <c r="R13" s="104" t="s">
        <v>4695</v>
      </c>
      <c r="S13" s="37" t="s">
        <v>52</v>
      </c>
      <c r="T13" s="37" t="s">
        <v>4531</v>
      </c>
      <c r="U13" s="37" t="s">
        <v>4532</v>
      </c>
      <c r="V13" s="45"/>
      <c r="W13" s="45"/>
      <c r="X13" s="45"/>
      <c r="Y13" s="45"/>
      <c r="Z13" s="37" t="s">
        <v>1728</v>
      </c>
      <c r="AA13" s="37" t="s">
        <v>88</v>
      </c>
      <c r="AB13" s="37" t="s">
        <v>57</v>
      </c>
      <c r="AC13" s="37"/>
      <c r="AD13" s="37">
        <v>7.375</v>
      </c>
      <c r="AE13" s="37">
        <v>7.375</v>
      </c>
      <c r="AF13" s="37"/>
      <c r="AG13" s="47" t="s">
        <v>4418</v>
      </c>
      <c r="AH13" s="47" t="s">
        <v>4712</v>
      </c>
      <c r="AI13" s="37"/>
      <c r="AJ13" s="37"/>
      <c r="AK13" s="37" t="s">
        <v>58</v>
      </c>
      <c r="AL13" s="37">
        <v>49.9</v>
      </c>
      <c r="AM13" t="s">
        <v>5520</v>
      </c>
      <c r="AN13" s="74" t="s">
        <v>5636</v>
      </c>
    </row>
    <row r="14" spans="1:40" s="37" customFormat="1" ht="14.25" customHeight="1" x14ac:dyDescent="0.3">
      <c r="A14" s="37" t="s">
        <v>4855</v>
      </c>
      <c r="B14" s="37" t="s">
        <v>4750</v>
      </c>
      <c r="C14" s="37" t="s">
        <v>4856</v>
      </c>
      <c r="D14" s="37" t="s">
        <v>4820</v>
      </c>
      <c r="E14" s="39" t="s">
        <v>4854</v>
      </c>
      <c r="F14" s="37" t="s">
        <v>1725</v>
      </c>
      <c r="G14" s="44" t="s">
        <v>42</v>
      </c>
      <c r="H14" s="44" t="s">
        <v>43</v>
      </c>
      <c r="I14" s="44" t="s">
        <v>44</v>
      </c>
      <c r="J14" s="37" t="s">
        <v>4400</v>
      </c>
      <c r="K14" s="37" t="s">
        <v>46</v>
      </c>
      <c r="L14" s="37" t="s">
        <v>47</v>
      </c>
      <c r="M14" s="37" t="s">
        <v>48</v>
      </c>
      <c r="N14" s="46" t="s">
        <v>4878</v>
      </c>
      <c r="O14" s="76" t="s">
        <v>61</v>
      </c>
      <c r="P14" s="37" t="s">
        <v>4402</v>
      </c>
      <c r="Q14" s="37" t="s">
        <v>51</v>
      </c>
      <c r="R14" s="104" t="s">
        <v>4416</v>
      </c>
      <c r="S14" s="37" t="s">
        <v>52</v>
      </c>
      <c r="T14" s="37" t="s">
        <v>4531</v>
      </c>
      <c r="U14" s="37" t="s">
        <v>4532</v>
      </c>
      <c r="V14" s="45"/>
      <c r="W14" s="45"/>
      <c r="X14" s="45"/>
      <c r="Y14" s="45"/>
      <c r="Z14" s="37" t="s">
        <v>1728</v>
      </c>
      <c r="AA14" s="37" t="s">
        <v>88</v>
      </c>
      <c r="AB14" s="37" t="s">
        <v>57</v>
      </c>
      <c r="AD14" s="37">
        <v>32</v>
      </c>
      <c r="AE14" s="37">
        <v>32</v>
      </c>
      <c r="AG14" s="47" t="s">
        <v>4417</v>
      </c>
      <c r="AH14" s="47" t="s">
        <v>4421</v>
      </c>
      <c r="AK14" s="37" t="s">
        <v>58</v>
      </c>
      <c r="AL14" s="37">
        <v>59.9</v>
      </c>
      <c r="AM14" t="s">
        <v>5520</v>
      </c>
      <c r="AN14" s="74" t="s">
        <v>5636</v>
      </c>
    </row>
    <row r="15" spans="1:40" s="37" customFormat="1" ht="14.25" customHeight="1" x14ac:dyDescent="0.3">
      <c r="A15" s="37" t="s">
        <v>4855</v>
      </c>
      <c r="B15" s="37" t="s">
        <v>4751</v>
      </c>
      <c r="C15" s="37" t="s">
        <v>4856</v>
      </c>
      <c r="D15" s="37" t="s">
        <v>4821</v>
      </c>
      <c r="E15" s="39" t="s">
        <v>4854</v>
      </c>
      <c r="F15" s="37" t="s">
        <v>1725</v>
      </c>
      <c r="G15" s="44" t="s">
        <v>42</v>
      </c>
      <c r="H15" s="44" t="s">
        <v>43</v>
      </c>
      <c r="I15" s="44" t="s">
        <v>44</v>
      </c>
      <c r="J15" s="37" t="s">
        <v>4400</v>
      </c>
      <c r="K15" s="37" t="s">
        <v>46</v>
      </c>
      <c r="L15" s="37" t="s">
        <v>47</v>
      </c>
      <c r="M15" s="37" t="s">
        <v>48</v>
      </c>
      <c r="N15" s="46" t="s">
        <v>4879</v>
      </c>
      <c r="O15" s="76" t="s">
        <v>61</v>
      </c>
      <c r="P15" s="37" t="s">
        <v>4402</v>
      </c>
      <c r="Q15" s="37" t="s">
        <v>51</v>
      </c>
      <c r="R15" s="104" t="s">
        <v>4416</v>
      </c>
      <c r="S15" s="37" t="s">
        <v>52</v>
      </c>
      <c r="T15" s="37" t="s">
        <v>4531</v>
      </c>
      <c r="U15" s="37" t="s">
        <v>4532</v>
      </c>
      <c r="V15" s="45"/>
      <c r="W15" s="45"/>
      <c r="X15" s="45"/>
      <c r="Y15" s="45"/>
      <c r="Z15" s="37" t="s">
        <v>1728</v>
      </c>
      <c r="AA15" s="37" t="s">
        <v>88</v>
      </c>
      <c r="AB15" s="37" t="s">
        <v>57</v>
      </c>
      <c r="AD15" s="37">
        <v>31.12</v>
      </c>
      <c r="AE15" s="37">
        <v>31.12</v>
      </c>
      <c r="AG15" s="47" t="s">
        <v>4417</v>
      </c>
      <c r="AH15" s="47" t="s">
        <v>4421</v>
      </c>
      <c r="AK15" s="37" t="s">
        <v>58</v>
      </c>
      <c r="AL15" s="37">
        <v>59.9</v>
      </c>
      <c r="AM15" t="s">
        <v>5520</v>
      </c>
      <c r="AN15" s="74" t="s">
        <v>5636</v>
      </c>
    </row>
    <row r="16" spans="1:40" s="37" customFormat="1" ht="14.25" customHeight="1" x14ac:dyDescent="0.3">
      <c r="A16" s="37" t="s">
        <v>4855</v>
      </c>
      <c r="B16" s="37" t="s">
        <v>4752</v>
      </c>
      <c r="C16" s="37" t="s">
        <v>4856</v>
      </c>
      <c r="D16" s="37" t="s">
        <v>4822</v>
      </c>
      <c r="E16" s="39" t="s">
        <v>4854</v>
      </c>
      <c r="F16" s="37" t="s">
        <v>1725</v>
      </c>
      <c r="G16" s="44" t="s">
        <v>42</v>
      </c>
      <c r="H16" s="44" t="s">
        <v>43</v>
      </c>
      <c r="I16" s="44" t="s">
        <v>44</v>
      </c>
      <c r="J16" s="37" t="s">
        <v>4400</v>
      </c>
      <c r="K16" s="37" t="s">
        <v>46</v>
      </c>
      <c r="L16" s="37" t="s">
        <v>47</v>
      </c>
      <c r="M16" s="37" t="s">
        <v>48</v>
      </c>
      <c r="N16" s="46" t="s">
        <v>4880</v>
      </c>
      <c r="O16" s="76" t="s">
        <v>61</v>
      </c>
      <c r="P16" s="37" t="s">
        <v>4402</v>
      </c>
      <c r="Q16" s="37" t="s">
        <v>51</v>
      </c>
      <c r="R16" s="104" t="s">
        <v>4416</v>
      </c>
      <c r="S16" s="37" t="s">
        <v>52</v>
      </c>
      <c r="T16" s="37" t="s">
        <v>4531</v>
      </c>
      <c r="U16" s="37" t="s">
        <v>4532</v>
      </c>
      <c r="V16" s="45"/>
      <c r="W16" s="45"/>
      <c r="X16" s="45"/>
      <c r="Y16" s="45"/>
      <c r="Z16" s="37" t="s">
        <v>1728</v>
      </c>
      <c r="AA16" s="37" t="s">
        <v>88</v>
      </c>
      <c r="AB16" s="37" t="s">
        <v>57</v>
      </c>
      <c r="AD16" s="37">
        <v>31.25</v>
      </c>
      <c r="AE16" s="37">
        <v>31.25</v>
      </c>
      <c r="AG16" s="47" t="s">
        <v>4417</v>
      </c>
      <c r="AH16" s="47" t="s">
        <v>4421</v>
      </c>
      <c r="AK16" s="37" t="s">
        <v>58</v>
      </c>
      <c r="AL16" s="37">
        <v>59.9</v>
      </c>
      <c r="AM16" t="s">
        <v>5520</v>
      </c>
      <c r="AN16" s="74" t="s">
        <v>5636</v>
      </c>
    </row>
    <row r="17" spans="1:40" s="37" customFormat="1" ht="14.25" customHeight="1" x14ac:dyDescent="0.3">
      <c r="A17" s="37" t="s">
        <v>4855</v>
      </c>
      <c r="B17" s="37" t="s">
        <v>4753</v>
      </c>
      <c r="C17" s="37" t="s">
        <v>4856</v>
      </c>
      <c r="D17" s="37" t="s">
        <v>4823</v>
      </c>
      <c r="E17" s="39" t="s">
        <v>4854</v>
      </c>
      <c r="F17" s="37" t="s">
        <v>1725</v>
      </c>
      <c r="G17" s="44" t="s">
        <v>42</v>
      </c>
      <c r="H17" s="44" t="s">
        <v>43</v>
      </c>
      <c r="I17" s="44" t="s">
        <v>44</v>
      </c>
      <c r="J17" s="37" t="s">
        <v>4400</v>
      </c>
      <c r="K17" s="37" t="s">
        <v>46</v>
      </c>
      <c r="L17" s="37" t="s">
        <v>47</v>
      </c>
      <c r="M17" s="37" t="s">
        <v>48</v>
      </c>
      <c r="N17" s="46" t="s">
        <v>4881</v>
      </c>
      <c r="O17" s="76" t="s">
        <v>586</v>
      </c>
      <c r="P17" s="37" t="s">
        <v>4402</v>
      </c>
      <c r="Q17" s="37" t="s">
        <v>51</v>
      </c>
      <c r="R17" s="104" t="s">
        <v>4416</v>
      </c>
      <c r="S17" s="37" t="s">
        <v>52</v>
      </c>
      <c r="T17" s="37" t="s">
        <v>4531</v>
      </c>
      <c r="U17" s="37" t="s">
        <v>4532</v>
      </c>
      <c r="V17" s="45"/>
      <c r="W17" s="45"/>
      <c r="X17" s="45"/>
      <c r="Y17" s="45"/>
      <c r="Z17" s="37" t="s">
        <v>1728</v>
      </c>
      <c r="AA17" s="37" t="s">
        <v>88</v>
      </c>
      <c r="AB17" s="37" t="s">
        <v>57</v>
      </c>
      <c r="AD17" s="37">
        <v>32</v>
      </c>
      <c r="AE17" s="37">
        <v>32</v>
      </c>
      <c r="AG17" s="47" t="s">
        <v>4417</v>
      </c>
      <c r="AH17" s="47" t="s">
        <v>4421</v>
      </c>
      <c r="AK17" s="37" t="s">
        <v>58</v>
      </c>
      <c r="AL17" s="37">
        <v>59.9</v>
      </c>
      <c r="AM17" t="s">
        <v>5520</v>
      </c>
      <c r="AN17" s="74" t="s">
        <v>5636</v>
      </c>
    </row>
    <row r="18" spans="1:40" s="37" customFormat="1" ht="14.25" customHeight="1" x14ac:dyDescent="0.3">
      <c r="A18" s="37" t="s">
        <v>4855</v>
      </c>
      <c r="B18" s="37" t="s">
        <v>4754</v>
      </c>
      <c r="C18" s="37" t="s">
        <v>4856</v>
      </c>
      <c r="D18" s="37" t="s">
        <v>4824</v>
      </c>
      <c r="E18" s="39" t="s">
        <v>4854</v>
      </c>
      <c r="F18" s="37" t="s">
        <v>1725</v>
      </c>
      <c r="G18" s="44" t="s">
        <v>42</v>
      </c>
      <c r="H18" s="44" t="s">
        <v>43</v>
      </c>
      <c r="I18" s="44" t="s">
        <v>44</v>
      </c>
      <c r="J18" s="37" t="s">
        <v>4400</v>
      </c>
      <c r="K18" s="37" t="s">
        <v>46</v>
      </c>
      <c r="L18" s="37" t="s">
        <v>47</v>
      </c>
      <c r="M18" s="37" t="s">
        <v>48</v>
      </c>
      <c r="N18" s="46" t="s">
        <v>4882</v>
      </c>
      <c r="O18" s="76" t="s">
        <v>64</v>
      </c>
      <c r="P18" s="37" t="s">
        <v>4402</v>
      </c>
      <c r="Q18" s="37" t="s">
        <v>51</v>
      </c>
      <c r="R18" s="104" t="s">
        <v>4416</v>
      </c>
      <c r="S18" s="37" t="s">
        <v>52</v>
      </c>
      <c r="T18" s="37" t="s">
        <v>4531</v>
      </c>
      <c r="U18" s="37" t="s">
        <v>4532</v>
      </c>
      <c r="V18" s="45"/>
      <c r="W18" s="45"/>
      <c r="X18" s="45"/>
      <c r="Y18" s="45"/>
      <c r="Z18" s="37" t="s">
        <v>1728</v>
      </c>
      <c r="AA18" s="37" t="s">
        <v>88</v>
      </c>
      <c r="AB18" s="37" t="s">
        <v>57</v>
      </c>
      <c r="AD18" s="37">
        <v>32</v>
      </c>
      <c r="AE18" s="37">
        <v>32</v>
      </c>
      <c r="AG18" s="47" t="s">
        <v>4417</v>
      </c>
      <c r="AH18" s="47" t="s">
        <v>4421</v>
      </c>
      <c r="AK18" s="37" t="s">
        <v>58</v>
      </c>
      <c r="AL18" s="37">
        <v>59.9</v>
      </c>
      <c r="AM18" t="s">
        <v>5520</v>
      </c>
      <c r="AN18" s="74" t="s">
        <v>5636</v>
      </c>
    </row>
    <row r="19" spans="1:40" s="37" customFormat="1" ht="14.25" customHeight="1" x14ac:dyDescent="0.3">
      <c r="A19" s="37" t="s">
        <v>4855</v>
      </c>
      <c r="B19" s="37" t="s">
        <v>4755</v>
      </c>
      <c r="C19" s="37" t="s">
        <v>4856</v>
      </c>
      <c r="D19" s="37" t="s">
        <v>4825</v>
      </c>
      <c r="E19" s="39" t="s">
        <v>4854</v>
      </c>
      <c r="F19" s="37" t="s">
        <v>1725</v>
      </c>
      <c r="G19" s="44" t="s">
        <v>42</v>
      </c>
      <c r="H19" s="44" t="s">
        <v>43</v>
      </c>
      <c r="I19" s="44" t="s">
        <v>44</v>
      </c>
      <c r="J19" s="37" t="s">
        <v>4400</v>
      </c>
      <c r="K19" s="37" t="s">
        <v>46</v>
      </c>
      <c r="L19" s="37" t="s">
        <v>47</v>
      </c>
      <c r="M19" s="37" t="s">
        <v>48</v>
      </c>
      <c r="N19" s="46" t="s">
        <v>4883</v>
      </c>
      <c r="O19" s="76" t="s">
        <v>328</v>
      </c>
      <c r="P19" s="37" t="s">
        <v>4402</v>
      </c>
      <c r="Q19" s="37" t="s">
        <v>51</v>
      </c>
      <c r="R19" s="104" t="s">
        <v>4416</v>
      </c>
      <c r="S19" s="37" t="s">
        <v>52</v>
      </c>
      <c r="T19" s="37" t="s">
        <v>4531</v>
      </c>
      <c r="U19" s="37" t="s">
        <v>4532</v>
      </c>
      <c r="V19" s="45"/>
      <c r="W19" s="45"/>
      <c r="X19" s="45"/>
      <c r="Y19" s="45"/>
      <c r="Z19" s="37" t="s">
        <v>1728</v>
      </c>
      <c r="AA19" s="37" t="s">
        <v>88</v>
      </c>
      <c r="AB19" s="37" t="s">
        <v>57</v>
      </c>
      <c r="AD19" s="37">
        <v>31.14</v>
      </c>
      <c r="AE19" s="37">
        <v>31.14</v>
      </c>
      <c r="AG19" s="47" t="s">
        <v>4417</v>
      </c>
      <c r="AH19" s="47" t="s">
        <v>4421</v>
      </c>
      <c r="AK19" s="37" t="s">
        <v>58</v>
      </c>
      <c r="AL19" s="37">
        <v>59.9</v>
      </c>
      <c r="AM19" t="s">
        <v>5520</v>
      </c>
      <c r="AN19" s="74" t="s">
        <v>5636</v>
      </c>
    </row>
    <row r="20" spans="1:40" s="37" customFormat="1" ht="14.25" customHeight="1" x14ac:dyDescent="0.3">
      <c r="A20" s="37" t="s">
        <v>4855</v>
      </c>
      <c r="B20" s="37" t="s">
        <v>4756</v>
      </c>
      <c r="C20" s="37" t="s">
        <v>4856</v>
      </c>
      <c r="D20" s="37" t="s">
        <v>4826</v>
      </c>
      <c r="E20" s="39" t="s">
        <v>4854</v>
      </c>
      <c r="F20" s="37" t="s">
        <v>1725</v>
      </c>
      <c r="G20" s="44" t="s">
        <v>42</v>
      </c>
      <c r="H20" s="44" t="s">
        <v>43</v>
      </c>
      <c r="I20" s="44" t="s">
        <v>44</v>
      </c>
      <c r="J20" s="37" t="s">
        <v>4400</v>
      </c>
      <c r="K20" s="37" t="s">
        <v>46</v>
      </c>
      <c r="L20" s="37" t="s">
        <v>242</v>
      </c>
      <c r="M20" s="37" t="s">
        <v>48</v>
      </c>
      <c r="N20" s="46" t="s">
        <v>4880</v>
      </c>
      <c r="O20" s="76" t="s">
        <v>61</v>
      </c>
      <c r="P20" s="37" t="s">
        <v>4402</v>
      </c>
      <c r="Q20" s="37" t="s">
        <v>68</v>
      </c>
      <c r="R20" s="104" t="s">
        <v>4416</v>
      </c>
      <c r="S20" s="37" t="s">
        <v>52</v>
      </c>
      <c r="T20" s="37" t="s">
        <v>4531</v>
      </c>
      <c r="U20" s="37" t="s">
        <v>4532</v>
      </c>
      <c r="V20" s="45"/>
      <c r="W20" s="45"/>
      <c r="X20" s="45"/>
      <c r="Y20" s="45"/>
      <c r="Z20" s="37" t="s">
        <v>1728</v>
      </c>
      <c r="AA20" s="37" t="s">
        <v>88</v>
      </c>
      <c r="AB20" s="37" t="s">
        <v>57</v>
      </c>
      <c r="AD20" s="37">
        <v>28.5</v>
      </c>
      <c r="AE20" s="37">
        <v>28.5</v>
      </c>
      <c r="AG20" s="47" t="s">
        <v>4558</v>
      </c>
      <c r="AH20" s="47" t="s">
        <v>4555</v>
      </c>
      <c r="AK20" s="37" t="s">
        <v>58</v>
      </c>
      <c r="AL20" s="37">
        <v>59.9</v>
      </c>
      <c r="AM20" t="s">
        <v>5520</v>
      </c>
      <c r="AN20" s="74" t="s">
        <v>5636</v>
      </c>
    </row>
    <row r="21" spans="1:40" s="37" customFormat="1" ht="14.25" customHeight="1" x14ac:dyDescent="0.3">
      <c r="A21" s="37" t="s">
        <v>4855</v>
      </c>
      <c r="B21" s="37" t="s">
        <v>4757</v>
      </c>
      <c r="C21" s="37" t="s">
        <v>4856</v>
      </c>
      <c r="D21" s="37" t="s">
        <v>4827</v>
      </c>
      <c r="E21" s="39" t="s">
        <v>4854</v>
      </c>
      <c r="F21" s="37" t="s">
        <v>1725</v>
      </c>
      <c r="G21" s="44" t="s">
        <v>42</v>
      </c>
      <c r="H21" s="44" t="s">
        <v>43</v>
      </c>
      <c r="I21" s="44" t="s">
        <v>44</v>
      </c>
      <c r="J21" s="37" t="s">
        <v>4400</v>
      </c>
      <c r="K21" s="37" t="s">
        <v>46</v>
      </c>
      <c r="L21" s="37" t="s">
        <v>242</v>
      </c>
      <c r="M21" s="37" t="s">
        <v>48</v>
      </c>
      <c r="N21" s="46" t="s">
        <v>4883</v>
      </c>
      <c r="O21" s="76" t="s">
        <v>328</v>
      </c>
      <c r="P21" s="37" t="s">
        <v>4402</v>
      </c>
      <c r="Q21" s="37" t="s">
        <v>68</v>
      </c>
      <c r="R21" s="104" t="s">
        <v>4416</v>
      </c>
      <c r="S21" s="37" t="s">
        <v>52</v>
      </c>
      <c r="T21" s="37" t="s">
        <v>4531</v>
      </c>
      <c r="U21" s="37" t="s">
        <v>4532</v>
      </c>
      <c r="V21" s="45"/>
      <c r="W21" s="45"/>
      <c r="X21" s="45"/>
      <c r="Y21" s="45"/>
      <c r="Z21" s="37" t="s">
        <v>1728</v>
      </c>
      <c r="AA21" s="37" t="s">
        <v>88</v>
      </c>
      <c r="AB21" s="37" t="s">
        <v>57</v>
      </c>
      <c r="AD21" s="37">
        <v>28.5</v>
      </c>
      <c r="AE21" s="37">
        <v>28.5</v>
      </c>
      <c r="AG21" s="47" t="s">
        <v>4558</v>
      </c>
      <c r="AH21" s="47" t="s">
        <v>4555</v>
      </c>
      <c r="AK21" s="37" t="s">
        <v>58</v>
      </c>
      <c r="AL21" s="37">
        <v>59.9</v>
      </c>
      <c r="AM21" t="s">
        <v>5520</v>
      </c>
      <c r="AN21" s="74" t="s">
        <v>5636</v>
      </c>
    </row>
    <row r="22" spans="1:40" s="37" customFormat="1" ht="14.25" customHeight="1" x14ac:dyDescent="0.3">
      <c r="A22" s="37" t="s">
        <v>4855</v>
      </c>
      <c r="B22" s="37" t="s">
        <v>4758</v>
      </c>
      <c r="C22" s="37" t="s">
        <v>4856</v>
      </c>
      <c r="D22" s="37" t="s">
        <v>4828</v>
      </c>
      <c r="E22" s="39" t="s">
        <v>4854</v>
      </c>
      <c r="F22" s="37" t="s">
        <v>1725</v>
      </c>
      <c r="G22" s="44" t="s">
        <v>42</v>
      </c>
      <c r="H22" s="44" t="s">
        <v>43</v>
      </c>
      <c r="I22" s="44" t="s">
        <v>44</v>
      </c>
      <c r="J22" s="37" t="s">
        <v>4400</v>
      </c>
      <c r="K22" s="37" t="s">
        <v>46</v>
      </c>
      <c r="L22" s="37" t="s">
        <v>242</v>
      </c>
      <c r="M22" s="37" t="s">
        <v>48</v>
      </c>
      <c r="N22" s="46" t="s">
        <v>4878</v>
      </c>
      <c r="O22" s="76" t="s">
        <v>61</v>
      </c>
      <c r="P22" s="37" t="s">
        <v>4402</v>
      </c>
      <c r="Q22" s="37" t="s">
        <v>68</v>
      </c>
      <c r="R22" s="104" t="s">
        <v>4416</v>
      </c>
      <c r="S22" s="37" t="s">
        <v>52</v>
      </c>
      <c r="T22" s="37" t="s">
        <v>4531</v>
      </c>
      <c r="U22" s="37" t="s">
        <v>4532</v>
      </c>
      <c r="V22" s="45"/>
      <c r="W22" s="45"/>
      <c r="X22" s="45"/>
      <c r="Y22" s="45"/>
      <c r="Z22" s="37" t="s">
        <v>1728</v>
      </c>
      <c r="AA22" s="37" t="s">
        <v>88</v>
      </c>
      <c r="AB22" s="37" t="s">
        <v>57</v>
      </c>
      <c r="AD22" s="37">
        <v>27.71</v>
      </c>
      <c r="AE22" s="37">
        <v>27.71</v>
      </c>
      <c r="AG22" s="47" t="s">
        <v>4558</v>
      </c>
      <c r="AH22" s="47" t="s">
        <v>4555</v>
      </c>
      <c r="AK22" s="37" t="s">
        <v>58</v>
      </c>
      <c r="AL22" s="37">
        <v>59.9</v>
      </c>
      <c r="AM22" t="s">
        <v>5520</v>
      </c>
      <c r="AN22" s="74" t="s">
        <v>5636</v>
      </c>
    </row>
    <row r="23" spans="1:40" s="37" customFormat="1" ht="14.25" customHeight="1" x14ac:dyDescent="0.3">
      <c r="A23" s="37" t="s">
        <v>4855</v>
      </c>
      <c r="B23" s="37" t="s">
        <v>4759</v>
      </c>
      <c r="C23" s="37" t="s">
        <v>4856</v>
      </c>
      <c r="D23" s="37" t="s">
        <v>4829</v>
      </c>
      <c r="E23" s="39" t="s">
        <v>4854</v>
      </c>
      <c r="F23" s="37" t="s">
        <v>1725</v>
      </c>
      <c r="G23" s="44" t="s">
        <v>42</v>
      </c>
      <c r="H23" s="44" t="s">
        <v>43</v>
      </c>
      <c r="I23" s="44" t="s">
        <v>44</v>
      </c>
      <c r="J23" s="37" t="s">
        <v>4400</v>
      </c>
      <c r="K23" s="37" t="s">
        <v>46</v>
      </c>
      <c r="L23" s="37" t="s">
        <v>242</v>
      </c>
      <c r="M23" s="37" t="s">
        <v>48</v>
      </c>
      <c r="N23" s="46" t="s">
        <v>4879</v>
      </c>
      <c r="O23" s="76" t="s">
        <v>61</v>
      </c>
      <c r="P23" s="37" t="s">
        <v>4402</v>
      </c>
      <c r="Q23" s="37" t="s">
        <v>68</v>
      </c>
      <c r="R23" s="104" t="s">
        <v>4416</v>
      </c>
      <c r="S23" s="37" t="s">
        <v>52</v>
      </c>
      <c r="T23" s="37" t="s">
        <v>4531</v>
      </c>
      <c r="U23" s="37" t="s">
        <v>4532</v>
      </c>
      <c r="V23" s="45"/>
      <c r="W23" s="45"/>
      <c r="X23" s="45"/>
      <c r="Y23" s="45"/>
      <c r="Z23" s="37" t="s">
        <v>1728</v>
      </c>
      <c r="AA23" s="37" t="s">
        <v>88</v>
      </c>
      <c r="AB23" s="37" t="s">
        <v>57</v>
      </c>
      <c r="AD23" s="37">
        <v>27.72</v>
      </c>
      <c r="AE23" s="37">
        <v>27.72</v>
      </c>
      <c r="AG23" s="47" t="s">
        <v>4558</v>
      </c>
      <c r="AH23" s="47" t="s">
        <v>4555</v>
      </c>
      <c r="AK23" s="37" t="s">
        <v>58</v>
      </c>
      <c r="AL23" s="37">
        <v>59.9</v>
      </c>
      <c r="AM23" t="s">
        <v>5520</v>
      </c>
      <c r="AN23" s="74" t="s">
        <v>5636</v>
      </c>
    </row>
    <row r="24" spans="1:40" s="37" customFormat="1" ht="14.25" customHeight="1" x14ac:dyDescent="0.3">
      <c r="A24" s="37" t="s">
        <v>4855</v>
      </c>
      <c r="B24" s="37" t="s">
        <v>4760</v>
      </c>
      <c r="C24" s="37" t="s">
        <v>4856</v>
      </c>
      <c r="D24" s="37" t="s">
        <v>4830</v>
      </c>
      <c r="E24" s="39" t="s">
        <v>4854</v>
      </c>
      <c r="F24" s="37" t="s">
        <v>1725</v>
      </c>
      <c r="G24" s="44" t="s">
        <v>42</v>
      </c>
      <c r="H24" s="44" t="s">
        <v>43</v>
      </c>
      <c r="I24" s="44" t="s">
        <v>44</v>
      </c>
      <c r="J24" s="37" t="s">
        <v>4400</v>
      </c>
      <c r="K24" s="37" t="s">
        <v>46</v>
      </c>
      <c r="L24" s="37" t="s">
        <v>242</v>
      </c>
      <c r="M24" s="37" t="s">
        <v>48</v>
      </c>
      <c r="N24" s="46" t="s">
        <v>4880</v>
      </c>
      <c r="O24" s="76" t="s">
        <v>61</v>
      </c>
      <c r="P24" s="37" t="s">
        <v>4402</v>
      </c>
      <c r="Q24" s="37" t="s">
        <v>68</v>
      </c>
      <c r="R24" s="104" t="s">
        <v>4416</v>
      </c>
      <c r="S24" s="37" t="s">
        <v>52</v>
      </c>
      <c r="T24" s="37" t="s">
        <v>4531</v>
      </c>
      <c r="U24" s="37" t="s">
        <v>4532</v>
      </c>
      <c r="V24" s="45"/>
      <c r="W24" s="45"/>
      <c r="X24" s="45"/>
      <c r="Y24" s="45"/>
      <c r="Z24" s="37" t="s">
        <v>1728</v>
      </c>
      <c r="AA24" s="37" t="s">
        <v>88</v>
      </c>
      <c r="AB24" s="37" t="s">
        <v>57</v>
      </c>
      <c r="AD24" s="37">
        <v>27.69</v>
      </c>
      <c r="AE24" s="37">
        <v>27.69</v>
      </c>
      <c r="AG24" s="47" t="s">
        <v>4558</v>
      </c>
      <c r="AH24" s="47" t="s">
        <v>4555</v>
      </c>
      <c r="AK24" s="37" t="s">
        <v>58</v>
      </c>
      <c r="AL24" s="37">
        <v>59.9</v>
      </c>
      <c r="AM24" t="s">
        <v>5520</v>
      </c>
      <c r="AN24" s="74" t="s">
        <v>5636</v>
      </c>
    </row>
    <row r="25" spans="1:40" s="37" customFormat="1" ht="14.25" customHeight="1" x14ac:dyDescent="0.3">
      <c r="A25" s="37" t="s">
        <v>4855</v>
      </c>
      <c r="B25" s="37" t="s">
        <v>4761</v>
      </c>
      <c r="C25" s="37" t="s">
        <v>4856</v>
      </c>
      <c r="D25" s="37" t="s">
        <v>4831</v>
      </c>
      <c r="E25" s="39" t="s">
        <v>4854</v>
      </c>
      <c r="F25" s="37" t="s">
        <v>1725</v>
      </c>
      <c r="G25" s="44" t="s">
        <v>42</v>
      </c>
      <c r="H25" s="44" t="s">
        <v>43</v>
      </c>
      <c r="I25" s="44" t="s">
        <v>44</v>
      </c>
      <c r="J25" s="37" t="s">
        <v>4400</v>
      </c>
      <c r="K25" s="37" t="s">
        <v>46</v>
      </c>
      <c r="L25" s="37" t="s">
        <v>242</v>
      </c>
      <c r="M25" s="37" t="s">
        <v>48</v>
      </c>
      <c r="N25" s="79" t="s">
        <v>4882</v>
      </c>
      <c r="O25" s="76" t="s">
        <v>64</v>
      </c>
      <c r="P25" s="37" t="s">
        <v>4402</v>
      </c>
      <c r="Q25" s="37" t="s">
        <v>68</v>
      </c>
      <c r="R25" s="104" t="s">
        <v>4416</v>
      </c>
      <c r="S25" s="37" t="s">
        <v>52</v>
      </c>
      <c r="T25" s="37" t="s">
        <v>4531</v>
      </c>
      <c r="U25" s="37" t="s">
        <v>4532</v>
      </c>
      <c r="V25" s="45"/>
      <c r="W25" s="45"/>
      <c r="X25" s="45"/>
      <c r="Y25" s="45"/>
      <c r="Z25" s="37" t="s">
        <v>1728</v>
      </c>
      <c r="AA25" s="37" t="s">
        <v>88</v>
      </c>
      <c r="AB25" s="37" t="s">
        <v>57</v>
      </c>
      <c r="AD25" s="37">
        <v>27.88</v>
      </c>
      <c r="AE25" s="37">
        <v>27.88</v>
      </c>
      <c r="AG25" s="47" t="s">
        <v>4558</v>
      </c>
      <c r="AH25" s="47" t="s">
        <v>4555</v>
      </c>
      <c r="AK25" s="37" t="s">
        <v>58</v>
      </c>
      <c r="AL25" s="37">
        <v>59.9</v>
      </c>
      <c r="AM25" t="s">
        <v>5520</v>
      </c>
      <c r="AN25" s="74" t="s">
        <v>5636</v>
      </c>
    </row>
    <row r="26" spans="1:40" s="37" customFormat="1" ht="14.25" customHeight="1" x14ac:dyDescent="0.3">
      <c r="A26" s="37" t="s">
        <v>4855</v>
      </c>
      <c r="B26" s="37" t="s">
        <v>4762</v>
      </c>
      <c r="C26" s="37" t="s">
        <v>4856</v>
      </c>
      <c r="D26" s="37" t="s">
        <v>4832</v>
      </c>
      <c r="E26" s="39" t="s">
        <v>4854</v>
      </c>
      <c r="F26" s="37" t="s">
        <v>1725</v>
      </c>
      <c r="G26" s="44" t="s">
        <v>42</v>
      </c>
      <c r="H26" s="44" t="s">
        <v>43</v>
      </c>
      <c r="I26" s="44" t="s">
        <v>44</v>
      </c>
      <c r="J26" s="37" t="s">
        <v>4400</v>
      </c>
      <c r="K26" s="37" t="s">
        <v>46</v>
      </c>
      <c r="L26" s="37" t="s">
        <v>242</v>
      </c>
      <c r="M26" s="37" t="s">
        <v>48</v>
      </c>
      <c r="N26" s="99" t="s">
        <v>4881</v>
      </c>
      <c r="O26" s="76" t="s">
        <v>586</v>
      </c>
      <c r="P26" s="37" t="s">
        <v>4402</v>
      </c>
      <c r="Q26" s="37" t="s">
        <v>68</v>
      </c>
      <c r="R26" s="104" t="s">
        <v>4416</v>
      </c>
      <c r="S26" s="37" t="s">
        <v>52</v>
      </c>
      <c r="T26" s="37" t="s">
        <v>4531</v>
      </c>
      <c r="U26" s="37" t="s">
        <v>4532</v>
      </c>
      <c r="V26" s="45"/>
      <c r="W26" s="45"/>
      <c r="X26" s="45"/>
      <c r="Y26" s="45"/>
      <c r="Z26" s="37" t="s">
        <v>1728</v>
      </c>
      <c r="AA26" s="37" t="s">
        <v>88</v>
      </c>
      <c r="AB26" s="37" t="s">
        <v>57</v>
      </c>
      <c r="AD26" s="37">
        <v>27.62</v>
      </c>
      <c r="AE26" s="37">
        <v>27.62</v>
      </c>
      <c r="AG26" s="47" t="s">
        <v>4558</v>
      </c>
      <c r="AH26" s="47" t="s">
        <v>4555</v>
      </c>
      <c r="AK26" s="37" t="s">
        <v>58</v>
      </c>
      <c r="AL26" s="37">
        <v>59.9</v>
      </c>
      <c r="AM26" t="s">
        <v>5520</v>
      </c>
      <c r="AN26" s="74" t="s">
        <v>5636</v>
      </c>
    </row>
    <row r="27" spans="1:40" s="37" customFormat="1" ht="14.25" customHeight="1" x14ac:dyDescent="0.3">
      <c r="A27" s="37" t="s">
        <v>4855</v>
      </c>
      <c r="B27" s="37" t="s">
        <v>4763</v>
      </c>
      <c r="C27" s="37" t="s">
        <v>4856</v>
      </c>
      <c r="D27" s="37" t="s">
        <v>4833</v>
      </c>
      <c r="E27" s="39" t="s">
        <v>4854</v>
      </c>
      <c r="F27" s="37" t="s">
        <v>1725</v>
      </c>
      <c r="G27" s="44" t="s">
        <v>42</v>
      </c>
      <c r="H27" s="44" t="s">
        <v>43</v>
      </c>
      <c r="I27" s="44" t="s">
        <v>44</v>
      </c>
      <c r="J27" s="37" t="s">
        <v>4400</v>
      </c>
      <c r="K27" s="37" t="s">
        <v>46</v>
      </c>
      <c r="L27" s="37" t="s">
        <v>242</v>
      </c>
      <c r="M27" s="37" t="s">
        <v>48</v>
      </c>
      <c r="N27" s="99" t="s">
        <v>4883</v>
      </c>
      <c r="O27" s="76" t="s">
        <v>328</v>
      </c>
      <c r="P27" s="37" t="s">
        <v>4402</v>
      </c>
      <c r="Q27" s="37" t="s">
        <v>68</v>
      </c>
      <c r="R27" s="104" t="s">
        <v>4416</v>
      </c>
      <c r="S27" s="37" t="s">
        <v>52</v>
      </c>
      <c r="T27" s="37" t="s">
        <v>4531</v>
      </c>
      <c r="U27" s="37" t="s">
        <v>4532</v>
      </c>
      <c r="V27" s="45"/>
      <c r="W27" s="45"/>
      <c r="X27" s="45"/>
      <c r="Y27" s="45"/>
      <c r="Z27" s="37" t="s">
        <v>1728</v>
      </c>
      <c r="AA27" s="37" t="s">
        <v>88</v>
      </c>
      <c r="AB27" s="37" t="s">
        <v>57</v>
      </c>
      <c r="AD27" s="37">
        <v>27.61</v>
      </c>
      <c r="AE27" s="37">
        <v>27.61</v>
      </c>
      <c r="AG27" s="47" t="s">
        <v>4558</v>
      </c>
      <c r="AH27" s="47" t="s">
        <v>4555</v>
      </c>
      <c r="AK27" s="37" t="s">
        <v>58</v>
      </c>
      <c r="AL27" s="37">
        <v>59.9</v>
      </c>
      <c r="AM27" t="s">
        <v>5520</v>
      </c>
      <c r="AN27" s="74" t="s">
        <v>5636</v>
      </c>
    </row>
    <row r="28" spans="1:40" s="37" customFormat="1" ht="14.25" customHeight="1" x14ac:dyDescent="0.3">
      <c r="A28" s="37" t="s">
        <v>4861</v>
      </c>
      <c r="B28" s="37" t="s">
        <v>4764</v>
      </c>
      <c r="C28" s="37" t="s">
        <v>4857</v>
      </c>
      <c r="D28" s="37" t="s">
        <v>4834</v>
      </c>
      <c r="E28" s="39" t="s">
        <v>4863</v>
      </c>
      <c r="F28" s="37" t="s">
        <v>1725</v>
      </c>
      <c r="G28" s="44" t="s">
        <v>42</v>
      </c>
      <c r="H28" s="44" t="s">
        <v>43</v>
      </c>
      <c r="I28" s="44" t="s">
        <v>44</v>
      </c>
      <c r="J28" s="37" t="s">
        <v>4400</v>
      </c>
      <c r="K28" s="37" t="s">
        <v>85</v>
      </c>
      <c r="L28" s="37" t="s">
        <v>1008</v>
      </c>
      <c r="M28" s="37" t="s">
        <v>48</v>
      </c>
      <c r="N28" s="99" t="s">
        <v>4884</v>
      </c>
      <c r="O28" s="76" t="s">
        <v>61</v>
      </c>
      <c r="P28" s="37" t="s">
        <v>4402</v>
      </c>
      <c r="Q28" s="37" t="s">
        <v>51</v>
      </c>
      <c r="R28" s="104" t="s">
        <v>4415</v>
      </c>
      <c r="S28" s="37" t="s">
        <v>52</v>
      </c>
      <c r="T28" s="37" t="s">
        <v>4531</v>
      </c>
      <c r="U28" s="37" t="s">
        <v>4532</v>
      </c>
      <c r="V28" s="45"/>
      <c r="W28" s="45"/>
      <c r="X28" s="45"/>
      <c r="Y28" s="45"/>
      <c r="Z28" s="37" t="s">
        <v>1728</v>
      </c>
      <c r="AA28" s="37" t="s">
        <v>88</v>
      </c>
      <c r="AB28" s="37" t="s">
        <v>57</v>
      </c>
      <c r="AD28" s="37">
        <v>16</v>
      </c>
      <c r="AE28" s="37">
        <v>16</v>
      </c>
      <c r="AG28" s="47" t="s">
        <v>4417</v>
      </c>
      <c r="AH28" s="47" t="s">
        <v>4420</v>
      </c>
      <c r="AK28" s="37" t="s">
        <v>58</v>
      </c>
      <c r="AL28" s="37">
        <v>56.9</v>
      </c>
      <c r="AM28" t="s">
        <v>5520</v>
      </c>
      <c r="AN28" s="74" t="s">
        <v>5644</v>
      </c>
    </row>
    <row r="29" spans="1:40" s="37" customFormat="1" ht="14.25" customHeight="1" x14ac:dyDescent="0.3">
      <c r="A29" s="37" t="s">
        <v>4861</v>
      </c>
      <c r="B29" s="37" t="s">
        <v>4765</v>
      </c>
      <c r="C29" s="37" t="s">
        <v>4857</v>
      </c>
      <c r="D29" s="37" t="s">
        <v>4835</v>
      </c>
      <c r="E29" s="39" t="s">
        <v>4863</v>
      </c>
      <c r="F29" s="37" t="s">
        <v>1725</v>
      </c>
      <c r="G29" s="44" t="s">
        <v>42</v>
      </c>
      <c r="H29" s="44" t="s">
        <v>43</v>
      </c>
      <c r="I29" s="44" t="s">
        <v>44</v>
      </c>
      <c r="J29" s="37" t="s">
        <v>4400</v>
      </c>
      <c r="K29" s="37" t="s">
        <v>85</v>
      </c>
      <c r="L29" s="37" t="s">
        <v>1008</v>
      </c>
      <c r="M29" s="37" t="s">
        <v>48</v>
      </c>
      <c r="N29" s="99" t="s">
        <v>4885</v>
      </c>
      <c r="O29" s="76" t="s">
        <v>586</v>
      </c>
      <c r="P29" s="37" t="s">
        <v>4402</v>
      </c>
      <c r="Q29" s="37" t="s">
        <v>51</v>
      </c>
      <c r="R29" s="104" t="s">
        <v>4415</v>
      </c>
      <c r="S29" s="37" t="s">
        <v>52</v>
      </c>
      <c r="T29" s="37" t="s">
        <v>4531</v>
      </c>
      <c r="U29" s="37" t="s">
        <v>4532</v>
      </c>
      <c r="V29" s="45"/>
      <c r="W29" s="45"/>
      <c r="X29" s="45"/>
      <c r="Y29" s="45"/>
      <c r="Z29" s="37" t="s">
        <v>1728</v>
      </c>
      <c r="AA29" s="37" t="s">
        <v>88</v>
      </c>
      <c r="AB29" s="37" t="s">
        <v>57</v>
      </c>
      <c r="AD29" s="37">
        <v>16</v>
      </c>
      <c r="AE29" s="37">
        <v>16</v>
      </c>
      <c r="AG29" s="47" t="s">
        <v>4417</v>
      </c>
      <c r="AH29" s="47" t="s">
        <v>4420</v>
      </c>
      <c r="AK29" s="37" t="s">
        <v>58</v>
      </c>
      <c r="AL29" s="37">
        <v>56.9</v>
      </c>
      <c r="AM29" t="s">
        <v>5520</v>
      </c>
      <c r="AN29" s="74" t="s">
        <v>5644</v>
      </c>
    </row>
    <row r="30" spans="1:40" s="37" customFormat="1" ht="14.25" customHeight="1" x14ac:dyDescent="0.3">
      <c r="A30" s="37" t="s">
        <v>4861</v>
      </c>
      <c r="B30" s="37" t="s">
        <v>4766</v>
      </c>
      <c r="C30" s="37" t="s">
        <v>4857</v>
      </c>
      <c r="D30" s="37" t="s">
        <v>4836</v>
      </c>
      <c r="E30" s="39" t="s">
        <v>4863</v>
      </c>
      <c r="F30" s="37" t="s">
        <v>1725</v>
      </c>
      <c r="G30" s="44" t="s">
        <v>42</v>
      </c>
      <c r="H30" s="44" t="s">
        <v>43</v>
      </c>
      <c r="I30" s="44" t="s">
        <v>44</v>
      </c>
      <c r="J30" s="37" t="s">
        <v>4400</v>
      </c>
      <c r="K30" s="37" t="s">
        <v>85</v>
      </c>
      <c r="L30" s="37" t="s">
        <v>1008</v>
      </c>
      <c r="M30" s="37" t="s">
        <v>48</v>
      </c>
      <c r="N30" s="99" t="s">
        <v>4886</v>
      </c>
      <c r="O30" s="76" t="s">
        <v>3268</v>
      </c>
      <c r="P30" s="37" t="s">
        <v>4402</v>
      </c>
      <c r="Q30" s="37" t="s">
        <v>51</v>
      </c>
      <c r="R30" s="104" t="s">
        <v>4415</v>
      </c>
      <c r="S30" s="37" t="s">
        <v>52</v>
      </c>
      <c r="T30" s="37" t="s">
        <v>4531</v>
      </c>
      <c r="U30" s="37" t="s">
        <v>4532</v>
      </c>
      <c r="V30" s="45"/>
      <c r="W30" s="45"/>
      <c r="X30" s="45"/>
      <c r="Y30" s="45"/>
      <c r="Z30" s="37" t="s">
        <v>1728</v>
      </c>
      <c r="AA30" s="37" t="s">
        <v>88</v>
      </c>
      <c r="AB30" s="37" t="s">
        <v>57</v>
      </c>
      <c r="AD30" s="37">
        <v>16</v>
      </c>
      <c r="AE30" s="37">
        <v>16</v>
      </c>
      <c r="AG30" s="47" t="s">
        <v>4417</v>
      </c>
      <c r="AH30" s="47" t="s">
        <v>4420</v>
      </c>
      <c r="AK30" s="37" t="s">
        <v>58</v>
      </c>
      <c r="AL30" s="37">
        <v>56.9</v>
      </c>
      <c r="AM30" t="s">
        <v>5520</v>
      </c>
      <c r="AN30" s="74" t="s">
        <v>5644</v>
      </c>
    </row>
    <row r="31" spans="1:40" s="37" customFormat="1" ht="14.25" customHeight="1" x14ac:dyDescent="0.3">
      <c r="A31" s="37" t="s">
        <v>4998</v>
      </c>
      <c r="B31" s="37" t="s">
        <v>5001</v>
      </c>
      <c r="C31" s="94" t="s">
        <v>5000</v>
      </c>
      <c r="D31" s="37" t="s">
        <v>5013</v>
      </c>
      <c r="E31" s="39" t="s">
        <v>5025</v>
      </c>
      <c r="F31" s="37" t="s">
        <v>1725</v>
      </c>
      <c r="G31" s="44" t="s">
        <v>42</v>
      </c>
      <c r="H31" s="44" t="s">
        <v>43</v>
      </c>
      <c r="I31" s="44" t="s">
        <v>44</v>
      </c>
      <c r="J31" s="37" t="s">
        <v>4400</v>
      </c>
      <c r="K31" s="37" t="s">
        <v>46</v>
      </c>
      <c r="L31" s="37" t="s">
        <v>47</v>
      </c>
      <c r="M31" s="37" t="s">
        <v>48</v>
      </c>
      <c r="N31" s="49" t="s">
        <v>49</v>
      </c>
      <c r="O31" s="78" t="s">
        <v>61</v>
      </c>
      <c r="P31" s="37" t="s">
        <v>4999</v>
      </c>
      <c r="Q31" s="37" t="s">
        <v>51</v>
      </c>
      <c r="R31" s="37">
        <v>2</v>
      </c>
      <c r="S31" s="37" t="s">
        <v>52</v>
      </c>
      <c r="T31" s="37" t="s">
        <v>4531</v>
      </c>
      <c r="U31" s="37" t="s">
        <v>4532</v>
      </c>
      <c r="V31" s="45"/>
      <c r="W31" s="45"/>
      <c r="X31" s="45"/>
      <c r="Y31" s="45"/>
      <c r="Z31" s="37" t="s">
        <v>1728</v>
      </c>
      <c r="AA31" s="37" t="s">
        <v>88</v>
      </c>
      <c r="AB31" s="37" t="s">
        <v>57</v>
      </c>
      <c r="AD31" s="37">
        <v>33.119999999999997</v>
      </c>
      <c r="AE31" s="37">
        <v>33.119999999999997</v>
      </c>
      <c r="AG31" s="37">
        <v>1.44</v>
      </c>
      <c r="AH31" s="37">
        <v>46.08</v>
      </c>
      <c r="AK31" s="37" t="s">
        <v>58</v>
      </c>
      <c r="AL31" s="37">
        <v>59.9</v>
      </c>
      <c r="AM31" t="s">
        <v>5520</v>
      </c>
      <c r="AN31" s="74" t="s">
        <v>5637</v>
      </c>
    </row>
    <row r="32" spans="1:40" s="37" customFormat="1" ht="14.25" customHeight="1" x14ac:dyDescent="0.3">
      <c r="A32" s="37" t="s">
        <v>4998</v>
      </c>
      <c r="B32" s="37" t="s">
        <v>5002</v>
      </c>
      <c r="C32" s="94" t="s">
        <v>5000</v>
      </c>
      <c r="D32" s="37" t="s">
        <v>5014</v>
      </c>
      <c r="E32" s="39" t="s">
        <v>5025</v>
      </c>
      <c r="F32" s="37" t="s">
        <v>1725</v>
      </c>
      <c r="G32" s="44" t="s">
        <v>42</v>
      </c>
      <c r="H32" s="44" t="s">
        <v>43</v>
      </c>
      <c r="I32" s="44" t="s">
        <v>44</v>
      </c>
      <c r="J32" s="37" t="s">
        <v>4400</v>
      </c>
      <c r="K32" s="37" t="s">
        <v>46</v>
      </c>
      <c r="L32" s="37" t="s">
        <v>47</v>
      </c>
      <c r="M32" s="37" t="s">
        <v>48</v>
      </c>
      <c r="N32" s="49" t="s">
        <v>5026</v>
      </c>
      <c r="O32" s="78" t="s">
        <v>61</v>
      </c>
      <c r="P32" s="37" t="s">
        <v>4999</v>
      </c>
      <c r="Q32" s="37" t="s">
        <v>51</v>
      </c>
      <c r="R32" s="37">
        <v>2</v>
      </c>
      <c r="S32" s="37" t="s">
        <v>52</v>
      </c>
      <c r="T32" s="37" t="s">
        <v>4531</v>
      </c>
      <c r="U32" s="37" t="s">
        <v>4532</v>
      </c>
      <c r="V32" s="45"/>
      <c r="W32" s="45"/>
      <c r="X32" s="45"/>
      <c r="Y32" s="45"/>
      <c r="Z32" s="37" t="s">
        <v>1728</v>
      </c>
      <c r="AA32" s="37" t="s">
        <v>88</v>
      </c>
      <c r="AB32" s="37" t="s">
        <v>57</v>
      </c>
      <c r="AD32" s="37">
        <v>33.119999999999997</v>
      </c>
      <c r="AE32" s="37">
        <v>33.119999999999997</v>
      </c>
      <c r="AG32" s="37">
        <v>1.44</v>
      </c>
      <c r="AH32" s="37">
        <v>46.08</v>
      </c>
      <c r="AK32" s="37" t="s">
        <v>58</v>
      </c>
      <c r="AL32" s="37">
        <v>59.9</v>
      </c>
      <c r="AM32" t="s">
        <v>5520</v>
      </c>
      <c r="AN32" s="74" t="s">
        <v>5637</v>
      </c>
    </row>
    <row r="33" spans="1:40" s="37" customFormat="1" ht="14.25" customHeight="1" x14ac:dyDescent="0.3">
      <c r="A33" s="37" t="s">
        <v>4998</v>
      </c>
      <c r="B33" s="37" t="s">
        <v>5003</v>
      </c>
      <c r="C33" s="94" t="s">
        <v>5000</v>
      </c>
      <c r="D33" s="37" t="s">
        <v>5015</v>
      </c>
      <c r="E33" s="39" t="s">
        <v>5025</v>
      </c>
      <c r="F33" s="37" t="s">
        <v>1725</v>
      </c>
      <c r="G33" s="44" t="s">
        <v>42</v>
      </c>
      <c r="H33" s="44" t="s">
        <v>43</v>
      </c>
      <c r="I33" s="44" t="s">
        <v>44</v>
      </c>
      <c r="J33" s="37" t="s">
        <v>4400</v>
      </c>
      <c r="K33" s="37" t="s">
        <v>46</v>
      </c>
      <c r="L33" s="37" t="s">
        <v>47</v>
      </c>
      <c r="M33" s="37" t="s">
        <v>48</v>
      </c>
      <c r="N33" s="49" t="s">
        <v>4986</v>
      </c>
      <c r="O33" s="78" t="s">
        <v>61</v>
      </c>
      <c r="P33" s="37" t="s">
        <v>4999</v>
      </c>
      <c r="Q33" s="37" t="s">
        <v>51</v>
      </c>
      <c r="R33" s="37">
        <v>2</v>
      </c>
      <c r="S33" s="37" t="s">
        <v>52</v>
      </c>
      <c r="T33" s="37" t="s">
        <v>4531</v>
      </c>
      <c r="U33" s="37" t="s">
        <v>4532</v>
      </c>
      <c r="V33" s="45"/>
      <c r="W33" s="45"/>
      <c r="X33" s="45"/>
      <c r="Y33" s="45"/>
      <c r="Z33" s="37" t="s">
        <v>1728</v>
      </c>
      <c r="AA33" s="37" t="s">
        <v>88</v>
      </c>
      <c r="AB33" s="37" t="s">
        <v>57</v>
      </c>
      <c r="AD33" s="37">
        <v>33.119999999999997</v>
      </c>
      <c r="AE33" s="37">
        <v>33.119999999999997</v>
      </c>
      <c r="AG33" s="37">
        <v>1.44</v>
      </c>
      <c r="AH33" s="37">
        <v>46.08</v>
      </c>
      <c r="AK33" s="37" t="s">
        <v>58</v>
      </c>
      <c r="AL33" s="37">
        <v>59.9</v>
      </c>
      <c r="AM33" t="s">
        <v>5520</v>
      </c>
      <c r="AN33" s="74" t="s">
        <v>5637</v>
      </c>
    </row>
    <row r="34" spans="1:40" s="37" customFormat="1" ht="14.25" customHeight="1" x14ac:dyDescent="0.3">
      <c r="A34" s="37" t="s">
        <v>4998</v>
      </c>
      <c r="B34" s="37" t="s">
        <v>5004</v>
      </c>
      <c r="C34" s="94" t="s">
        <v>5000</v>
      </c>
      <c r="D34" s="37" t="s">
        <v>5016</v>
      </c>
      <c r="E34" s="39" t="s">
        <v>5025</v>
      </c>
      <c r="F34" s="37" t="s">
        <v>1725</v>
      </c>
      <c r="G34" s="44" t="s">
        <v>42</v>
      </c>
      <c r="H34" s="44" t="s">
        <v>43</v>
      </c>
      <c r="I34" s="44" t="s">
        <v>44</v>
      </c>
      <c r="J34" s="37" t="s">
        <v>4400</v>
      </c>
      <c r="K34" s="37" t="s">
        <v>46</v>
      </c>
      <c r="L34" s="37" t="s">
        <v>47</v>
      </c>
      <c r="M34" s="37" t="s">
        <v>48</v>
      </c>
      <c r="N34" s="49" t="s">
        <v>599</v>
      </c>
      <c r="O34" s="78" t="s">
        <v>599</v>
      </c>
      <c r="P34" s="37" t="s">
        <v>4999</v>
      </c>
      <c r="Q34" s="37" t="s">
        <v>51</v>
      </c>
      <c r="R34" s="37">
        <v>2</v>
      </c>
      <c r="S34" s="37" t="s">
        <v>52</v>
      </c>
      <c r="T34" s="37" t="s">
        <v>4531</v>
      </c>
      <c r="U34" s="37" t="s">
        <v>4532</v>
      </c>
      <c r="V34" s="45"/>
      <c r="W34" s="45"/>
      <c r="X34" s="45"/>
      <c r="Y34" s="45"/>
      <c r="Z34" s="37" t="s">
        <v>1728</v>
      </c>
      <c r="AA34" s="37" t="s">
        <v>88</v>
      </c>
      <c r="AB34" s="37" t="s">
        <v>57</v>
      </c>
      <c r="AD34" s="37">
        <v>33.119999999999997</v>
      </c>
      <c r="AE34" s="37">
        <v>33.119999999999997</v>
      </c>
      <c r="AG34" s="37">
        <v>1.44</v>
      </c>
      <c r="AH34" s="37">
        <v>46.08</v>
      </c>
      <c r="AK34" s="37" t="s">
        <v>58</v>
      </c>
      <c r="AL34" s="37">
        <v>59.9</v>
      </c>
      <c r="AM34" t="s">
        <v>5520</v>
      </c>
      <c r="AN34" s="74" t="s">
        <v>5637</v>
      </c>
    </row>
    <row r="35" spans="1:40" s="37" customFormat="1" ht="14.25" customHeight="1" x14ac:dyDescent="0.3">
      <c r="A35" s="37" t="s">
        <v>4998</v>
      </c>
      <c r="B35" s="37" t="s">
        <v>5005</v>
      </c>
      <c r="C35" s="94" t="s">
        <v>5000</v>
      </c>
      <c r="D35" s="37" t="s">
        <v>5017</v>
      </c>
      <c r="E35" s="39" t="s">
        <v>5025</v>
      </c>
      <c r="F35" s="37" t="s">
        <v>1725</v>
      </c>
      <c r="G35" s="44" t="s">
        <v>42</v>
      </c>
      <c r="H35" s="44" t="s">
        <v>43</v>
      </c>
      <c r="I35" s="44" t="s">
        <v>44</v>
      </c>
      <c r="J35" s="37" t="s">
        <v>4400</v>
      </c>
      <c r="K35" s="37" t="s">
        <v>46</v>
      </c>
      <c r="L35" s="37" t="s">
        <v>242</v>
      </c>
      <c r="M35" s="37" t="s">
        <v>48</v>
      </c>
      <c r="N35" s="49" t="s">
        <v>49</v>
      </c>
      <c r="O35" s="78" t="s">
        <v>61</v>
      </c>
      <c r="P35" s="37" t="s">
        <v>4999</v>
      </c>
      <c r="Q35" s="94" t="s">
        <v>68</v>
      </c>
      <c r="R35" s="37">
        <v>2</v>
      </c>
      <c r="S35" s="37" t="s">
        <v>52</v>
      </c>
      <c r="T35" s="37" t="s">
        <v>4531</v>
      </c>
      <c r="U35" s="37" t="s">
        <v>4532</v>
      </c>
      <c r="V35" s="45"/>
      <c r="W35" s="45"/>
      <c r="X35" s="45"/>
      <c r="Y35" s="45"/>
      <c r="Z35" s="37" t="s">
        <v>1728</v>
      </c>
      <c r="AA35" s="37" t="s">
        <v>88</v>
      </c>
      <c r="AB35" s="37" t="s">
        <v>57</v>
      </c>
      <c r="AD35" s="37">
        <v>28.8</v>
      </c>
      <c r="AE35" s="37">
        <v>28.8</v>
      </c>
      <c r="AG35" s="37">
        <v>1.28</v>
      </c>
      <c r="AH35" s="37">
        <v>51.2</v>
      </c>
      <c r="AK35" s="37" t="s">
        <v>58</v>
      </c>
      <c r="AL35" s="37">
        <v>59.9</v>
      </c>
      <c r="AM35" t="s">
        <v>5520</v>
      </c>
      <c r="AN35" s="74" t="s">
        <v>5637</v>
      </c>
    </row>
    <row r="36" spans="1:40" s="37" customFormat="1" ht="14.25" customHeight="1" x14ac:dyDescent="0.3">
      <c r="A36" s="37" t="s">
        <v>4998</v>
      </c>
      <c r="B36" s="37" t="s">
        <v>5006</v>
      </c>
      <c r="C36" s="94" t="s">
        <v>5000</v>
      </c>
      <c r="D36" s="37" t="s">
        <v>5018</v>
      </c>
      <c r="E36" s="39" t="s">
        <v>5025</v>
      </c>
      <c r="F36" s="37" t="s">
        <v>1725</v>
      </c>
      <c r="G36" s="44" t="s">
        <v>42</v>
      </c>
      <c r="H36" s="44" t="s">
        <v>43</v>
      </c>
      <c r="I36" s="44" t="s">
        <v>44</v>
      </c>
      <c r="J36" s="37" t="s">
        <v>4400</v>
      </c>
      <c r="K36" s="37" t="s">
        <v>46</v>
      </c>
      <c r="L36" s="37" t="s">
        <v>242</v>
      </c>
      <c r="M36" s="37" t="s">
        <v>48</v>
      </c>
      <c r="N36" s="49" t="s">
        <v>49</v>
      </c>
      <c r="O36" s="78" t="s">
        <v>61</v>
      </c>
      <c r="P36" s="37" t="s">
        <v>4402</v>
      </c>
      <c r="Q36" s="94" t="s">
        <v>68</v>
      </c>
      <c r="R36" s="37">
        <v>1</v>
      </c>
      <c r="S36" s="37" t="s">
        <v>52</v>
      </c>
      <c r="T36" s="37" t="s">
        <v>4531</v>
      </c>
      <c r="U36" s="37" t="s">
        <v>4532</v>
      </c>
      <c r="V36" s="45"/>
      <c r="W36" s="45"/>
      <c r="X36" s="45"/>
      <c r="Y36" s="45"/>
      <c r="Z36" s="37" t="s">
        <v>1728</v>
      </c>
      <c r="AA36" s="37" t="s">
        <v>88</v>
      </c>
      <c r="AB36" s="37" t="s">
        <v>57</v>
      </c>
      <c r="AD36" s="37">
        <v>27.776</v>
      </c>
      <c r="AE36" s="37">
        <v>27.776</v>
      </c>
      <c r="AG36" s="37">
        <v>0.64</v>
      </c>
      <c r="AH36" s="37">
        <v>25.6</v>
      </c>
      <c r="AK36" s="37" t="s">
        <v>58</v>
      </c>
      <c r="AL36" s="37">
        <v>59.9</v>
      </c>
      <c r="AM36" t="s">
        <v>5520</v>
      </c>
      <c r="AN36" s="74" t="s">
        <v>5637</v>
      </c>
    </row>
    <row r="37" spans="1:40" s="37" customFormat="1" ht="14.25" customHeight="1" x14ac:dyDescent="0.3">
      <c r="A37" s="37" t="s">
        <v>4998</v>
      </c>
      <c r="B37" s="37" t="s">
        <v>5007</v>
      </c>
      <c r="C37" s="94" t="s">
        <v>5000</v>
      </c>
      <c r="D37" s="37" t="s">
        <v>5019</v>
      </c>
      <c r="E37" s="39" t="s">
        <v>5025</v>
      </c>
      <c r="F37" s="37" t="s">
        <v>1725</v>
      </c>
      <c r="G37" s="44" t="s">
        <v>42</v>
      </c>
      <c r="H37" s="44" t="s">
        <v>43</v>
      </c>
      <c r="I37" s="44" t="s">
        <v>44</v>
      </c>
      <c r="J37" s="37" t="s">
        <v>4400</v>
      </c>
      <c r="K37" s="37" t="s">
        <v>46</v>
      </c>
      <c r="L37" s="37" t="s">
        <v>242</v>
      </c>
      <c r="M37" s="37" t="s">
        <v>48</v>
      </c>
      <c r="N37" s="49" t="s">
        <v>5026</v>
      </c>
      <c r="O37" s="78" t="s">
        <v>61</v>
      </c>
      <c r="P37" s="37" t="s">
        <v>4999</v>
      </c>
      <c r="Q37" s="94" t="s">
        <v>68</v>
      </c>
      <c r="R37" s="37">
        <v>2</v>
      </c>
      <c r="S37" s="37" t="s">
        <v>52</v>
      </c>
      <c r="T37" s="37" t="s">
        <v>4531</v>
      </c>
      <c r="U37" s="37" t="s">
        <v>4532</v>
      </c>
      <c r="V37" s="45"/>
      <c r="W37" s="45"/>
      <c r="X37" s="45"/>
      <c r="Y37" s="45"/>
      <c r="Z37" s="37" t="s">
        <v>1728</v>
      </c>
      <c r="AA37" s="37" t="s">
        <v>88</v>
      </c>
      <c r="AB37" s="37" t="s">
        <v>57</v>
      </c>
      <c r="AD37" s="37">
        <v>28.8</v>
      </c>
      <c r="AE37" s="37">
        <v>28.8</v>
      </c>
      <c r="AG37" s="37">
        <v>1.28</v>
      </c>
      <c r="AH37" s="37">
        <v>51.2</v>
      </c>
      <c r="AK37" s="37" t="s">
        <v>58</v>
      </c>
      <c r="AL37" s="37">
        <v>59.9</v>
      </c>
      <c r="AM37" t="s">
        <v>5520</v>
      </c>
      <c r="AN37" s="74" t="s">
        <v>5637</v>
      </c>
    </row>
    <row r="38" spans="1:40" s="37" customFormat="1" ht="14.25" customHeight="1" x14ac:dyDescent="0.3">
      <c r="A38" s="37" t="s">
        <v>4998</v>
      </c>
      <c r="B38" s="37" t="s">
        <v>5008</v>
      </c>
      <c r="C38" s="94" t="s">
        <v>5000</v>
      </c>
      <c r="D38" s="37" t="s">
        <v>5020</v>
      </c>
      <c r="E38" s="39" t="s">
        <v>5025</v>
      </c>
      <c r="F38" s="37" t="s">
        <v>1725</v>
      </c>
      <c r="G38" s="44" t="s">
        <v>42</v>
      </c>
      <c r="H38" s="44" t="s">
        <v>43</v>
      </c>
      <c r="I38" s="44" t="s">
        <v>44</v>
      </c>
      <c r="J38" s="37" t="s">
        <v>4400</v>
      </c>
      <c r="K38" s="37" t="s">
        <v>46</v>
      </c>
      <c r="L38" s="37" t="s">
        <v>242</v>
      </c>
      <c r="M38" s="37" t="s">
        <v>48</v>
      </c>
      <c r="N38" s="49" t="s">
        <v>5026</v>
      </c>
      <c r="O38" s="78" t="s">
        <v>61</v>
      </c>
      <c r="P38" s="37" t="s">
        <v>4402</v>
      </c>
      <c r="Q38" s="94" t="s">
        <v>68</v>
      </c>
      <c r="R38" s="37">
        <v>1</v>
      </c>
      <c r="S38" s="37" t="s">
        <v>52</v>
      </c>
      <c r="T38" s="37" t="s">
        <v>4531</v>
      </c>
      <c r="U38" s="37" t="s">
        <v>4532</v>
      </c>
      <c r="V38" s="45"/>
      <c r="W38" s="45"/>
      <c r="X38" s="45"/>
      <c r="Y38" s="45"/>
      <c r="Z38" s="37" t="s">
        <v>1728</v>
      </c>
      <c r="AA38" s="37" t="s">
        <v>88</v>
      </c>
      <c r="AB38" s="37" t="s">
        <v>57</v>
      </c>
      <c r="AD38" s="37">
        <v>27.776</v>
      </c>
      <c r="AE38" s="37">
        <v>27.776</v>
      </c>
      <c r="AG38" s="37">
        <v>0.64</v>
      </c>
      <c r="AH38" s="37">
        <v>25.6</v>
      </c>
      <c r="AK38" s="37" t="s">
        <v>58</v>
      </c>
      <c r="AL38" s="37">
        <v>59.9</v>
      </c>
      <c r="AM38" t="s">
        <v>5520</v>
      </c>
      <c r="AN38" s="74" t="s">
        <v>5637</v>
      </c>
    </row>
    <row r="39" spans="1:40" s="37" customFormat="1" ht="14.25" customHeight="1" x14ac:dyDescent="0.3">
      <c r="A39" s="37" t="s">
        <v>4998</v>
      </c>
      <c r="B39" s="37" t="s">
        <v>5009</v>
      </c>
      <c r="C39" s="94" t="s">
        <v>5000</v>
      </c>
      <c r="D39" s="37" t="s">
        <v>5021</v>
      </c>
      <c r="E39" s="39" t="s">
        <v>5025</v>
      </c>
      <c r="F39" s="37" t="s">
        <v>1725</v>
      </c>
      <c r="G39" s="44" t="s">
        <v>42</v>
      </c>
      <c r="H39" s="44" t="s">
        <v>43</v>
      </c>
      <c r="I39" s="44" t="s">
        <v>44</v>
      </c>
      <c r="J39" s="37" t="s">
        <v>4400</v>
      </c>
      <c r="K39" s="37" t="s">
        <v>46</v>
      </c>
      <c r="L39" s="37" t="s">
        <v>242</v>
      </c>
      <c r="M39" s="37" t="s">
        <v>48</v>
      </c>
      <c r="N39" s="49" t="s">
        <v>4986</v>
      </c>
      <c r="O39" s="78" t="s">
        <v>61</v>
      </c>
      <c r="P39" s="37" t="s">
        <v>4999</v>
      </c>
      <c r="Q39" s="94" t="s">
        <v>68</v>
      </c>
      <c r="R39" s="37">
        <v>2</v>
      </c>
      <c r="S39" s="37" t="s">
        <v>52</v>
      </c>
      <c r="T39" s="37" t="s">
        <v>4531</v>
      </c>
      <c r="U39" s="37" t="s">
        <v>4532</v>
      </c>
      <c r="V39" s="45"/>
      <c r="W39" s="45"/>
      <c r="X39" s="45"/>
      <c r="Y39" s="45"/>
      <c r="Z39" s="37" t="s">
        <v>1728</v>
      </c>
      <c r="AA39" s="37" t="s">
        <v>88</v>
      </c>
      <c r="AB39" s="37" t="s">
        <v>57</v>
      </c>
      <c r="AD39" s="37">
        <v>28.8</v>
      </c>
      <c r="AE39" s="37">
        <v>28.8</v>
      </c>
      <c r="AG39" s="37">
        <v>1.28</v>
      </c>
      <c r="AH39" s="37">
        <v>51.2</v>
      </c>
      <c r="AK39" s="37" t="s">
        <v>58</v>
      </c>
      <c r="AL39" s="37">
        <v>59.9</v>
      </c>
      <c r="AM39" t="s">
        <v>5520</v>
      </c>
      <c r="AN39" s="74" t="s">
        <v>5637</v>
      </c>
    </row>
    <row r="40" spans="1:40" s="37" customFormat="1" ht="14.25" customHeight="1" x14ac:dyDescent="0.3">
      <c r="A40" s="37" t="s">
        <v>4998</v>
      </c>
      <c r="B40" s="37" t="s">
        <v>5010</v>
      </c>
      <c r="C40" s="94" t="s">
        <v>5000</v>
      </c>
      <c r="D40" s="37" t="s">
        <v>5022</v>
      </c>
      <c r="E40" s="39" t="s">
        <v>5025</v>
      </c>
      <c r="F40" s="37" t="s">
        <v>1725</v>
      </c>
      <c r="G40" s="44" t="s">
        <v>42</v>
      </c>
      <c r="H40" s="44" t="s">
        <v>43</v>
      </c>
      <c r="I40" s="44" t="s">
        <v>44</v>
      </c>
      <c r="J40" s="37" t="s">
        <v>4400</v>
      </c>
      <c r="K40" s="37" t="s">
        <v>46</v>
      </c>
      <c r="L40" s="37" t="s">
        <v>242</v>
      </c>
      <c r="M40" s="37" t="s">
        <v>48</v>
      </c>
      <c r="N40" s="49" t="s">
        <v>4986</v>
      </c>
      <c r="O40" s="78" t="s">
        <v>61</v>
      </c>
      <c r="P40" s="37" t="s">
        <v>4402</v>
      </c>
      <c r="Q40" s="94" t="s">
        <v>68</v>
      </c>
      <c r="R40" s="37">
        <v>1</v>
      </c>
      <c r="S40" s="37" t="s">
        <v>52</v>
      </c>
      <c r="T40" s="37" t="s">
        <v>4531</v>
      </c>
      <c r="U40" s="37" t="s">
        <v>4532</v>
      </c>
      <c r="V40" s="45"/>
      <c r="W40" s="45"/>
      <c r="X40" s="45"/>
      <c r="Y40" s="45"/>
      <c r="Z40" s="37" t="s">
        <v>1728</v>
      </c>
      <c r="AA40" s="37" t="s">
        <v>88</v>
      </c>
      <c r="AB40" s="37" t="s">
        <v>57</v>
      </c>
      <c r="AD40" s="37">
        <v>27.776</v>
      </c>
      <c r="AE40" s="37">
        <v>27.776</v>
      </c>
      <c r="AG40" s="37">
        <v>0.64</v>
      </c>
      <c r="AH40" s="37">
        <v>25.6</v>
      </c>
      <c r="AK40" s="37" t="s">
        <v>58</v>
      </c>
      <c r="AL40" s="37">
        <v>59.9</v>
      </c>
      <c r="AM40" t="s">
        <v>5520</v>
      </c>
      <c r="AN40" s="74" t="s">
        <v>5637</v>
      </c>
    </row>
    <row r="41" spans="1:40" s="37" customFormat="1" ht="14.25" customHeight="1" x14ac:dyDescent="0.3">
      <c r="A41" s="37" t="s">
        <v>4998</v>
      </c>
      <c r="B41" s="37" t="s">
        <v>5011</v>
      </c>
      <c r="C41" s="94" t="s">
        <v>5000</v>
      </c>
      <c r="D41" s="37" t="s">
        <v>5023</v>
      </c>
      <c r="E41" s="39" t="s">
        <v>5025</v>
      </c>
      <c r="F41" s="37" t="s">
        <v>1725</v>
      </c>
      <c r="G41" s="44" t="s">
        <v>42</v>
      </c>
      <c r="H41" s="44" t="s">
        <v>43</v>
      </c>
      <c r="I41" s="44" t="s">
        <v>44</v>
      </c>
      <c r="J41" s="37" t="s">
        <v>4400</v>
      </c>
      <c r="K41" s="37" t="s">
        <v>46</v>
      </c>
      <c r="L41" s="37" t="s">
        <v>242</v>
      </c>
      <c r="M41" s="37" t="s">
        <v>48</v>
      </c>
      <c r="N41" s="49" t="s">
        <v>599</v>
      </c>
      <c r="O41" s="78" t="s">
        <v>599</v>
      </c>
      <c r="P41" s="37" t="s">
        <v>4999</v>
      </c>
      <c r="Q41" s="94" t="s">
        <v>68</v>
      </c>
      <c r="R41" s="37">
        <v>2</v>
      </c>
      <c r="S41" s="37" t="s">
        <v>52</v>
      </c>
      <c r="T41" s="37" t="s">
        <v>4531</v>
      </c>
      <c r="U41" s="37" t="s">
        <v>4532</v>
      </c>
      <c r="V41" s="45"/>
      <c r="W41" s="45"/>
      <c r="X41" s="45"/>
      <c r="Y41" s="45"/>
      <c r="Z41" s="37" t="s">
        <v>1728</v>
      </c>
      <c r="AA41" s="37" t="s">
        <v>88</v>
      </c>
      <c r="AB41" s="37" t="s">
        <v>57</v>
      </c>
      <c r="AD41" s="37">
        <v>28.8</v>
      </c>
      <c r="AE41" s="37">
        <v>28.8</v>
      </c>
      <c r="AG41" s="37">
        <v>1.28</v>
      </c>
      <c r="AH41" s="37">
        <v>51.2</v>
      </c>
      <c r="AK41" s="37" t="s">
        <v>58</v>
      </c>
      <c r="AL41" s="37">
        <v>59.9</v>
      </c>
      <c r="AM41" t="s">
        <v>5520</v>
      </c>
      <c r="AN41" s="74" t="s">
        <v>5637</v>
      </c>
    </row>
    <row r="42" spans="1:40" s="37" customFormat="1" ht="14.25" customHeight="1" x14ac:dyDescent="0.3">
      <c r="A42" s="37" t="s">
        <v>4998</v>
      </c>
      <c r="B42" s="37" t="s">
        <v>5012</v>
      </c>
      <c r="C42" s="94" t="s">
        <v>5000</v>
      </c>
      <c r="D42" s="37" t="s">
        <v>5024</v>
      </c>
      <c r="E42" s="39" t="s">
        <v>5025</v>
      </c>
      <c r="F42" s="37" t="s">
        <v>1725</v>
      </c>
      <c r="G42" s="44" t="s">
        <v>42</v>
      </c>
      <c r="H42" s="44" t="s">
        <v>43</v>
      </c>
      <c r="I42" s="44" t="s">
        <v>44</v>
      </c>
      <c r="J42" s="37" t="s">
        <v>4400</v>
      </c>
      <c r="K42" s="37" t="s">
        <v>46</v>
      </c>
      <c r="L42" s="37" t="s">
        <v>242</v>
      </c>
      <c r="M42" s="37" t="s">
        <v>48</v>
      </c>
      <c r="N42" s="49" t="s">
        <v>599</v>
      </c>
      <c r="O42" s="78" t="s">
        <v>599</v>
      </c>
      <c r="P42" s="37" t="s">
        <v>4402</v>
      </c>
      <c r="Q42" s="94" t="s">
        <v>68</v>
      </c>
      <c r="R42" s="37">
        <v>1</v>
      </c>
      <c r="S42" s="37" t="s">
        <v>52</v>
      </c>
      <c r="T42" s="37" t="s">
        <v>4531</v>
      </c>
      <c r="U42" s="37" t="s">
        <v>4532</v>
      </c>
      <c r="V42" s="45"/>
      <c r="W42" s="45"/>
      <c r="X42" s="45"/>
      <c r="Y42" s="45"/>
      <c r="Z42" s="37" t="s">
        <v>1728</v>
      </c>
      <c r="AA42" s="37" t="s">
        <v>88</v>
      </c>
      <c r="AB42" s="37" t="s">
        <v>57</v>
      </c>
      <c r="AD42" s="37">
        <v>27.776</v>
      </c>
      <c r="AE42" s="37">
        <v>27.776</v>
      </c>
      <c r="AG42" s="37">
        <v>0.64</v>
      </c>
      <c r="AH42" s="37">
        <v>25.6</v>
      </c>
      <c r="AK42" s="37" t="s">
        <v>58</v>
      </c>
      <c r="AL42" s="37">
        <v>59.9</v>
      </c>
      <c r="AM42" t="s">
        <v>5520</v>
      </c>
      <c r="AN42" s="74" t="s">
        <v>5637</v>
      </c>
    </row>
    <row r="43" spans="1:40" s="37" customFormat="1" ht="14.25" customHeight="1" x14ac:dyDescent="0.3">
      <c r="A43" s="37" t="s">
        <v>4559</v>
      </c>
      <c r="B43" s="37" t="s">
        <v>4560</v>
      </c>
      <c r="C43" s="37" t="s">
        <v>655</v>
      </c>
      <c r="D43" s="37" t="s">
        <v>4627</v>
      </c>
      <c r="E43" s="39" t="s">
        <v>4694</v>
      </c>
      <c r="F43" s="37" t="s">
        <v>1725</v>
      </c>
      <c r="G43" s="44" t="s">
        <v>42</v>
      </c>
      <c r="H43" s="44" t="s">
        <v>43</v>
      </c>
      <c r="I43" s="44" t="s">
        <v>44</v>
      </c>
      <c r="J43" s="37" t="s">
        <v>4400</v>
      </c>
      <c r="K43" s="37" t="s">
        <v>46</v>
      </c>
      <c r="L43" s="37" t="s">
        <v>132</v>
      </c>
      <c r="M43" s="37" t="s">
        <v>48</v>
      </c>
      <c r="N43" s="75" t="s">
        <v>4696</v>
      </c>
      <c r="O43" s="76" t="s">
        <v>61</v>
      </c>
      <c r="P43" s="37" t="s">
        <v>4402</v>
      </c>
      <c r="Q43" s="37" t="s">
        <v>68</v>
      </c>
      <c r="R43" s="104" t="s">
        <v>4416</v>
      </c>
      <c r="S43" s="37" t="s">
        <v>52</v>
      </c>
      <c r="T43" s="37" t="s">
        <v>4531</v>
      </c>
      <c r="U43" s="37" t="s">
        <v>4532</v>
      </c>
      <c r="V43" s="45"/>
      <c r="W43" s="45"/>
      <c r="X43" s="45"/>
      <c r="Y43" s="45"/>
      <c r="Z43" s="37" t="s">
        <v>1728</v>
      </c>
      <c r="AA43" s="37" t="s">
        <v>88</v>
      </c>
      <c r="AB43" s="37" t="s">
        <v>57</v>
      </c>
      <c r="AD43" s="37">
        <v>63.25</v>
      </c>
      <c r="AE43" s="37">
        <v>63.25</v>
      </c>
      <c r="AG43" s="47" t="s">
        <v>4556</v>
      </c>
      <c r="AH43" s="47" t="s">
        <v>4553</v>
      </c>
      <c r="AK43" s="37" t="s">
        <v>58</v>
      </c>
      <c r="AL43" s="37">
        <v>79.900000000000006</v>
      </c>
      <c r="AM43" t="s">
        <v>5520</v>
      </c>
      <c r="AN43" s="74" t="s">
        <v>5630</v>
      </c>
    </row>
    <row r="44" spans="1:40" s="37" customFormat="1" ht="14.25" customHeight="1" x14ac:dyDescent="0.3">
      <c r="A44" s="37" t="s">
        <v>4559</v>
      </c>
      <c r="B44" s="37" t="s">
        <v>4561</v>
      </c>
      <c r="C44" s="37" t="s">
        <v>655</v>
      </c>
      <c r="D44" s="37" t="s">
        <v>4628</v>
      </c>
      <c r="E44" s="39" t="s">
        <v>4694</v>
      </c>
      <c r="F44" s="37" t="s">
        <v>1725</v>
      </c>
      <c r="G44" s="44" t="s">
        <v>42</v>
      </c>
      <c r="H44" s="44" t="s">
        <v>43</v>
      </c>
      <c r="I44" s="44" t="s">
        <v>44</v>
      </c>
      <c r="J44" s="37" t="s">
        <v>4400</v>
      </c>
      <c r="K44" s="37" t="s">
        <v>46</v>
      </c>
      <c r="L44" s="37" t="s">
        <v>132</v>
      </c>
      <c r="M44" s="37" t="s">
        <v>48</v>
      </c>
      <c r="N44" s="75" t="s">
        <v>4697</v>
      </c>
      <c r="O44" s="76" t="s">
        <v>61</v>
      </c>
      <c r="P44" s="37" t="s">
        <v>4402</v>
      </c>
      <c r="Q44" s="37" t="s">
        <v>68</v>
      </c>
      <c r="R44" s="104" t="s">
        <v>4416</v>
      </c>
      <c r="S44" s="37" t="s">
        <v>52</v>
      </c>
      <c r="T44" s="37" t="s">
        <v>4531</v>
      </c>
      <c r="U44" s="37" t="s">
        <v>4532</v>
      </c>
      <c r="V44" s="45"/>
      <c r="W44" s="45"/>
      <c r="X44" s="45"/>
      <c r="Y44" s="45"/>
      <c r="Z44" s="37" t="s">
        <v>1728</v>
      </c>
      <c r="AA44" s="37" t="s">
        <v>88</v>
      </c>
      <c r="AB44" s="37" t="s">
        <v>57</v>
      </c>
      <c r="AD44" s="37">
        <v>65.3</v>
      </c>
      <c r="AE44" s="37">
        <v>65.3</v>
      </c>
      <c r="AG44" s="47" t="s">
        <v>4556</v>
      </c>
      <c r="AH44" s="47" t="s">
        <v>4553</v>
      </c>
      <c r="AK44" s="37" t="s">
        <v>58</v>
      </c>
      <c r="AL44" s="37">
        <v>79.900000000000006</v>
      </c>
      <c r="AM44" t="s">
        <v>5520</v>
      </c>
      <c r="AN44" s="74" t="s">
        <v>5630</v>
      </c>
    </row>
    <row r="45" spans="1:40" s="37" customFormat="1" ht="14.25" customHeight="1" x14ac:dyDescent="0.3">
      <c r="A45" s="37" t="s">
        <v>4559</v>
      </c>
      <c r="B45" s="37" t="s">
        <v>4562</v>
      </c>
      <c r="C45" s="37" t="s">
        <v>655</v>
      </c>
      <c r="D45" s="37" t="s">
        <v>4629</v>
      </c>
      <c r="E45" s="39" t="s">
        <v>4694</v>
      </c>
      <c r="F45" s="37" t="s">
        <v>1725</v>
      </c>
      <c r="G45" s="44" t="s">
        <v>42</v>
      </c>
      <c r="H45" s="44" t="s">
        <v>43</v>
      </c>
      <c r="I45" s="44" t="s">
        <v>44</v>
      </c>
      <c r="J45" s="37" t="s">
        <v>4400</v>
      </c>
      <c r="K45" s="37" t="s">
        <v>46</v>
      </c>
      <c r="L45" s="37" t="s">
        <v>132</v>
      </c>
      <c r="M45" s="37" t="s">
        <v>48</v>
      </c>
      <c r="N45" s="75" t="s">
        <v>4698</v>
      </c>
      <c r="O45" s="76" t="s">
        <v>599</v>
      </c>
      <c r="P45" s="37" t="s">
        <v>4402</v>
      </c>
      <c r="Q45" s="37" t="s">
        <v>68</v>
      </c>
      <c r="R45" s="104" t="s">
        <v>4416</v>
      </c>
      <c r="S45" s="37" t="s">
        <v>52</v>
      </c>
      <c r="T45" s="37" t="s">
        <v>4531</v>
      </c>
      <c r="U45" s="37" t="s">
        <v>4532</v>
      </c>
      <c r="V45" s="45"/>
      <c r="W45" s="45"/>
      <c r="X45" s="45"/>
      <c r="Y45" s="45"/>
      <c r="Z45" s="37" t="s">
        <v>1728</v>
      </c>
      <c r="AA45" s="37" t="s">
        <v>88</v>
      </c>
      <c r="AB45" s="37" t="s">
        <v>57</v>
      </c>
      <c r="AD45" s="37">
        <v>63.25</v>
      </c>
      <c r="AE45" s="37">
        <v>63.25</v>
      </c>
      <c r="AG45" s="47" t="s">
        <v>4556</v>
      </c>
      <c r="AH45" s="47" t="s">
        <v>4553</v>
      </c>
      <c r="AK45" s="37" t="s">
        <v>58</v>
      </c>
      <c r="AL45" s="37">
        <v>79.900000000000006</v>
      </c>
      <c r="AM45" t="s">
        <v>5520</v>
      </c>
      <c r="AN45" s="74" t="s">
        <v>5630</v>
      </c>
    </row>
    <row r="46" spans="1:40" s="37" customFormat="1" ht="14.25" customHeight="1" x14ac:dyDescent="0.3">
      <c r="A46" s="37" t="s">
        <v>4559</v>
      </c>
      <c r="B46" s="37" t="s">
        <v>4563</v>
      </c>
      <c r="C46" s="37" t="s">
        <v>655</v>
      </c>
      <c r="D46" s="37" t="s">
        <v>4630</v>
      </c>
      <c r="E46" s="39" t="s">
        <v>4694</v>
      </c>
      <c r="F46" s="37" t="s">
        <v>1725</v>
      </c>
      <c r="G46" s="44" t="s">
        <v>42</v>
      </c>
      <c r="H46" s="44" t="s">
        <v>43</v>
      </c>
      <c r="I46" s="44" t="s">
        <v>44</v>
      </c>
      <c r="J46" s="37" t="s">
        <v>4400</v>
      </c>
      <c r="K46" s="37" t="s">
        <v>46</v>
      </c>
      <c r="L46" s="37" t="s">
        <v>132</v>
      </c>
      <c r="M46" s="37" t="s">
        <v>48</v>
      </c>
      <c r="N46" s="75" t="s">
        <v>4699</v>
      </c>
      <c r="O46" s="76" t="s">
        <v>586</v>
      </c>
      <c r="P46" s="37" t="s">
        <v>4402</v>
      </c>
      <c r="Q46" s="37" t="s">
        <v>68</v>
      </c>
      <c r="R46" s="104" t="s">
        <v>4416</v>
      </c>
      <c r="S46" s="37" t="s">
        <v>52</v>
      </c>
      <c r="T46" s="37" t="s">
        <v>4531</v>
      </c>
      <c r="U46" s="37" t="s">
        <v>4532</v>
      </c>
      <c r="V46" s="45"/>
      <c r="W46" s="45"/>
      <c r="X46" s="45"/>
      <c r="Y46" s="45"/>
      <c r="Z46" s="37" t="s">
        <v>1728</v>
      </c>
      <c r="AA46" s="37" t="s">
        <v>88</v>
      </c>
      <c r="AB46" s="37" t="s">
        <v>57</v>
      </c>
      <c r="AD46" s="37">
        <v>63.25</v>
      </c>
      <c r="AE46" s="37">
        <v>63.25</v>
      </c>
      <c r="AG46" s="47" t="s">
        <v>4556</v>
      </c>
      <c r="AH46" s="47" t="s">
        <v>4553</v>
      </c>
      <c r="AK46" s="37" t="s">
        <v>58</v>
      </c>
      <c r="AL46" s="37">
        <v>79.900000000000006</v>
      </c>
      <c r="AM46" t="s">
        <v>5520</v>
      </c>
      <c r="AN46" s="74" t="s">
        <v>5630</v>
      </c>
    </row>
    <row r="47" spans="1:40" s="37" customFormat="1" ht="14.25" customHeight="1" x14ac:dyDescent="0.3">
      <c r="A47" s="37" t="s">
        <v>4559</v>
      </c>
      <c r="B47" s="37" t="s">
        <v>4564</v>
      </c>
      <c r="C47" s="37" t="s">
        <v>655</v>
      </c>
      <c r="D47" s="37" t="s">
        <v>4631</v>
      </c>
      <c r="E47" s="39" t="s">
        <v>4694</v>
      </c>
      <c r="F47" s="37" t="s">
        <v>1725</v>
      </c>
      <c r="G47" s="44" t="s">
        <v>42</v>
      </c>
      <c r="H47" s="44" t="s">
        <v>43</v>
      </c>
      <c r="I47" s="44" t="s">
        <v>44</v>
      </c>
      <c r="J47" s="37" t="s">
        <v>4400</v>
      </c>
      <c r="K47" s="37" t="s">
        <v>46</v>
      </c>
      <c r="L47" s="37" t="s">
        <v>132</v>
      </c>
      <c r="M47" s="37" t="s">
        <v>48</v>
      </c>
      <c r="N47" s="75" t="s">
        <v>4700</v>
      </c>
      <c r="O47" s="76" t="s">
        <v>586</v>
      </c>
      <c r="P47" s="37" t="s">
        <v>4402</v>
      </c>
      <c r="Q47" s="37" t="s">
        <v>68</v>
      </c>
      <c r="R47" s="104" t="s">
        <v>4416</v>
      </c>
      <c r="S47" s="37" t="s">
        <v>52</v>
      </c>
      <c r="T47" s="37" t="s">
        <v>4531</v>
      </c>
      <c r="U47" s="37" t="s">
        <v>4532</v>
      </c>
      <c r="V47" s="45"/>
      <c r="W47" s="45"/>
      <c r="X47" s="45"/>
      <c r="Y47" s="45"/>
      <c r="Z47" s="37" t="s">
        <v>1728</v>
      </c>
      <c r="AA47" s="37" t="s">
        <v>88</v>
      </c>
      <c r="AB47" s="37" t="s">
        <v>57</v>
      </c>
      <c r="AD47" s="37">
        <v>63.25</v>
      </c>
      <c r="AE47" s="37">
        <v>63.25</v>
      </c>
      <c r="AG47" s="47" t="s">
        <v>4556</v>
      </c>
      <c r="AH47" s="47" t="s">
        <v>4553</v>
      </c>
      <c r="AK47" s="37" t="s">
        <v>58</v>
      </c>
      <c r="AL47" s="37">
        <v>79.900000000000006</v>
      </c>
      <c r="AM47" t="s">
        <v>5520</v>
      </c>
      <c r="AN47" s="74" t="s">
        <v>5630</v>
      </c>
    </row>
    <row r="48" spans="1:40" s="37" customFormat="1" ht="14.25" customHeight="1" x14ac:dyDescent="0.3">
      <c r="A48" s="37" t="s">
        <v>4559</v>
      </c>
      <c r="B48" s="37" t="s">
        <v>4565</v>
      </c>
      <c r="C48" s="37" t="s">
        <v>655</v>
      </c>
      <c r="D48" s="37" t="s">
        <v>4632</v>
      </c>
      <c r="E48" s="39" t="s">
        <v>4694</v>
      </c>
      <c r="F48" s="37" t="s">
        <v>1725</v>
      </c>
      <c r="G48" s="44" t="s">
        <v>42</v>
      </c>
      <c r="H48" s="44" t="s">
        <v>43</v>
      </c>
      <c r="I48" s="44" t="s">
        <v>44</v>
      </c>
      <c r="J48" s="37" t="s">
        <v>4400</v>
      </c>
      <c r="K48" s="37" t="s">
        <v>46</v>
      </c>
      <c r="L48" s="37" t="s">
        <v>242</v>
      </c>
      <c r="M48" s="37" t="s">
        <v>48</v>
      </c>
      <c r="N48" s="75" t="s">
        <v>4701</v>
      </c>
      <c r="O48" s="76" t="s">
        <v>586</v>
      </c>
      <c r="P48" s="37" t="s">
        <v>4402</v>
      </c>
      <c r="Q48" s="37" t="s">
        <v>68</v>
      </c>
      <c r="R48" s="104" t="s">
        <v>4416</v>
      </c>
      <c r="S48" s="37" t="s">
        <v>52</v>
      </c>
      <c r="T48" s="37" t="s">
        <v>4531</v>
      </c>
      <c r="U48" s="37" t="s">
        <v>4532</v>
      </c>
      <c r="V48" s="45"/>
      <c r="W48" s="45"/>
      <c r="X48" s="45"/>
      <c r="Y48" s="45"/>
      <c r="Z48" s="37" t="s">
        <v>1728</v>
      </c>
      <c r="AA48" s="37" t="s">
        <v>88</v>
      </c>
      <c r="AB48" s="37" t="s">
        <v>57</v>
      </c>
      <c r="AD48" s="37">
        <v>27.7</v>
      </c>
      <c r="AE48" s="37">
        <v>27.7</v>
      </c>
      <c r="AG48" s="47" t="s">
        <v>4558</v>
      </c>
      <c r="AH48" s="47" t="s">
        <v>4555</v>
      </c>
      <c r="AK48" s="37" t="s">
        <v>58</v>
      </c>
      <c r="AL48" s="37">
        <v>59.9</v>
      </c>
      <c r="AM48" t="s">
        <v>5520</v>
      </c>
      <c r="AN48" s="74" t="s">
        <v>5630</v>
      </c>
    </row>
    <row r="49" spans="1:40" s="37" customFormat="1" ht="14.25" customHeight="1" x14ac:dyDescent="0.3">
      <c r="A49" s="37" t="s">
        <v>4559</v>
      </c>
      <c r="B49" s="37" t="s">
        <v>4566</v>
      </c>
      <c r="C49" s="37" t="s">
        <v>655</v>
      </c>
      <c r="D49" s="37" t="s">
        <v>4633</v>
      </c>
      <c r="E49" s="39" t="s">
        <v>4694</v>
      </c>
      <c r="F49" s="37" t="s">
        <v>1725</v>
      </c>
      <c r="G49" s="44" t="s">
        <v>42</v>
      </c>
      <c r="H49" s="44" t="s">
        <v>43</v>
      </c>
      <c r="I49" s="44" t="s">
        <v>44</v>
      </c>
      <c r="J49" s="37" t="s">
        <v>4400</v>
      </c>
      <c r="K49" s="37" t="s">
        <v>46</v>
      </c>
      <c r="L49" s="37" t="s">
        <v>242</v>
      </c>
      <c r="M49" s="37" t="s">
        <v>48</v>
      </c>
      <c r="N49" s="75" t="s">
        <v>4702</v>
      </c>
      <c r="O49" s="76" t="s">
        <v>586</v>
      </c>
      <c r="P49" s="37" t="s">
        <v>4402</v>
      </c>
      <c r="Q49" s="37" t="s">
        <v>68</v>
      </c>
      <c r="R49" s="104" t="s">
        <v>4416</v>
      </c>
      <c r="S49" s="37" t="s">
        <v>52</v>
      </c>
      <c r="T49" s="37" t="s">
        <v>4531</v>
      </c>
      <c r="U49" s="37" t="s">
        <v>4532</v>
      </c>
      <c r="V49" s="45"/>
      <c r="W49" s="45"/>
      <c r="X49" s="45"/>
      <c r="Y49" s="45"/>
      <c r="Z49" s="37" t="s">
        <v>1728</v>
      </c>
      <c r="AA49" s="37" t="s">
        <v>88</v>
      </c>
      <c r="AB49" s="37" t="s">
        <v>57</v>
      </c>
      <c r="AD49" s="37">
        <v>27.57</v>
      </c>
      <c r="AE49" s="37">
        <v>27.57</v>
      </c>
      <c r="AG49" s="47" t="s">
        <v>4558</v>
      </c>
      <c r="AH49" s="47" t="s">
        <v>4555</v>
      </c>
      <c r="AK49" s="37" t="s">
        <v>58</v>
      </c>
      <c r="AL49" s="37">
        <v>59.9</v>
      </c>
      <c r="AM49" t="s">
        <v>5520</v>
      </c>
      <c r="AN49" s="74" t="s">
        <v>5630</v>
      </c>
    </row>
    <row r="50" spans="1:40" s="37" customFormat="1" ht="14.25" customHeight="1" x14ac:dyDescent="0.3">
      <c r="A50" s="37" t="s">
        <v>4559</v>
      </c>
      <c r="B50" s="37" t="s">
        <v>4567</v>
      </c>
      <c r="C50" s="37" t="s">
        <v>655</v>
      </c>
      <c r="D50" s="37" t="s">
        <v>4634</v>
      </c>
      <c r="E50" s="39" t="s">
        <v>4694</v>
      </c>
      <c r="F50" s="37" t="s">
        <v>1725</v>
      </c>
      <c r="G50" s="44" t="s">
        <v>42</v>
      </c>
      <c r="H50" s="44" t="s">
        <v>43</v>
      </c>
      <c r="I50" s="44" t="s">
        <v>44</v>
      </c>
      <c r="J50" s="37" t="s">
        <v>4400</v>
      </c>
      <c r="K50" s="37" t="s">
        <v>46</v>
      </c>
      <c r="L50" s="37" t="s">
        <v>242</v>
      </c>
      <c r="M50" s="37" t="s">
        <v>48</v>
      </c>
      <c r="N50" s="75" t="s">
        <v>4703</v>
      </c>
      <c r="O50" s="76" t="s">
        <v>586</v>
      </c>
      <c r="P50" s="37" t="s">
        <v>4402</v>
      </c>
      <c r="Q50" s="37" t="s">
        <v>68</v>
      </c>
      <c r="R50" s="104" t="s">
        <v>4416</v>
      </c>
      <c r="S50" s="37" t="s">
        <v>52</v>
      </c>
      <c r="T50" s="37" t="s">
        <v>4531</v>
      </c>
      <c r="U50" s="37" t="s">
        <v>4532</v>
      </c>
      <c r="V50" s="45"/>
      <c r="W50" s="45"/>
      <c r="X50" s="45"/>
      <c r="Y50" s="45"/>
      <c r="Z50" s="37" t="s">
        <v>1728</v>
      </c>
      <c r="AA50" s="37" t="s">
        <v>88</v>
      </c>
      <c r="AB50" s="37" t="s">
        <v>57</v>
      </c>
      <c r="AD50" s="37">
        <v>27.68</v>
      </c>
      <c r="AE50" s="37">
        <v>27.68</v>
      </c>
      <c r="AG50" s="47" t="s">
        <v>4558</v>
      </c>
      <c r="AH50" s="47" t="s">
        <v>4555</v>
      </c>
      <c r="AK50" s="37" t="s">
        <v>58</v>
      </c>
      <c r="AL50" s="37">
        <v>59.9</v>
      </c>
      <c r="AM50" t="s">
        <v>5520</v>
      </c>
      <c r="AN50" s="74" t="s">
        <v>5630</v>
      </c>
    </row>
    <row r="51" spans="1:40" s="37" customFormat="1" ht="14.25" customHeight="1" x14ac:dyDescent="0.3">
      <c r="A51" s="37" t="s">
        <v>4559</v>
      </c>
      <c r="B51" s="37" t="s">
        <v>4568</v>
      </c>
      <c r="C51" s="37" t="s">
        <v>655</v>
      </c>
      <c r="D51" s="37" t="s">
        <v>4635</v>
      </c>
      <c r="E51" s="39" t="s">
        <v>4694</v>
      </c>
      <c r="F51" s="37" t="s">
        <v>1725</v>
      </c>
      <c r="G51" s="44" t="s">
        <v>42</v>
      </c>
      <c r="H51" s="44" t="s">
        <v>43</v>
      </c>
      <c r="I51" s="44" t="s">
        <v>44</v>
      </c>
      <c r="J51" s="37" t="s">
        <v>4400</v>
      </c>
      <c r="K51" s="37" t="s">
        <v>46</v>
      </c>
      <c r="L51" s="37" t="s">
        <v>242</v>
      </c>
      <c r="M51" s="37" t="s">
        <v>48</v>
      </c>
      <c r="N51" s="75" t="s">
        <v>4697</v>
      </c>
      <c r="O51" s="76" t="s">
        <v>61</v>
      </c>
      <c r="P51" s="43" t="s">
        <v>4402</v>
      </c>
      <c r="Q51" s="37" t="s">
        <v>68</v>
      </c>
      <c r="R51" s="104" t="s">
        <v>4416</v>
      </c>
      <c r="S51" s="37" t="s">
        <v>52</v>
      </c>
      <c r="T51" s="37" t="s">
        <v>4531</v>
      </c>
      <c r="U51" s="37" t="s">
        <v>4532</v>
      </c>
      <c r="V51" s="45"/>
      <c r="W51" s="45"/>
      <c r="X51" s="45"/>
      <c r="Y51" s="45"/>
      <c r="Z51" s="37" t="s">
        <v>1728</v>
      </c>
      <c r="AA51" s="37" t="s">
        <v>88</v>
      </c>
      <c r="AB51" s="37" t="s">
        <v>57</v>
      </c>
      <c r="AD51" s="37">
        <v>27.75</v>
      </c>
      <c r="AE51" s="37">
        <v>27.75</v>
      </c>
      <c r="AG51" s="47" t="s">
        <v>4558</v>
      </c>
      <c r="AH51" s="47" t="s">
        <v>4555</v>
      </c>
      <c r="AK51" s="37" t="s">
        <v>58</v>
      </c>
      <c r="AL51" s="37">
        <v>59.9</v>
      </c>
      <c r="AM51" t="s">
        <v>5520</v>
      </c>
      <c r="AN51" s="74" t="s">
        <v>5630</v>
      </c>
    </row>
    <row r="52" spans="1:40" s="37" customFormat="1" ht="14.25" customHeight="1" x14ac:dyDescent="0.3">
      <c r="A52" s="37" t="s">
        <v>4559</v>
      </c>
      <c r="B52" s="37" t="s">
        <v>4569</v>
      </c>
      <c r="C52" s="37" t="s">
        <v>655</v>
      </c>
      <c r="D52" s="37" t="s">
        <v>4636</v>
      </c>
      <c r="E52" s="39" t="s">
        <v>4694</v>
      </c>
      <c r="F52" s="37" t="s">
        <v>1725</v>
      </c>
      <c r="G52" s="44" t="s">
        <v>42</v>
      </c>
      <c r="H52" s="44" t="s">
        <v>43</v>
      </c>
      <c r="I52" s="44" t="s">
        <v>44</v>
      </c>
      <c r="J52" s="37" t="s">
        <v>4400</v>
      </c>
      <c r="K52" s="37" t="s">
        <v>46</v>
      </c>
      <c r="L52" s="37" t="s">
        <v>242</v>
      </c>
      <c r="M52" s="37" t="s">
        <v>48</v>
      </c>
      <c r="N52" s="75" t="s">
        <v>4704</v>
      </c>
      <c r="O52" s="76" t="s">
        <v>599</v>
      </c>
      <c r="P52" s="43" t="s">
        <v>4402</v>
      </c>
      <c r="Q52" s="37" t="s">
        <v>68</v>
      </c>
      <c r="R52" s="104" t="s">
        <v>4416</v>
      </c>
      <c r="S52" s="37" t="s">
        <v>52</v>
      </c>
      <c r="T52" s="37" t="s">
        <v>4531</v>
      </c>
      <c r="U52" s="37" t="s">
        <v>4532</v>
      </c>
      <c r="V52" s="45"/>
      <c r="W52" s="45"/>
      <c r="X52" s="45"/>
      <c r="Y52" s="45"/>
      <c r="Z52" s="37" t="s">
        <v>1728</v>
      </c>
      <c r="AA52" s="37" t="s">
        <v>88</v>
      </c>
      <c r="AB52" s="37" t="s">
        <v>57</v>
      </c>
      <c r="AD52" s="37">
        <v>27.55</v>
      </c>
      <c r="AE52" s="37">
        <v>27.55</v>
      </c>
      <c r="AG52" s="47" t="s">
        <v>4558</v>
      </c>
      <c r="AH52" s="47" t="s">
        <v>4555</v>
      </c>
      <c r="AK52" s="37" t="s">
        <v>58</v>
      </c>
      <c r="AL52" s="37">
        <v>59.9</v>
      </c>
      <c r="AM52" t="s">
        <v>5520</v>
      </c>
      <c r="AN52" s="74" t="s">
        <v>5630</v>
      </c>
    </row>
    <row r="53" spans="1:40" s="37" customFormat="1" ht="14.25" customHeight="1" x14ac:dyDescent="0.3">
      <c r="A53" s="37" t="s">
        <v>4559</v>
      </c>
      <c r="B53" s="37" t="s">
        <v>4570</v>
      </c>
      <c r="C53" s="37" t="s">
        <v>655</v>
      </c>
      <c r="D53" s="37" t="s">
        <v>4637</v>
      </c>
      <c r="E53" s="39" t="s">
        <v>4694</v>
      </c>
      <c r="F53" s="37" t="s">
        <v>1725</v>
      </c>
      <c r="G53" s="44" t="s">
        <v>42</v>
      </c>
      <c r="H53" s="44" t="s">
        <v>43</v>
      </c>
      <c r="I53" s="44" t="s">
        <v>44</v>
      </c>
      <c r="J53" s="37" t="s">
        <v>4400</v>
      </c>
      <c r="K53" s="37" t="s">
        <v>46</v>
      </c>
      <c r="L53" s="37" t="s">
        <v>242</v>
      </c>
      <c r="M53" s="37" t="s">
        <v>48</v>
      </c>
      <c r="N53" s="75" t="s">
        <v>4698</v>
      </c>
      <c r="O53" s="76" t="s">
        <v>599</v>
      </c>
      <c r="P53" s="43" t="s">
        <v>4402</v>
      </c>
      <c r="Q53" s="37" t="s">
        <v>68</v>
      </c>
      <c r="R53" s="104" t="s">
        <v>4416</v>
      </c>
      <c r="S53" s="37" t="s">
        <v>52</v>
      </c>
      <c r="T53" s="37" t="s">
        <v>4531</v>
      </c>
      <c r="U53" s="37" t="s">
        <v>4532</v>
      </c>
      <c r="V53" s="45"/>
      <c r="W53" s="45"/>
      <c r="X53" s="45"/>
      <c r="Y53" s="45"/>
      <c r="Z53" s="37" t="s">
        <v>1728</v>
      </c>
      <c r="AA53" s="37" t="s">
        <v>88</v>
      </c>
      <c r="AB53" s="37" t="s">
        <v>57</v>
      </c>
      <c r="AD53" s="37">
        <v>27.83</v>
      </c>
      <c r="AE53" s="37">
        <v>27.83</v>
      </c>
      <c r="AG53" s="47" t="s">
        <v>4558</v>
      </c>
      <c r="AH53" s="47" t="s">
        <v>4555</v>
      </c>
      <c r="AK53" s="37" t="s">
        <v>58</v>
      </c>
      <c r="AL53" s="37">
        <v>59.9</v>
      </c>
      <c r="AM53" t="s">
        <v>5520</v>
      </c>
      <c r="AN53" s="74" t="s">
        <v>5630</v>
      </c>
    </row>
    <row r="54" spans="1:40" s="37" customFormat="1" ht="14.25" customHeight="1" x14ac:dyDescent="0.3">
      <c r="A54" s="37" t="s">
        <v>4559</v>
      </c>
      <c r="B54" s="37" t="s">
        <v>4571</v>
      </c>
      <c r="C54" s="37" t="s">
        <v>655</v>
      </c>
      <c r="D54" s="37" t="s">
        <v>4638</v>
      </c>
      <c r="E54" s="39" t="s">
        <v>4694</v>
      </c>
      <c r="F54" s="37" t="s">
        <v>1725</v>
      </c>
      <c r="G54" s="44" t="s">
        <v>42</v>
      </c>
      <c r="H54" s="44" t="s">
        <v>43</v>
      </c>
      <c r="I54" s="44" t="s">
        <v>44</v>
      </c>
      <c r="J54" s="37" t="s">
        <v>4400</v>
      </c>
      <c r="K54" s="37" t="s">
        <v>46</v>
      </c>
      <c r="L54" s="37" t="s">
        <v>242</v>
      </c>
      <c r="M54" s="37" t="s">
        <v>48</v>
      </c>
      <c r="N54" s="75" t="s">
        <v>4696</v>
      </c>
      <c r="O54" s="76" t="s">
        <v>61</v>
      </c>
      <c r="P54" s="43" t="s">
        <v>4402</v>
      </c>
      <c r="Q54" s="37" t="s">
        <v>68</v>
      </c>
      <c r="R54" s="104" t="s">
        <v>4416</v>
      </c>
      <c r="S54" s="37" t="s">
        <v>52</v>
      </c>
      <c r="T54" s="37" t="s">
        <v>4531</v>
      </c>
      <c r="U54" s="37" t="s">
        <v>4532</v>
      </c>
      <c r="V54" s="45"/>
      <c r="W54" s="45"/>
      <c r="X54" s="45"/>
      <c r="Y54" s="45"/>
      <c r="Z54" s="37" t="s">
        <v>1728</v>
      </c>
      <c r="AA54" s="37" t="s">
        <v>88</v>
      </c>
      <c r="AB54" s="37" t="s">
        <v>57</v>
      </c>
      <c r="AD54" s="37">
        <v>27.48</v>
      </c>
      <c r="AE54" s="37">
        <v>27.48</v>
      </c>
      <c r="AG54" s="47" t="s">
        <v>4558</v>
      </c>
      <c r="AH54" s="47" t="s">
        <v>4555</v>
      </c>
      <c r="AK54" s="37" t="s">
        <v>58</v>
      </c>
      <c r="AL54" s="37">
        <v>59.9</v>
      </c>
      <c r="AM54" t="s">
        <v>5520</v>
      </c>
      <c r="AN54" s="74" t="s">
        <v>5630</v>
      </c>
    </row>
    <row r="55" spans="1:40" s="37" customFormat="1" ht="14.25" customHeight="1" x14ac:dyDescent="0.3">
      <c r="A55" s="37" t="s">
        <v>4559</v>
      </c>
      <c r="B55" s="37" t="s">
        <v>4572</v>
      </c>
      <c r="C55" s="37" t="s">
        <v>655</v>
      </c>
      <c r="D55" s="37" t="s">
        <v>4639</v>
      </c>
      <c r="E55" s="39" t="s">
        <v>4694</v>
      </c>
      <c r="F55" s="37" t="s">
        <v>1725</v>
      </c>
      <c r="G55" s="44" t="s">
        <v>42</v>
      </c>
      <c r="H55" s="44" t="s">
        <v>43</v>
      </c>
      <c r="I55" s="44" t="s">
        <v>44</v>
      </c>
      <c r="J55" s="37" t="s">
        <v>4400</v>
      </c>
      <c r="K55" s="37" t="s">
        <v>46</v>
      </c>
      <c r="L55" s="37" t="s">
        <v>242</v>
      </c>
      <c r="M55" s="37" t="s">
        <v>48</v>
      </c>
      <c r="N55" s="75" t="s">
        <v>4705</v>
      </c>
      <c r="O55" s="76" t="s">
        <v>328</v>
      </c>
      <c r="P55" s="43" t="s">
        <v>4402</v>
      </c>
      <c r="Q55" s="37" t="s">
        <v>68</v>
      </c>
      <c r="R55" s="104" t="s">
        <v>4416</v>
      </c>
      <c r="S55" s="37" t="s">
        <v>52</v>
      </c>
      <c r="T55" s="37" t="s">
        <v>4531</v>
      </c>
      <c r="U55" s="37" t="s">
        <v>4532</v>
      </c>
      <c r="V55" s="45"/>
      <c r="W55" s="45"/>
      <c r="X55" s="45"/>
      <c r="Y55" s="45"/>
      <c r="Z55" s="37" t="s">
        <v>1728</v>
      </c>
      <c r="AA55" s="37" t="s">
        <v>88</v>
      </c>
      <c r="AB55" s="37" t="s">
        <v>57</v>
      </c>
      <c r="AD55" s="37">
        <v>27.32</v>
      </c>
      <c r="AE55" s="37">
        <v>27.32</v>
      </c>
      <c r="AG55" s="47" t="s">
        <v>4558</v>
      </c>
      <c r="AH55" s="47" t="s">
        <v>4555</v>
      </c>
      <c r="AK55" s="37" t="s">
        <v>58</v>
      </c>
      <c r="AL55" s="37">
        <v>59.9</v>
      </c>
      <c r="AM55" t="s">
        <v>5520</v>
      </c>
      <c r="AN55" s="74" t="s">
        <v>5630</v>
      </c>
    </row>
    <row r="56" spans="1:40" s="37" customFormat="1" ht="14.25" customHeight="1" x14ac:dyDescent="0.3">
      <c r="A56" s="37" t="s">
        <v>4559</v>
      </c>
      <c r="B56" s="37" t="s">
        <v>4573</v>
      </c>
      <c r="C56" s="37" t="s">
        <v>655</v>
      </c>
      <c r="D56" s="37" t="s">
        <v>4640</v>
      </c>
      <c r="E56" s="39" t="s">
        <v>4694</v>
      </c>
      <c r="F56" s="37" t="s">
        <v>1725</v>
      </c>
      <c r="G56" s="44" t="s">
        <v>42</v>
      </c>
      <c r="H56" s="44" t="s">
        <v>43</v>
      </c>
      <c r="I56" s="44" t="s">
        <v>44</v>
      </c>
      <c r="J56" s="37" t="s">
        <v>4400</v>
      </c>
      <c r="K56" s="37" t="s">
        <v>46</v>
      </c>
      <c r="L56" s="37" t="s">
        <v>242</v>
      </c>
      <c r="M56" s="37" t="s">
        <v>48</v>
      </c>
      <c r="N56" s="75" t="s">
        <v>4700</v>
      </c>
      <c r="O56" s="76" t="s">
        <v>586</v>
      </c>
      <c r="P56" s="43" t="s">
        <v>4402</v>
      </c>
      <c r="Q56" s="37" t="s">
        <v>68</v>
      </c>
      <c r="R56" s="104" t="s">
        <v>4416</v>
      </c>
      <c r="S56" s="37" t="s">
        <v>52</v>
      </c>
      <c r="T56" s="37" t="s">
        <v>4531</v>
      </c>
      <c r="U56" s="37" t="s">
        <v>4532</v>
      </c>
      <c r="V56" s="45"/>
      <c r="W56" s="45"/>
      <c r="X56" s="45"/>
      <c r="Y56" s="45"/>
      <c r="Z56" s="37" t="s">
        <v>1728</v>
      </c>
      <c r="AA56" s="37" t="s">
        <v>88</v>
      </c>
      <c r="AB56" s="37" t="s">
        <v>57</v>
      </c>
      <c r="AD56" s="37">
        <v>27.76</v>
      </c>
      <c r="AE56" s="37">
        <v>27.76</v>
      </c>
      <c r="AG56" s="47" t="s">
        <v>4558</v>
      </c>
      <c r="AH56" s="47" t="s">
        <v>4555</v>
      </c>
      <c r="AK56" s="37" t="s">
        <v>58</v>
      </c>
      <c r="AL56" s="37">
        <v>59.9</v>
      </c>
      <c r="AM56" t="s">
        <v>5520</v>
      </c>
      <c r="AN56" s="74" t="s">
        <v>5630</v>
      </c>
    </row>
    <row r="57" spans="1:40" s="37" customFormat="1" ht="14.25" customHeight="1" x14ac:dyDescent="0.3">
      <c r="A57" s="37" t="s">
        <v>4559</v>
      </c>
      <c r="B57" s="37" t="s">
        <v>4574</v>
      </c>
      <c r="C57" s="37" t="s">
        <v>655</v>
      </c>
      <c r="D57" s="37" t="s">
        <v>4641</v>
      </c>
      <c r="E57" s="39" t="s">
        <v>4694</v>
      </c>
      <c r="F57" s="37" t="s">
        <v>1725</v>
      </c>
      <c r="G57" s="44" t="s">
        <v>42</v>
      </c>
      <c r="H57" s="44" t="s">
        <v>43</v>
      </c>
      <c r="I57" s="44" t="s">
        <v>44</v>
      </c>
      <c r="J57" s="37" t="s">
        <v>4400</v>
      </c>
      <c r="K57" s="37" t="s">
        <v>46</v>
      </c>
      <c r="L57" s="37" t="s">
        <v>242</v>
      </c>
      <c r="M57" s="37" t="s">
        <v>48</v>
      </c>
      <c r="N57" s="75" t="s">
        <v>4699</v>
      </c>
      <c r="O57" s="76" t="s">
        <v>586</v>
      </c>
      <c r="P57" s="43" t="s">
        <v>4402</v>
      </c>
      <c r="Q57" s="37" t="s">
        <v>68</v>
      </c>
      <c r="R57" s="104" t="s">
        <v>4416</v>
      </c>
      <c r="S57" s="37" t="s">
        <v>52</v>
      </c>
      <c r="T57" s="37" t="s">
        <v>4531</v>
      </c>
      <c r="U57" s="37" t="s">
        <v>4532</v>
      </c>
      <c r="V57" s="45"/>
      <c r="W57" s="45"/>
      <c r="X57" s="45"/>
      <c r="Y57" s="45"/>
      <c r="Z57" s="37" t="s">
        <v>1728</v>
      </c>
      <c r="AA57" s="37" t="s">
        <v>88</v>
      </c>
      <c r="AB57" s="37" t="s">
        <v>57</v>
      </c>
      <c r="AD57" s="37">
        <v>27.68</v>
      </c>
      <c r="AE57" s="37">
        <v>27.68</v>
      </c>
      <c r="AG57" s="47" t="s">
        <v>4558</v>
      </c>
      <c r="AH57" s="47" t="s">
        <v>4555</v>
      </c>
      <c r="AK57" s="37" t="s">
        <v>58</v>
      </c>
      <c r="AL57" s="37">
        <v>59.9</v>
      </c>
      <c r="AM57" t="s">
        <v>5520</v>
      </c>
      <c r="AN57" s="74" t="s">
        <v>5630</v>
      </c>
    </row>
    <row r="58" spans="1:40" s="37" customFormat="1" ht="14.25" customHeight="1" x14ac:dyDescent="0.3">
      <c r="A58" s="37" t="s">
        <v>4559</v>
      </c>
      <c r="B58" s="37" t="s">
        <v>4575</v>
      </c>
      <c r="C58" s="37" t="s">
        <v>655</v>
      </c>
      <c r="D58" s="37" t="s">
        <v>4642</v>
      </c>
      <c r="E58" s="39" t="s">
        <v>4694</v>
      </c>
      <c r="F58" s="37" t="s">
        <v>1725</v>
      </c>
      <c r="G58" s="44" t="s">
        <v>42</v>
      </c>
      <c r="H58" s="44" t="s">
        <v>43</v>
      </c>
      <c r="I58" s="44" t="s">
        <v>44</v>
      </c>
      <c r="J58" s="37" t="s">
        <v>4400</v>
      </c>
      <c r="K58" s="37" t="s">
        <v>46</v>
      </c>
      <c r="L58" s="37" t="s">
        <v>47</v>
      </c>
      <c r="M58" s="37" t="s">
        <v>48</v>
      </c>
      <c r="N58" s="75" t="s">
        <v>4706</v>
      </c>
      <c r="O58" s="76" t="s">
        <v>61</v>
      </c>
      <c r="P58" s="43" t="s">
        <v>4533</v>
      </c>
      <c r="Q58" s="37" t="s">
        <v>51</v>
      </c>
      <c r="R58" s="104" t="s">
        <v>4415</v>
      </c>
      <c r="S58" s="37" t="s">
        <v>52</v>
      </c>
      <c r="T58" s="37" t="s">
        <v>53</v>
      </c>
      <c r="U58" s="37" t="s">
        <v>4532</v>
      </c>
      <c r="V58" s="45"/>
      <c r="W58" s="45"/>
      <c r="X58" s="45"/>
      <c r="Y58" s="45"/>
      <c r="Z58" s="37" t="s">
        <v>1728</v>
      </c>
      <c r="AA58" s="37" t="s">
        <v>88</v>
      </c>
      <c r="AB58" s="37" t="s">
        <v>57</v>
      </c>
      <c r="AD58" s="37">
        <v>14.65</v>
      </c>
      <c r="AE58" s="37">
        <v>14.65</v>
      </c>
      <c r="AG58" s="47" t="s">
        <v>4556</v>
      </c>
      <c r="AH58" s="47" t="s">
        <v>4552</v>
      </c>
      <c r="AK58" s="37" t="s">
        <v>58</v>
      </c>
      <c r="AL58" s="37">
        <v>59.9</v>
      </c>
      <c r="AM58" t="s">
        <v>5520</v>
      </c>
      <c r="AN58" s="74" t="s">
        <v>5630</v>
      </c>
    </row>
    <row r="59" spans="1:40" s="37" customFormat="1" ht="14.25" customHeight="1" x14ac:dyDescent="0.3">
      <c r="A59" s="37" t="s">
        <v>4559</v>
      </c>
      <c r="B59" s="37" t="s">
        <v>4576</v>
      </c>
      <c r="C59" s="37" t="s">
        <v>655</v>
      </c>
      <c r="D59" s="37" t="s">
        <v>4643</v>
      </c>
      <c r="E59" s="39" t="s">
        <v>4694</v>
      </c>
      <c r="F59" s="37" t="s">
        <v>1725</v>
      </c>
      <c r="G59" s="44" t="s">
        <v>42</v>
      </c>
      <c r="H59" s="44" t="s">
        <v>43</v>
      </c>
      <c r="I59" s="44" t="s">
        <v>44</v>
      </c>
      <c r="J59" s="37" t="s">
        <v>4400</v>
      </c>
      <c r="K59" s="37" t="s">
        <v>46</v>
      </c>
      <c r="L59" s="37" t="s">
        <v>47</v>
      </c>
      <c r="M59" s="37" t="s">
        <v>48</v>
      </c>
      <c r="N59" s="75" t="s">
        <v>4707</v>
      </c>
      <c r="O59" s="76" t="s">
        <v>61</v>
      </c>
      <c r="P59" s="37" t="s">
        <v>4533</v>
      </c>
      <c r="Q59" s="37" t="s">
        <v>51</v>
      </c>
      <c r="R59" s="104" t="s">
        <v>4415</v>
      </c>
      <c r="S59" s="37" t="s">
        <v>52</v>
      </c>
      <c r="T59" s="37" t="s">
        <v>53</v>
      </c>
      <c r="U59" s="37" t="s">
        <v>4532</v>
      </c>
      <c r="V59" s="45"/>
      <c r="W59" s="45"/>
      <c r="X59" s="45"/>
      <c r="Y59" s="45"/>
      <c r="Z59" s="37" t="s">
        <v>1728</v>
      </c>
      <c r="AA59" s="37" t="s">
        <v>88</v>
      </c>
      <c r="AB59" s="37" t="s">
        <v>57</v>
      </c>
      <c r="AD59" s="37">
        <v>14.89</v>
      </c>
      <c r="AE59" s="37">
        <v>14.89</v>
      </c>
      <c r="AG59" s="47" t="s">
        <v>4556</v>
      </c>
      <c r="AH59" s="47" t="s">
        <v>4552</v>
      </c>
      <c r="AK59" s="37" t="s">
        <v>58</v>
      </c>
      <c r="AL59" s="37">
        <v>59.9</v>
      </c>
      <c r="AM59" t="s">
        <v>5520</v>
      </c>
      <c r="AN59" s="74" t="s">
        <v>5630</v>
      </c>
    </row>
    <row r="60" spans="1:40" s="37" customFormat="1" ht="14.25" customHeight="1" x14ac:dyDescent="0.3">
      <c r="A60" s="37" t="s">
        <v>4559</v>
      </c>
      <c r="B60" s="37" t="s">
        <v>4577</v>
      </c>
      <c r="C60" s="37" t="s">
        <v>655</v>
      </c>
      <c r="D60" s="37" t="s">
        <v>4644</v>
      </c>
      <c r="E60" s="39" t="s">
        <v>4694</v>
      </c>
      <c r="F60" s="37" t="s">
        <v>1725</v>
      </c>
      <c r="G60" s="44" t="s">
        <v>42</v>
      </c>
      <c r="H60" s="44" t="s">
        <v>43</v>
      </c>
      <c r="I60" s="44" t="s">
        <v>44</v>
      </c>
      <c r="J60" s="37" t="s">
        <v>4400</v>
      </c>
      <c r="K60" s="37" t="s">
        <v>46</v>
      </c>
      <c r="L60" s="37" t="s">
        <v>47</v>
      </c>
      <c r="M60" s="37" t="s">
        <v>48</v>
      </c>
      <c r="N60" s="75" t="s">
        <v>4708</v>
      </c>
      <c r="O60" s="76" t="s">
        <v>64</v>
      </c>
      <c r="P60" s="37" t="s">
        <v>4533</v>
      </c>
      <c r="Q60" s="37" t="s">
        <v>51</v>
      </c>
      <c r="R60" s="104" t="s">
        <v>4415</v>
      </c>
      <c r="S60" s="37" t="s">
        <v>52</v>
      </c>
      <c r="T60" s="37" t="s">
        <v>53</v>
      </c>
      <c r="U60" s="37" t="s">
        <v>4532</v>
      </c>
      <c r="V60" s="45"/>
      <c r="W60" s="45"/>
      <c r="X60" s="45"/>
      <c r="Y60" s="45"/>
      <c r="Z60" s="37" t="s">
        <v>1728</v>
      </c>
      <c r="AA60" s="37" t="s">
        <v>88</v>
      </c>
      <c r="AB60" s="37" t="s">
        <v>57</v>
      </c>
      <c r="AD60" s="37">
        <v>14.65</v>
      </c>
      <c r="AE60" s="37">
        <v>14.65</v>
      </c>
      <c r="AG60" s="47" t="s">
        <v>4556</v>
      </c>
      <c r="AH60" s="47" t="s">
        <v>4552</v>
      </c>
      <c r="AK60" s="37" t="s">
        <v>58</v>
      </c>
      <c r="AL60" s="37">
        <v>59.9</v>
      </c>
      <c r="AM60" t="s">
        <v>5520</v>
      </c>
      <c r="AN60" s="74" t="s">
        <v>5630</v>
      </c>
    </row>
    <row r="61" spans="1:40" s="37" customFormat="1" ht="14.25" customHeight="1" x14ac:dyDescent="0.3">
      <c r="A61" s="37" t="s">
        <v>4559</v>
      </c>
      <c r="B61" s="37" t="s">
        <v>4578</v>
      </c>
      <c r="C61" s="37" t="s">
        <v>655</v>
      </c>
      <c r="D61" s="37" t="s">
        <v>4645</v>
      </c>
      <c r="E61" s="39" t="s">
        <v>4694</v>
      </c>
      <c r="F61" s="37" t="s">
        <v>1725</v>
      </c>
      <c r="G61" s="44" t="s">
        <v>42</v>
      </c>
      <c r="H61" s="44" t="s">
        <v>43</v>
      </c>
      <c r="I61" s="44" t="s">
        <v>44</v>
      </c>
      <c r="J61" s="37" t="s">
        <v>4400</v>
      </c>
      <c r="K61" s="37" t="s">
        <v>46</v>
      </c>
      <c r="L61" s="37" t="s">
        <v>47</v>
      </c>
      <c r="M61" s="37" t="s">
        <v>48</v>
      </c>
      <c r="N61" s="75" t="s">
        <v>4701</v>
      </c>
      <c r="O61" s="76" t="s">
        <v>586</v>
      </c>
      <c r="P61" s="37" t="s">
        <v>4533</v>
      </c>
      <c r="Q61" s="37" t="s">
        <v>51</v>
      </c>
      <c r="R61" s="104" t="s">
        <v>4415</v>
      </c>
      <c r="S61" s="37" t="s">
        <v>52</v>
      </c>
      <c r="T61" s="37" t="s">
        <v>53</v>
      </c>
      <c r="U61" s="37" t="s">
        <v>4532</v>
      </c>
      <c r="V61" s="45"/>
      <c r="W61" s="45"/>
      <c r="X61" s="45"/>
      <c r="Y61" s="45"/>
      <c r="Z61" s="37" t="s">
        <v>1728</v>
      </c>
      <c r="AA61" s="37" t="s">
        <v>88</v>
      </c>
      <c r="AB61" s="37" t="s">
        <v>57</v>
      </c>
      <c r="AD61" s="37">
        <v>14.8</v>
      </c>
      <c r="AE61" s="37">
        <v>14.8</v>
      </c>
      <c r="AG61" s="47" t="s">
        <v>4556</v>
      </c>
      <c r="AH61" s="47" t="s">
        <v>4552</v>
      </c>
      <c r="AK61" s="37" t="s">
        <v>58</v>
      </c>
      <c r="AL61" s="37">
        <v>59.9</v>
      </c>
      <c r="AM61" t="s">
        <v>5520</v>
      </c>
      <c r="AN61" s="74" t="s">
        <v>5630</v>
      </c>
    </row>
    <row r="62" spans="1:40" s="37" customFormat="1" ht="14.25" customHeight="1" x14ac:dyDescent="0.3">
      <c r="A62" s="37" t="s">
        <v>4559</v>
      </c>
      <c r="B62" s="37" t="s">
        <v>4579</v>
      </c>
      <c r="C62" s="37" t="s">
        <v>655</v>
      </c>
      <c r="D62" s="37" t="s">
        <v>4646</v>
      </c>
      <c r="E62" s="39" t="s">
        <v>4694</v>
      </c>
      <c r="F62" s="37" t="s">
        <v>1725</v>
      </c>
      <c r="G62" s="44" t="s">
        <v>42</v>
      </c>
      <c r="H62" s="44" t="s">
        <v>43</v>
      </c>
      <c r="I62" s="44" t="s">
        <v>44</v>
      </c>
      <c r="J62" s="37" t="s">
        <v>4400</v>
      </c>
      <c r="K62" s="37" t="s">
        <v>46</v>
      </c>
      <c r="L62" s="37" t="s">
        <v>47</v>
      </c>
      <c r="M62" s="37" t="s">
        <v>48</v>
      </c>
      <c r="N62" s="75" t="s">
        <v>4709</v>
      </c>
      <c r="O62" s="76" t="s">
        <v>586</v>
      </c>
      <c r="P62" s="37" t="s">
        <v>4533</v>
      </c>
      <c r="Q62" s="37" t="s">
        <v>51</v>
      </c>
      <c r="R62" s="104" t="s">
        <v>4415</v>
      </c>
      <c r="S62" s="37" t="s">
        <v>52</v>
      </c>
      <c r="T62" s="37" t="s">
        <v>53</v>
      </c>
      <c r="U62" s="37" t="s">
        <v>4532</v>
      </c>
      <c r="V62" s="45"/>
      <c r="W62" s="45"/>
      <c r="X62" s="45"/>
      <c r="Y62" s="45"/>
      <c r="Z62" s="37" t="s">
        <v>1728</v>
      </c>
      <c r="AA62" s="37" t="s">
        <v>88</v>
      </c>
      <c r="AB62" s="37" t="s">
        <v>57</v>
      </c>
      <c r="AD62" s="37">
        <v>14.47</v>
      </c>
      <c r="AE62" s="37">
        <v>14.47</v>
      </c>
      <c r="AG62" s="47" t="s">
        <v>4556</v>
      </c>
      <c r="AH62" s="47" t="s">
        <v>4552</v>
      </c>
      <c r="AK62" s="37" t="s">
        <v>58</v>
      </c>
      <c r="AL62" s="37">
        <v>59.9</v>
      </c>
      <c r="AM62" t="s">
        <v>5520</v>
      </c>
      <c r="AN62" s="74" t="s">
        <v>5630</v>
      </c>
    </row>
    <row r="63" spans="1:40" s="37" customFormat="1" ht="14.25" customHeight="1" x14ac:dyDescent="0.3">
      <c r="A63" s="37" t="s">
        <v>4559</v>
      </c>
      <c r="B63" s="37" t="s">
        <v>4580</v>
      </c>
      <c r="C63" s="37" t="s">
        <v>655</v>
      </c>
      <c r="D63" s="37" t="s">
        <v>4647</v>
      </c>
      <c r="E63" s="39" t="s">
        <v>4694</v>
      </c>
      <c r="F63" s="37" t="s">
        <v>1725</v>
      </c>
      <c r="G63" s="44" t="s">
        <v>42</v>
      </c>
      <c r="H63" s="44" t="s">
        <v>43</v>
      </c>
      <c r="I63" s="44" t="s">
        <v>44</v>
      </c>
      <c r="J63" s="37" t="s">
        <v>4400</v>
      </c>
      <c r="K63" s="37" t="s">
        <v>46</v>
      </c>
      <c r="L63" s="37" t="s">
        <v>47</v>
      </c>
      <c r="M63" s="37" t="s">
        <v>48</v>
      </c>
      <c r="N63" s="75" t="s">
        <v>4702</v>
      </c>
      <c r="O63" s="76" t="s">
        <v>586</v>
      </c>
      <c r="P63" s="37" t="s">
        <v>4533</v>
      </c>
      <c r="Q63" s="37" t="s">
        <v>51</v>
      </c>
      <c r="R63" s="104" t="s">
        <v>4415</v>
      </c>
      <c r="S63" s="37" t="s">
        <v>52</v>
      </c>
      <c r="T63" s="37" t="s">
        <v>53</v>
      </c>
      <c r="U63" s="37" t="s">
        <v>4532</v>
      </c>
      <c r="V63" s="45"/>
      <c r="W63" s="45"/>
      <c r="X63" s="45"/>
      <c r="Y63" s="45"/>
      <c r="Z63" s="37" t="s">
        <v>1728</v>
      </c>
      <c r="AA63" s="37" t="s">
        <v>88</v>
      </c>
      <c r="AB63" s="37" t="s">
        <v>57</v>
      </c>
      <c r="AD63" s="37">
        <v>14.65</v>
      </c>
      <c r="AE63" s="37">
        <v>14.65</v>
      </c>
      <c r="AG63" s="47" t="s">
        <v>4556</v>
      </c>
      <c r="AH63" s="47" t="s">
        <v>4552</v>
      </c>
      <c r="AK63" s="37" t="s">
        <v>58</v>
      </c>
      <c r="AL63" s="37">
        <v>59.9</v>
      </c>
      <c r="AM63" t="s">
        <v>5520</v>
      </c>
      <c r="AN63" s="74" t="s">
        <v>5630</v>
      </c>
    </row>
    <row r="64" spans="1:40" s="37" customFormat="1" ht="14.25" customHeight="1" x14ac:dyDescent="0.3">
      <c r="A64" s="37" t="s">
        <v>4559</v>
      </c>
      <c r="B64" s="37" t="s">
        <v>4581</v>
      </c>
      <c r="C64" s="37" t="s">
        <v>655</v>
      </c>
      <c r="D64" s="37" t="s">
        <v>4648</v>
      </c>
      <c r="E64" s="39" t="s">
        <v>4694</v>
      </c>
      <c r="F64" s="37" t="s">
        <v>1725</v>
      </c>
      <c r="G64" s="44" t="s">
        <v>42</v>
      </c>
      <c r="H64" s="44" t="s">
        <v>43</v>
      </c>
      <c r="I64" s="44" t="s">
        <v>44</v>
      </c>
      <c r="J64" s="37" t="s">
        <v>4400</v>
      </c>
      <c r="K64" s="37" t="s">
        <v>46</v>
      </c>
      <c r="L64" s="37" t="s">
        <v>47</v>
      </c>
      <c r="M64" s="37" t="s">
        <v>48</v>
      </c>
      <c r="N64" s="75" t="s">
        <v>4703</v>
      </c>
      <c r="O64" s="76" t="s">
        <v>586</v>
      </c>
      <c r="P64" s="37" t="s">
        <v>4533</v>
      </c>
      <c r="Q64" s="37" t="s">
        <v>51</v>
      </c>
      <c r="R64" s="104" t="s">
        <v>4415</v>
      </c>
      <c r="S64" s="37" t="s">
        <v>52</v>
      </c>
      <c r="T64" s="37" t="s">
        <v>53</v>
      </c>
      <c r="U64" s="37" t="s">
        <v>4532</v>
      </c>
      <c r="V64" s="45"/>
      <c r="W64" s="45"/>
      <c r="X64" s="45"/>
      <c r="Y64" s="45"/>
      <c r="Z64" s="37" t="s">
        <v>1728</v>
      </c>
      <c r="AA64" s="37" t="s">
        <v>88</v>
      </c>
      <c r="AB64" s="37" t="s">
        <v>57</v>
      </c>
      <c r="AD64" s="37">
        <v>14.65</v>
      </c>
      <c r="AE64" s="37">
        <v>14.65</v>
      </c>
      <c r="AG64" s="47" t="s">
        <v>4556</v>
      </c>
      <c r="AH64" s="47" t="s">
        <v>4552</v>
      </c>
      <c r="AK64" s="37" t="s">
        <v>58</v>
      </c>
      <c r="AL64" s="37">
        <v>59.9</v>
      </c>
      <c r="AM64" t="s">
        <v>5520</v>
      </c>
      <c r="AN64" s="74" t="s">
        <v>5630</v>
      </c>
    </row>
    <row r="65" spans="1:40" s="37" customFormat="1" ht="14.25" customHeight="1" x14ac:dyDescent="0.3">
      <c r="A65" s="37" t="s">
        <v>4559</v>
      </c>
      <c r="B65" s="37" t="s">
        <v>4582</v>
      </c>
      <c r="C65" s="37" t="s">
        <v>655</v>
      </c>
      <c r="D65" s="37" t="s">
        <v>4649</v>
      </c>
      <c r="E65" s="39" t="s">
        <v>4694</v>
      </c>
      <c r="F65" s="37" t="s">
        <v>1725</v>
      </c>
      <c r="G65" s="44" t="s">
        <v>42</v>
      </c>
      <c r="H65" s="44" t="s">
        <v>43</v>
      </c>
      <c r="I65" s="44" t="s">
        <v>44</v>
      </c>
      <c r="J65" s="37" t="s">
        <v>4400</v>
      </c>
      <c r="K65" s="37" t="s">
        <v>46</v>
      </c>
      <c r="L65" s="37" t="s">
        <v>47</v>
      </c>
      <c r="M65" s="37" t="s">
        <v>48</v>
      </c>
      <c r="N65" s="75" t="s">
        <v>4710</v>
      </c>
      <c r="O65" s="76" t="s">
        <v>61</v>
      </c>
      <c r="P65" s="37" t="s">
        <v>4533</v>
      </c>
      <c r="Q65" s="37" t="s">
        <v>51</v>
      </c>
      <c r="R65" s="104" t="s">
        <v>4415</v>
      </c>
      <c r="S65" s="37" t="s">
        <v>52</v>
      </c>
      <c r="T65" s="37" t="s">
        <v>53</v>
      </c>
      <c r="U65" s="37" t="s">
        <v>4532</v>
      </c>
      <c r="V65" s="45"/>
      <c r="W65" s="45"/>
      <c r="X65" s="45"/>
      <c r="Y65" s="45"/>
      <c r="Z65" s="37" t="s">
        <v>1728</v>
      </c>
      <c r="AA65" s="37" t="s">
        <v>88</v>
      </c>
      <c r="AB65" s="37" t="s">
        <v>57</v>
      </c>
      <c r="AD65" s="37">
        <v>14.65</v>
      </c>
      <c r="AE65" s="37">
        <v>14.65</v>
      </c>
      <c r="AG65" s="47" t="s">
        <v>4556</v>
      </c>
      <c r="AH65" s="47" t="s">
        <v>4552</v>
      </c>
      <c r="AK65" s="37" t="s">
        <v>58</v>
      </c>
      <c r="AL65" s="37">
        <v>59.9</v>
      </c>
      <c r="AM65" t="s">
        <v>5520</v>
      </c>
      <c r="AN65" s="74" t="s">
        <v>5630</v>
      </c>
    </row>
    <row r="66" spans="1:40" s="37" customFormat="1" ht="14.25" customHeight="1" x14ac:dyDescent="0.3">
      <c r="A66" s="37" t="s">
        <v>4559</v>
      </c>
      <c r="B66" s="37" t="s">
        <v>4583</v>
      </c>
      <c r="C66" s="37" t="s">
        <v>655</v>
      </c>
      <c r="D66" s="37" t="s">
        <v>4650</v>
      </c>
      <c r="E66" s="39" t="s">
        <v>4694</v>
      </c>
      <c r="F66" s="37" t="s">
        <v>1725</v>
      </c>
      <c r="G66" s="44" t="s">
        <v>42</v>
      </c>
      <c r="H66" s="44" t="s">
        <v>43</v>
      </c>
      <c r="I66" s="44" t="s">
        <v>44</v>
      </c>
      <c r="J66" s="37" t="s">
        <v>4400</v>
      </c>
      <c r="K66" s="37" t="s">
        <v>46</v>
      </c>
      <c r="L66" s="37" t="s">
        <v>47</v>
      </c>
      <c r="M66" s="37" t="s">
        <v>48</v>
      </c>
      <c r="N66" s="75" t="s">
        <v>4697</v>
      </c>
      <c r="O66" s="76" t="s">
        <v>61</v>
      </c>
      <c r="P66" s="37" t="s">
        <v>4533</v>
      </c>
      <c r="Q66" s="37" t="s">
        <v>51</v>
      </c>
      <c r="R66" s="104" t="s">
        <v>4415</v>
      </c>
      <c r="S66" s="37" t="s">
        <v>52</v>
      </c>
      <c r="T66" s="37" t="s">
        <v>53</v>
      </c>
      <c r="U66" s="37" t="s">
        <v>4532</v>
      </c>
      <c r="V66" s="45"/>
      <c r="W66" s="45"/>
      <c r="X66" s="45"/>
      <c r="Y66" s="45"/>
      <c r="Z66" s="37" t="s">
        <v>1728</v>
      </c>
      <c r="AA66" s="37" t="s">
        <v>88</v>
      </c>
      <c r="AB66" s="37" t="s">
        <v>57</v>
      </c>
      <c r="AD66" s="37">
        <v>14.65</v>
      </c>
      <c r="AE66" s="37">
        <v>14.65</v>
      </c>
      <c r="AG66" s="47" t="s">
        <v>4556</v>
      </c>
      <c r="AH66" s="47" t="s">
        <v>4552</v>
      </c>
      <c r="AK66" s="37" t="s">
        <v>58</v>
      </c>
      <c r="AL66" s="37">
        <v>59.9</v>
      </c>
      <c r="AM66" t="s">
        <v>5520</v>
      </c>
      <c r="AN66" s="74" t="s">
        <v>5630</v>
      </c>
    </row>
    <row r="67" spans="1:40" s="37" customFormat="1" ht="14.25" customHeight="1" x14ac:dyDescent="0.3">
      <c r="A67" s="37" t="s">
        <v>4559</v>
      </c>
      <c r="B67" s="37" t="s">
        <v>4584</v>
      </c>
      <c r="C67" s="37" t="s">
        <v>655</v>
      </c>
      <c r="D67" s="37" t="s">
        <v>4651</v>
      </c>
      <c r="E67" s="39" t="s">
        <v>4694</v>
      </c>
      <c r="F67" s="37" t="s">
        <v>1725</v>
      </c>
      <c r="G67" s="44" t="s">
        <v>42</v>
      </c>
      <c r="H67" s="44" t="s">
        <v>43</v>
      </c>
      <c r="I67" s="44" t="s">
        <v>44</v>
      </c>
      <c r="J67" s="37" t="s">
        <v>4400</v>
      </c>
      <c r="K67" s="37" t="s">
        <v>46</v>
      </c>
      <c r="L67" s="37" t="s">
        <v>47</v>
      </c>
      <c r="M67" s="37" t="s">
        <v>48</v>
      </c>
      <c r="N67" s="75" t="s">
        <v>4704</v>
      </c>
      <c r="O67" s="76" t="s">
        <v>599</v>
      </c>
      <c r="P67" s="37" t="s">
        <v>4533</v>
      </c>
      <c r="Q67" s="37" t="s">
        <v>51</v>
      </c>
      <c r="R67" s="104" t="s">
        <v>4415</v>
      </c>
      <c r="S67" s="37" t="s">
        <v>52</v>
      </c>
      <c r="T67" s="37" t="s">
        <v>53</v>
      </c>
      <c r="U67" s="37" t="s">
        <v>4532</v>
      </c>
      <c r="V67" s="45"/>
      <c r="W67" s="45"/>
      <c r="X67" s="45"/>
      <c r="Y67" s="45"/>
      <c r="Z67" s="37" t="s">
        <v>1728</v>
      </c>
      <c r="AA67" s="37" t="s">
        <v>88</v>
      </c>
      <c r="AB67" s="37" t="s">
        <v>57</v>
      </c>
      <c r="AD67" s="37">
        <v>14.65</v>
      </c>
      <c r="AE67" s="37">
        <v>14.65</v>
      </c>
      <c r="AG67" s="47" t="s">
        <v>4556</v>
      </c>
      <c r="AH67" s="47" t="s">
        <v>4552</v>
      </c>
      <c r="AK67" s="37" t="s">
        <v>58</v>
      </c>
      <c r="AL67" s="37">
        <v>59.9</v>
      </c>
      <c r="AM67" t="s">
        <v>5520</v>
      </c>
      <c r="AN67" s="74" t="s">
        <v>5630</v>
      </c>
    </row>
    <row r="68" spans="1:40" s="37" customFormat="1" ht="14.25" customHeight="1" x14ac:dyDescent="0.3">
      <c r="A68" s="37" t="s">
        <v>4559</v>
      </c>
      <c r="B68" s="37" t="s">
        <v>4585</v>
      </c>
      <c r="C68" s="37" t="s">
        <v>655</v>
      </c>
      <c r="D68" s="37" t="s">
        <v>4652</v>
      </c>
      <c r="E68" s="39" t="s">
        <v>4694</v>
      </c>
      <c r="F68" s="37" t="s">
        <v>1725</v>
      </c>
      <c r="G68" s="44" t="s">
        <v>42</v>
      </c>
      <c r="H68" s="44" t="s">
        <v>43</v>
      </c>
      <c r="I68" s="44" t="s">
        <v>44</v>
      </c>
      <c r="J68" s="37" t="s">
        <v>4400</v>
      </c>
      <c r="K68" s="37" t="s">
        <v>46</v>
      </c>
      <c r="L68" s="37" t="s">
        <v>47</v>
      </c>
      <c r="M68" s="37" t="s">
        <v>48</v>
      </c>
      <c r="N68" s="75" t="s">
        <v>4705</v>
      </c>
      <c r="O68" s="76" t="s">
        <v>328</v>
      </c>
      <c r="P68" s="37" t="s">
        <v>4533</v>
      </c>
      <c r="Q68" s="37" t="s">
        <v>51</v>
      </c>
      <c r="R68" s="104" t="s">
        <v>4415</v>
      </c>
      <c r="S68" s="37" t="s">
        <v>52</v>
      </c>
      <c r="T68" s="37" t="s">
        <v>53</v>
      </c>
      <c r="U68" s="37" t="s">
        <v>4532</v>
      </c>
      <c r="V68" s="45"/>
      <c r="W68" s="45"/>
      <c r="X68" s="45"/>
      <c r="Y68" s="45"/>
      <c r="Z68" s="37" t="s">
        <v>1728</v>
      </c>
      <c r="AA68" s="37" t="s">
        <v>88</v>
      </c>
      <c r="AB68" s="37" t="s">
        <v>57</v>
      </c>
      <c r="AD68" s="37">
        <v>14.34</v>
      </c>
      <c r="AE68" s="37">
        <v>14.34</v>
      </c>
      <c r="AG68" s="47" t="s">
        <v>4556</v>
      </c>
      <c r="AH68" s="47" t="s">
        <v>4552</v>
      </c>
      <c r="AK68" s="37" t="s">
        <v>58</v>
      </c>
      <c r="AL68" s="37">
        <v>59.9</v>
      </c>
      <c r="AM68" t="s">
        <v>5520</v>
      </c>
      <c r="AN68" s="74" t="s">
        <v>5630</v>
      </c>
    </row>
    <row r="69" spans="1:40" s="37" customFormat="1" ht="14.25" customHeight="1" x14ac:dyDescent="0.3">
      <c r="A69" s="37" t="s">
        <v>4559</v>
      </c>
      <c r="B69" s="37" t="s">
        <v>4586</v>
      </c>
      <c r="C69" s="37" t="s">
        <v>655</v>
      </c>
      <c r="D69" s="37" t="s">
        <v>4653</v>
      </c>
      <c r="E69" s="39" t="s">
        <v>4694</v>
      </c>
      <c r="F69" s="37" t="s">
        <v>1725</v>
      </c>
      <c r="G69" s="44" t="s">
        <v>42</v>
      </c>
      <c r="H69" s="44" t="s">
        <v>43</v>
      </c>
      <c r="I69" s="44" t="s">
        <v>44</v>
      </c>
      <c r="J69" s="37" t="s">
        <v>4400</v>
      </c>
      <c r="K69" s="37" t="s">
        <v>46</v>
      </c>
      <c r="L69" s="37" t="s">
        <v>47</v>
      </c>
      <c r="M69" s="37" t="s">
        <v>48</v>
      </c>
      <c r="N69" s="75" t="s">
        <v>4700</v>
      </c>
      <c r="O69" s="76" t="s">
        <v>586</v>
      </c>
      <c r="P69" s="37" t="s">
        <v>4533</v>
      </c>
      <c r="Q69" s="37" t="s">
        <v>51</v>
      </c>
      <c r="R69" s="104" t="s">
        <v>4415</v>
      </c>
      <c r="S69" s="37" t="s">
        <v>52</v>
      </c>
      <c r="T69" s="37" t="s">
        <v>53</v>
      </c>
      <c r="U69" s="37" t="s">
        <v>4532</v>
      </c>
      <c r="V69" s="45"/>
      <c r="W69" s="45"/>
      <c r="X69" s="45"/>
      <c r="Y69" s="45"/>
      <c r="Z69" s="37" t="s">
        <v>1728</v>
      </c>
      <c r="AA69" s="37" t="s">
        <v>88</v>
      </c>
      <c r="AB69" s="37" t="s">
        <v>57</v>
      </c>
      <c r="AD69" s="37">
        <v>14.83</v>
      </c>
      <c r="AE69" s="37">
        <v>14.83</v>
      </c>
      <c r="AG69" s="47" t="s">
        <v>4556</v>
      </c>
      <c r="AH69" s="47" t="s">
        <v>4552</v>
      </c>
      <c r="AK69" s="37" t="s">
        <v>58</v>
      </c>
      <c r="AL69" s="37">
        <v>59.9</v>
      </c>
      <c r="AM69" t="s">
        <v>5520</v>
      </c>
      <c r="AN69" s="74" t="s">
        <v>5630</v>
      </c>
    </row>
    <row r="70" spans="1:40" s="37" customFormat="1" ht="14.25" customHeight="1" x14ac:dyDescent="0.3">
      <c r="A70" s="37" t="s">
        <v>4559</v>
      </c>
      <c r="B70" s="37" t="s">
        <v>4587</v>
      </c>
      <c r="C70" s="37" t="s">
        <v>655</v>
      </c>
      <c r="D70" s="37" t="s">
        <v>4654</v>
      </c>
      <c r="E70" s="39" t="s">
        <v>4694</v>
      </c>
      <c r="F70" s="37" t="s">
        <v>1725</v>
      </c>
      <c r="G70" s="44" t="s">
        <v>42</v>
      </c>
      <c r="H70" s="44" t="s">
        <v>43</v>
      </c>
      <c r="I70" s="44" t="s">
        <v>44</v>
      </c>
      <c r="J70" s="37" t="s">
        <v>4400</v>
      </c>
      <c r="K70" s="37" t="s">
        <v>46</v>
      </c>
      <c r="L70" s="37" t="s">
        <v>47</v>
      </c>
      <c r="M70" s="37" t="s">
        <v>48</v>
      </c>
      <c r="N70" s="75" t="s">
        <v>4711</v>
      </c>
      <c r="O70" s="76" t="s">
        <v>586</v>
      </c>
      <c r="P70" s="37" t="s">
        <v>4533</v>
      </c>
      <c r="Q70" s="37" t="s">
        <v>51</v>
      </c>
      <c r="R70" s="104" t="s">
        <v>4415</v>
      </c>
      <c r="S70" s="37" t="s">
        <v>52</v>
      </c>
      <c r="T70" s="37" t="s">
        <v>53</v>
      </c>
      <c r="U70" s="37" t="s">
        <v>4532</v>
      </c>
      <c r="V70" s="45"/>
      <c r="W70" s="45"/>
      <c r="X70" s="45"/>
      <c r="Y70" s="45"/>
      <c r="Z70" s="37" t="s">
        <v>1728</v>
      </c>
      <c r="AA70" s="37" t="s">
        <v>88</v>
      </c>
      <c r="AB70" s="37" t="s">
        <v>57</v>
      </c>
      <c r="AD70" s="37">
        <v>14.65</v>
      </c>
      <c r="AE70" s="37">
        <v>14.65</v>
      </c>
      <c r="AG70" s="47" t="s">
        <v>4556</v>
      </c>
      <c r="AH70" s="47" t="s">
        <v>4552</v>
      </c>
      <c r="AK70" s="37" t="s">
        <v>58</v>
      </c>
      <c r="AL70" s="37">
        <v>59.9</v>
      </c>
      <c r="AM70" t="s">
        <v>5520</v>
      </c>
      <c r="AN70" s="74" t="s">
        <v>5630</v>
      </c>
    </row>
    <row r="71" spans="1:40" s="37" customFormat="1" ht="14.25" customHeight="1" x14ac:dyDescent="0.3">
      <c r="A71" s="37" t="s">
        <v>4559</v>
      </c>
      <c r="B71" s="37" t="s">
        <v>4588</v>
      </c>
      <c r="C71" s="37" t="s">
        <v>655</v>
      </c>
      <c r="D71" s="37" t="s">
        <v>4655</v>
      </c>
      <c r="E71" s="39" t="s">
        <v>4694</v>
      </c>
      <c r="F71" s="37" t="s">
        <v>1725</v>
      </c>
      <c r="G71" s="44" t="s">
        <v>42</v>
      </c>
      <c r="H71" s="44" t="s">
        <v>43</v>
      </c>
      <c r="I71" s="44" t="s">
        <v>44</v>
      </c>
      <c r="J71" s="37" t="s">
        <v>4400</v>
      </c>
      <c r="K71" s="37" t="s">
        <v>46</v>
      </c>
      <c r="L71" s="37" t="s">
        <v>47</v>
      </c>
      <c r="M71" s="37" t="s">
        <v>48</v>
      </c>
      <c r="N71" s="75" t="s">
        <v>4701</v>
      </c>
      <c r="O71" s="76" t="s">
        <v>586</v>
      </c>
      <c r="P71" s="37" t="s">
        <v>4402</v>
      </c>
      <c r="Q71" s="37" t="s">
        <v>51</v>
      </c>
      <c r="R71" s="104" t="s">
        <v>4416</v>
      </c>
      <c r="S71" s="37" t="s">
        <v>52</v>
      </c>
      <c r="T71" s="37" t="s">
        <v>4531</v>
      </c>
      <c r="U71" s="37" t="s">
        <v>4532</v>
      </c>
      <c r="V71" s="45"/>
      <c r="W71" s="45"/>
      <c r="X71" s="45"/>
      <c r="Y71" s="45"/>
      <c r="Z71" s="37" t="s">
        <v>1728</v>
      </c>
      <c r="AA71" s="37" t="s">
        <v>88</v>
      </c>
      <c r="AB71" s="37" t="s">
        <v>57</v>
      </c>
      <c r="AD71" s="37">
        <v>31.65</v>
      </c>
      <c r="AE71" s="37">
        <v>31.65</v>
      </c>
      <c r="AG71" s="47" t="s">
        <v>4417</v>
      </c>
      <c r="AH71" s="47" t="s">
        <v>4421</v>
      </c>
      <c r="AK71" s="37" t="s">
        <v>58</v>
      </c>
      <c r="AL71" s="37">
        <v>59.9</v>
      </c>
      <c r="AM71" t="s">
        <v>5520</v>
      </c>
      <c r="AN71" s="74" t="s">
        <v>5630</v>
      </c>
    </row>
    <row r="72" spans="1:40" s="37" customFormat="1" ht="14.25" customHeight="1" x14ac:dyDescent="0.3">
      <c r="A72" s="37" t="s">
        <v>4559</v>
      </c>
      <c r="B72" s="37" t="s">
        <v>4589</v>
      </c>
      <c r="C72" s="37" t="s">
        <v>655</v>
      </c>
      <c r="D72" s="37" t="s">
        <v>4656</v>
      </c>
      <c r="E72" s="39" t="s">
        <v>4694</v>
      </c>
      <c r="F72" s="37" t="s">
        <v>1725</v>
      </c>
      <c r="G72" s="44" t="s">
        <v>42</v>
      </c>
      <c r="H72" s="44" t="s">
        <v>43</v>
      </c>
      <c r="I72" s="44" t="s">
        <v>44</v>
      </c>
      <c r="J72" s="37" t="s">
        <v>4400</v>
      </c>
      <c r="K72" s="37" t="s">
        <v>46</v>
      </c>
      <c r="L72" s="37" t="s">
        <v>47</v>
      </c>
      <c r="M72" s="37" t="s">
        <v>48</v>
      </c>
      <c r="N72" s="75" t="s">
        <v>4702</v>
      </c>
      <c r="O72" s="76" t="s">
        <v>586</v>
      </c>
      <c r="P72" s="37" t="s">
        <v>4402</v>
      </c>
      <c r="Q72" s="37" t="s">
        <v>51</v>
      </c>
      <c r="R72" s="104" t="s">
        <v>4416</v>
      </c>
      <c r="S72" s="37" t="s">
        <v>52</v>
      </c>
      <c r="T72" s="37" t="s">
        <v>4531</v>
      </c>
      <c r="U72" s="37" t="s">
        <v>4532</v>
      </c>
      <c r="V72" s="45"/>
      <c r="W72" s="45"/>
      <c r="X72" s="45"/>
      <c r="Y72" s="45"/>
      <c r="Z72" s="37" t="s">
        <v>1728</v>
      </c>
      <c r="AA72" s="37" t="s">
        <v>88</v>
      </c>
      <c r="AB72" s="37" t="s">
        <v>57</v>
      </c>
      <c r="AD72" s="37">
        <v>32</v>
      </c>
      <c r="AE72" s="37">
        <v>32</v>
      </c>
      <c r="AG72" s="47" t="s">
        <v>4417</v>
      </c>
      <c r="AH72" s="47" t="s">
        <v>4421</v>
      </c>
      <c r="AK72" s="37" t="s">
        <v>58</v>
      </c>
      <c r="AL72" s="37">
        <v>59.9</v>
      </c>
      <c r="AM72" t="s">
        <v>5520</v>
      </c>
      <c r="AN72" s="74" t="s">
        <v>5630</v>
      </c>
    </row>
    <row r="73" spans="1:40" s="37" customFormat="1" ht="14.25" customHeight="1" x14ac:dyDescent="0.3">
      <c r="A73" s="37" t="s">
        <v>4559</v>
      </c>
      <c r="B73" s="37" t="s">
        <v>4590</v>
      </c>
      <c r="C73" s="37" t="s">
        <v>655</v>
      </c>
      <c r="D73" s="37" t="s">
        <v>4657</v>
      </c>
      <c r="E73" s="39" t="s">
        <v>4694</v>
      </c>
      <c r="F73" s="37" t="s">
        <v>1725</v>
      </c>
      <c r="G73" s="44" t="s">
        <v>42</v>
      </c>
      <c r="H73" s="44" t="s">
        <v>43</v>
      </c>
      <c r="I73" s="44" t="s">
        <v>44</v>
      </c>
      <c r="J73" s="37" t="s">
        <v>4400</v>
      </c>
      <c r="K73" s="37" t="s">
        <v>46</v>
      </c>
      <c r="L73" s="37" t="s">
        <v>47</v>
      </c>
      <c r="M73" s="37" t="s">
        <v>48</v>
      </c>
      <c r="N73" s="75" t="s">
        <v>4703</v>
      </c>
      <c r="O73" s="76" t="s">
        <v>586</v>
      </c>
      <c r="P73" s="37" t="s">
        <v>4402</v>
      </c>
      <c r="Q73" s="37" t="s">
        <v>51</v>
      </c>
      <c r="R73" s="104" t="s">
        <v>4416</v>
      </c>
      <c r="S73" s="37" t="s">
        <v>52</v>
      </c>
      <c r="T73" s="37" t="s">
        <v>4531</v>
      </c>
      <c r="U73" s="37" t="s">
        <v>4532</v>
      </c>
      <c r="V73" s="45"/>
      <c r="W73" s="45"/>
      <c r="X73" s="45"/>
      <c r="Y73" s="45"/>
      <c r="Z73" s="37" t="s">
        <v>1728</v>
      </c>
      <c r="AA73" s="37" t="s">
        <v>88</v>
      </c>
      <c r="AB73" s="37" t="s">
        <v>57</v>
      </c>
      <c r="AD73" s="37">
        <v>31.61</v>
      </c>
      <c r="AE73" s="37">
        <v>31.61</v>
      </c>
      <c r="AG73" s="47" t="s">
        <v>4417</v>
      </c>
      <c r="AH73" s="47" t="s">
        <v>4421</v>
      </c>
      <c r="AK73" s="37" t="s">
        <v>58</v>
      </c>
      <c r="AL73" s="37">
        <v>59.9</v>
      </c>
      <c r="AM73" t="s">
        <v>5520</v>
      </c>
      <c r="AN73" s="74" t="s">
        <v>5630</v>
      </c>
    </row>
    <row r="74" spans="1:40" s="37" customFormat="1" ht="14.25" customHeight="1" x14ac:dyDescent="0.3">
      <c r="A74" s="37" t="s">
        <v>4559</v>
      </c>
      <c r="B74" s="37" t="s">
        <v>4591</v>
      </c>
      <c r="C74" s="37" t="s">
        <v>655</v>
      </c>
      <c r="D74" s="37" t="s">
        <v>4658</v>
      </c>
      <c r="E74" s="39" t="s">
        <v>4694</v>
      </c>
      <c r="F74" s="37" t="s">
        <v>1725</v>
      </c>
      <c r="G74" s="44" t="s">
        <v>42</v>
      </c>
      <c r="H74" s="44" t="s">
        <v>43</v>
      </c>
      <c r="I74" s="44" t="s">
        <v>44</v>
      </c>
      <c r="J74" s="37" t="s">
        <v>4400</v>
      </c>
      <c r="K74" s="37" t="s">
        <v>46</v>
      </c>
      <c r="L74" s="37" t="s">
        <v>47</v>
      </c>
      <c r="M74" s="37" t="s">
        <v>48</v>
      </c>
      <c r="N74" s="75" t="s">
        <v>4704</v>
      </c>
      <c r="O74" s="76" t="s">
        <v>599</v>
      </c>
      <c r="P74" s="37" t="s">
        <v>4402</v>
      </c>
      <c r="Q74" s="37" t="s">
        <v>51</v>
      </c>
      <c r="R74" s="104" t="s">
        <v>4416</v>
      </c>
      <c r="S74" s="37" t="s">
        <v>52</v>
      </c>
      <c r="T74" s="37" t="s">
        <v>4531</v>
      </c>
      <c r="U74" s="37" t="s">
        <v>4532</v>
      </c>
      <c r="V74" s="45"/>
      <c r="W74" s="45"/>
      <c r="X74" s="45"/>
      <c r="Y74" s="45"/>
      <c r="Z74" s="37" t="s">
        <v>1728</v>
      </c>
      <c r="AA74" s="37" t="s">
        <v>88</v>
      </c>
      <c r="AB74" s="37" t="s">
        <v>57</v>
      </c>
      <c r="AD74" s="37">
        <v>30.97</v>
      </c>
      <c r="AE74" s="37">
        <v>30.97</v>
      </c>
      <c r="AG74" s="47" t="s">
        <v>4417</v>
      </c>
      <c r="AH74" s="47" t="s">
        <v>4421</v>
      </c>
      <c r="AK74" s="37" t="s">
        <v>58</v>
      </c>
      <c r="AL74" s="37">
        <v>59.9</v>
      </c>
      <c r="AM74" t="s">
        <v>5520</v>
      </c>
      <c r="AN74" s="74" t="s">
        <v>5630</v>
      </c>
    </row>
    <row r="75" spans="1:40" s="37" customFormat="1" ht="14.25" customHeight="1" x14ac:dyDescent="0.3">
      <c r="A75" s="37" t="s">
        <v>4559</v>
      </c>
      <c r="B75" s="37" t="s">
        <v>4592</v>
      </c>
      <c r="C75" s="37" t="s">
        <v>655</v>
      </c>
      <c r="D75" s="37" t="s">
        <v>4659</v>
      </c>
      <c r="E75" s="39" t="s">
        <v>4694</v>
      </c>
      <c r="F75" s="37" t="s">
        <v>1725</v>
      </c>
      <c r="G75" s="44" t="s">
        <v>42</v>
      </c>
      <c r="H75" s="44" t="s">
        <v>43</v>
      </c>
      <c r="I75" s="44" t="s">
        <v>44</v>
      </c>
      <c r="J75" s="37" t="s">
        <v>4400</v>
      </c>
      <c r="K75" s="37" t="s">
        <v>46</v>
      </c>
      <c r="L75" s="37" t="s">
        <v>47</v>
      </c>
      <c r="M75" s="37" t="s">
        <v>48</v>
      </c>
      <c r="N75" s="75" t="s">
        <v>4698</v>
      </c>
      <c r="O75" s="76" t="s">
        <v>599</v>
      </c>
      <c r="P75" s="37" t="s">
        <v>4402</v>
      </c>
      <c r="Q75" s="37" t="s">
        <v>51</v>
      </c>
      <c r="R75" s="104" t="s">
        <v>4416</v>
      </c>
      <c r="S75" s="37" t="s">
        <v>52</v>
      </c>
      <c r="T75" s="37" t="s">
        <v>4531</v>
      </c>
      <c r="U75" s="37" t="s">
        <v>4532</v>
      </c>
      <c r="V75" s="45"/>
      <c r="W75" s="45"/>
      <c r="X75" s="45"/>
      <c r="Y75" s="45"/>
      <c r="Z75" s="37" t="s">
        <v>1728</v>
      </c>
      <c r="AA75" s="37" t="s">
        <v>88</v>
      </c>
      <c r="AB75" s="37" t="s">
        <v>57</v>
      </c>
      <c r="AD75" s="37">
        <v>32</v>
      </c>
      <c r="AE75" s="37">
        <v>32</v>
      </c>
      <c r="AG75" s="47" t="s">
        <v>4417</v>
      </c>
      <c r="AH75" s="47" t="s">
        <v>4421</v>
      </c>
      <c r="AK75" s="37" t="s">
        <v>58</v>
      </c>
      <c r="AL75" s="37">
        <v>59.9</v>
      </c>
      <c r="AM75" t="s">
        <v>5520</v>
      </c>
      <c r="AN75" s="74" t="s">
        <v>5630</v>
      </c>
    </row>
    <row r="76" spans="1:40" s="37" customFormat="1" ht="14.25" customHeight="1" x14ac:dyDescent="0.3">
      <c r="A76" s="37" t="s">
        <v>4559</v>
      </c>
      <c r="B76" s="37" t="s">
        <v>4593</v>
      </c>
      <c r="C76" s="37" t="s">
        <v>655</v>
      </c>
      <c r="D76" s="37" t="s">
        <v>4660</v>
      </c>
      <c r="E76" s="39" t="s">
        <v>4694</v>
      </c>
      <c r="F76" s="37" t="s">
        <v>1725</v>
      </c>
      <c r="G76" s="44" t="s">
        <v>42</v>
      </c>
      <c r="H76" s="44" t="s">
        <v>43</v>
      </c>
      <c r="I76" s="44" t="s">
        <v>44</v>
      </c>
      <c r="J76" s="37" t="s">
        <v>4400</v>
      </c>
      <c r="K76" s="37" t="s">
        <v>46</v>
      </c>
      <c r="L76" s="37" t="s">
        <v>47</v>
      </c>
      <c r="M76" s="37" t="s">
        <v>48</v>
      </c>
      <c r="N76" s="75" t="s">
        <v>4696</v>
      </c>
      <c r="O76" s="76" t="s">
        <v>61</v>
      </c>
      <c r="P76" s="37" t="s">
        <v>4402</v>
      </c>
      <c r="Q76" s="37" t="s">
        <v>51</v>
      </c>
      <c r="R76" s="104" t="s">
        <v>4416</v>
      </c>
      <c r="S76" s="37" t="s">
        <v>52</v>
      </c>
      <c r="T76" s="37" t="s">
        <v>4531</v>
      </c>
      <c r="U76" s="37" t="s">
        <v>4532</v>
      </c>
      <c r="V76" s="45"/>
      <c r="W76" s="45"/>
      <c r="X76" s="45"/>
      <c r="Y76" s="45"/>
      <c r="Z76" s="37" t="s">
        <v>1728</v>
      </c>
      <c r="AA76" s="37" t="s">
        <v>88</v>
      </c>
      <c r="AB76" s="37" t="s">
        <v>57</v>
      </c>
      <c r="AD76" s="37">
        <v>31.39</v>
      </c>
      <c r="AE76" s="37">
        <v>31.39</v>
      </c>
      <c r="AG76" s="47" t="s">
        <v>4417</v>
      </c>
      <c r="AH76" s="47" t="s">
        <v>4421</v>
      </c>
      <c r="AK76" s="37" t="s">
        <v>58</v>
      </c>
      <c r="AL76" s="37">
        <v>59.9</v>
      </c>
      <c r="AM76" t="s">
        <v>5520</v>
      </c>
      <c r="AN76" s="74" t="s">
        <v>5630</v>
      </c>
    </row>
    <row r="77" spans="1:40" s="37" customFormat="1" ht="14.25" customHeight="1" x14ac:dyDescent="0.3">
      <c r="A77" s="37" t="s">
        <v>4559</v>
      </c>
      <c r="B77" s="37" t="s">
        <v>4594</v>
      </c>
      <c r="C77" s="37" t="s">
        <v>655</v>
      </c>
      <c r="D77" s="37" t="s">
        <v>4661</v>
      </c>
      <c r="E77" s="39" t="s">
        <v>4694</v>
      </c>
      <c r="F77" s="37" t="s">
        <v>1725</v>
      </c>
      <c r="G77" s="44" t="s">
        <v>42</v>
      </c>
      <c r="H77" s="44" t="s">
        <v>43</v>
      </c>
      <c r="I77" s="44" t="s">
        <v>44</v>
      </c>
      <c r="J77" s="37" t="s">
        <v>4400</v>
      </c>
      <c r="K77" s="37" t="s">
        <v>46</v>
      </c>
      <c r="L77" s="37" t="s">
        <v>47</v>
      </c>
      <c r="M77" s="37" t="s">
        <v>48</v>
      </c>
      <c r="N77" s="75" t="s">
        <v>4705</v>
      </c>
      <c r="O77" s="76" t="s">
        <v>328</v>
      </c>
      <c r="P77" s="37" t="s">
        <v>4402</v>
      </c>
      <c r="Q77" s="37" t="s">
        <v>51</v>
      </c>
      <c r="R77" s="104" t="s">
        <v>4416</v>
      </c>
      <c r="S77" s="37" t="s">
        <v>52</v>
      </c>
      <c r="T77" s="37" t="s">
        <v>4531</v>
      </c>
      <c r="U77" s="37" t="s">
        <v>4532</v>
      </c>
      <c r="V77" s="45"/>
      <c r="W77" s="45"/>
      <c r="X77" s="45"/>
      <c r="Y77" s="45"/>
      <c r="Z77" s="37" t="s">
        <v>1728</v>
      </c>
      <c r="AA77" s="37" t="s">
        <v>88</v>
      </c>
      <c r="AB77" s="37" t="s">
        <v>57</v>
      </c>
      <c r="AD77" s="37">
        <v>31.1</v>
      </c>
      <c r="AE77" s="37">
        <v>31.1</v>
      </c>
      <c r="AG77" s="47" t="s">
        <v>4417</v>
      </c>
      <c r="AH77" s="47" t="s">
        <v>4421</v>
      </c>
      <c r="AK77" s="37" t="s">
        <v>58</v>
      </c>
      <c r="AL77" s="37">
        <v>59.9</v>
      </c>
      <c r="AM77" t="s">
        <v>5520</v>
      </c>
      <c r="AN77" s="74" t="s">
        <v>5630</v>
      </c>
    </row>
    <row r="78" spans="1:40" s="37" customFormat="1" ht="14.25" customHeight="1" x14ac:dyDescent="0.3">
      <c r="A78" s="37" t="s">
        <v>4559</v>
      </c>
      <c r="B78" s="37" t="s">
        <v>4595</v>
      </c>
      <c r="C78" s="37" t="s">
        <v>655</v>
      </c>
      <c r="D78" s="37" t="s">
        <v>4662</v>
      </c>
      <c r="E78" s="39" t="s">
        <v>4694</v>
      </c>
      <c r="F78" s="37" t="s">
        <v>1725</v>
      </c>
      <c r="G78" s="44" t="s">
        <v>42</v>
      </c>
      <c r="H78" s="44" t="s">
        <v>43</v>
      </c>
      <c r="I78" s="44" t="s">
        <v>44</v>
      </c>
      <c r="J78" s="37" t="s">
        <v>4400</v>
      </c>
      <c r="K78" s="37" t="s">
        <v>46</v>
      </c>
      <c r="L78" s="37" t="s">
        <v>47</v>
      </c>
      <c r="M78" s="37" t="s">
        <v>48</v>
      </c>
      <c r="N78" s="75" t="s">
        <v>4699</v>
      </c>
      <c r="O78" s="76" t="s">
        <v>586</v>
      </c>
      <c r="P78" s="37" t="s">
        <v>4402</v>
      </c>
      <c r="Q78" s="37" t="s">
        <v>51</v>
      </c>
      <c r="R78" s="104" t="s">
        <v>4416</v>
      </c>
      <c r="S78" s="37" t="s">
        <v>52</v>
      </c>
      <c r="T78" s="37" t="s">
        <v>4531</v>
      </c>
      <c r="U78" s="37" t="s">
        <v>4532</v>
      </c>
      <c r="V78" s="45"/>
      <c r="W78" s="45"/>
      <c r="X78" s="45"/>
      <c r="Y78" s="45"/>
      <c r="Z78" s="37" t="s">
        <v>1728</v>
      </c>
      <c r="AA78" s="37" t="s">
        <v>88</v>
      </c>
      <c r="AB78" s="37" t="s">
        <v>57</v>
      </c>
      <c r="AD78" s="37">
        <v>31.35</v>
      </c>
      <c r="AE78" s="37">
        <v>31.35</v>
      </c>
      <c r="AG78" s="47" t="s">
        <v>4417</v>
      </c>
      <c r="AH78" s="47" t="s">
        <v>4421</v>
      </c>
      <c r="AK78" s="37" t="s">
        <v>58</v>
      </c>
      <c r="AL78" s="37">
        <v>59.9</v>
      </c>
      <c r="AM78" t="s">
        <v>5520</v>
      </c>
      <c r="AN78" s="74" t="s">
        <v>5630</v>
      </c>
    </row>
    <row r="79" spans="1:40" s="37" customFormat="1" ht="14.25" customHeight="1" x14ac:dyDescent="0.3">
      <c r="A79" s="37" t="s">
        <v>4559</v>
      </c>
      <c r="B79" s="37" t="s">
        <v>4596</v>
      </c>
      <c r="C79" s="37" t="s">
        <v>655</v>
      </c>
      <c r="D79" s="37" t="s">
        <v>4663</v>
      </c>
      <c r="E79" s="39" t="s">
        <v>4694</v>
      </c>
      <c r="F79" s="37" t="s">
        <v>1725</v>
      </c>
      <c r="G79" s="44" t="s">
        <v>42</v>
      </c>
      <c r="H79" s="44" t="s">
        <v>43</v>
      </c>
      <c r="I79" s="44" t="s">
        <v>44</v>
      </c>
      <c r="J79" s="37" t="s">
        <v>4400</v>
      </c>
      <c r="K79" s="37" t="s">
        <v>46</v>
      </c>
      <c r="L79" s="37" t="s">
        <v>47</v>
      </c>
      <c r="M79" s="37" t="s">
        <v>48</v>
      </c>
      <c r="N79" s="75" t="s">
        <v>4697</v>
      </c>
      <c r="O79" s="76" t="s">
        <v>61</v>
      </c>
      <c r="P79" s="37" t="s">
        <v>4402</v>
      </c>
      <c r="Q79" s="37" t="s">
        <v>51</v>
      </c>
      <c r="R79" s="104" t="s">
        <v>4416</v>
      </c>
      <c r="S79" s="37" t="s">
        <v>52</v>
      </c>
      <c r="T79" s="37" t="s">
        <v>4531</v>
      </c>
      <c r="U79" s="37" t="s">
        <v>4532</v>
      </c>
      <c r="V79" s="45"/>
      <c r="W79" s="45"/>
      <c r="X79" s="45"/>
      <c r="Y79" s="45"/>
      <c r="Z79" s="37" t="s">
        <v>1728</v>
      </c>
      <c r="AA79" s="37" t="s">
        <v>88</v>
      </c>
      <c r="AB79" s="37" t="s">
        <v>57</v>
      </c>
      <c r="AD79" s="37">
        <v>31.52</v>
      </c>
      <c r="AE79" s="37">
        <v>31.52</v>
      </c>
      <c r="AG79" s="47" t="s">
        <v>4417</v>
      </c>
      <c r="AH79" s="47" t="s">
        <v>4421</v>
      </c>
      <c r="AK79" s="37" t="s">
        <v>58</v>
      </c>
      <c r="AL79" s="37">
        <v>59.9</v>
      </c>
      <c r="AM79" t="s">
        <v>5520</v>
      </c>
      <c r="AN79" s="74" t="s">
        <v>5630</v>
      </c>
    </row>
    <row r="80" spans="1:40" s="37" customFormat="1" ht="14.25" customHeight="1" x14ac:dyDescent="0.3">
      <c r="A80" s="37" t="s">
        <v>4559</v>
      </c>
      <c r="B80" s="37" t="s">
        <v>4597</v>
      </c>
      <c r="C80" s="37" t="s">
        <v>655</v>
      </c>
      <c r="D80" s="37" t="s">
        <v>4664</v>
      </c>
      <c r="E80" s="39" t="s">
        <v>4694</v>
      </c>
      <c r="F80" s="37" t="s">
        <v>1725</v>
      </c>
      <c r="G80" s="44" t="s">
        <v>42</v>
      </c>
      <c r="H80" s="44" t="s">
        <v>43</v>
      </c>
      <c r="I80" s="44" t="s">
        <v>44</v>
      </c>
      <c r="J80" s="37" t="s">
        <v>4400</v>
      </c>
      <c r="K80" s="37" t="s">
        <v>46</v>
      </c>
      <c r="L80" s="37" t="s">
        <v>47</v>
      </c>
      <c r="M80" s="37" t="s">
        <v>48</v>
      </c>
      <c r="N80" s="75" t="s">
        <v>4700</v>
      </c>
      <c r="O80" s="76" t="s">
        <v>586</v>
      </c>
      <c r="P80" s="37" t="s">
        <v>4402</v>
      </c>
      <c r="Q80" s="37" t="s">
        <v>51</v>
      </c>
      <c r="R80" s="48" t="s">
        <v>4416</v>
      </c>
      <c r="S80" s="37" t="s">
        <v>52</v>
      </c>
      <c r="T80" s="37" t="s">
        <v>4531</v>
      </c>
      <c r="U80" s="37" t="s">
        <v>4532</v>
      </c>
      <c r="V80" s="45"/>
      <c r="W80" s="45"/>
      <c r="X80" s="45"/>
      <c r="Y80" s="45"/>
      <c r="Z80" s="37" t="s">
        <v>1728</v>
      </c>
      <c r="AA80" s="37" t="s">
        <v>88</v>
      </c>
      <c r="AB80" s="37" t="s">
        <v>57</v>
      </c>
      <c r="AD80" s="37">
        <v>31.57</v>
      </c>
      <c r="AE80" s="37">
        <v>31.57</v>
      </c>
      <c r="AG80" s="47" t="s">
        <v>4417</v>
      </c>
      <c r="AH80" s="47" t="s">
        <v>4421</v>
      </c>
      <c r="AK80" s="37" t="s">
        <v>58</v>
      </c>
      <c r="AL80" s="37">
        <v>59.9</v>
      </c>
      <c r="AM80" t="s">
        <v>5520</v>
      </c>
      <c r="AN80" s="74" t="s">
        <v>5630</v>
      </c>
    </row>
    <row r="81" spans="1:40" s="37" customFormat="1" ht="14.25" customHeight="1" x14ac:dyDescent="0.3">
      <c r="A81" s="37" t="s">
        <v>4559</v>
      </c>
      <c r="B81" s="37" t="s">
        <v>4598</v>
      </c>
      <c r="C81" s="37" t="s">
        <v>655</v>
      </c>
      <c r="D81" s="37" t="s">
        <v>4665</v>
      </c>
      <c r="E81" s="39" t="s">
        <v>4694</v>
      </c>
      <c r="F81" s="37" t="s">
        <v>1725</v>
      </c>
      <c r="G81" s="44" t="s">
        <v>42</v>
      </c>
      <c r="H81" s="44" t="s">
        <v>43</v>
      </c>
      <c r="I81" s="44" t="s">
        <v>44</v>
      </c>
      <c r="J81" s="37" t="s">
        <v>4400</v>
      </c>
      <c r="K81" s="37" t="s">
        <v>46</v>
      </c>
      <c r="L81" s="37" t="s">
        <v>67</v>
      </c>
      <c r="M81" s="37" t="s">
        <v>48</v>
      </c>
      <c r="N81" s="75" t="s">
        <v>4697</v>
      </c>
      <c r="O81" s="76" t="s">
        <v>61</v>
      </c>
      <c r="P81" s="37" t="s">
        <v>4402</v>
      </c>
      <c r="Q81" s="37" t="s">
        <v>68</v>
      </c>
      <c r="R81" s="48" t="s">
        <v>4415</v>
      </c>
      <c r="S81" s="37" t="s">
        <v>52</v>
      </c>
      <c r="T81" s="37" t="s">
        <v>4531</v>
      </c>
      <c r="U81" s="37" t="s">
        <v>4532</v>
      </c>
      <c r="V81" s="45"/>
      <c r="W81" s="45"/>
      <c r="X81" s="45"/>
      <c r="Y81" s="45"/>
      <c r="Z81" s="37" t="s">
        <v>1728</v>
      </c>
      <c r="AA81" s="37" t="s">
        <v>88</v>
      </c>
      <c r="AB81" s="37" t="s">
        <v>57</v>
      </c>
      <c r="AD81" s="37">
        <v>15.62</v>
      </c>
      <c r="AE81" s="37">
        <v>15.62</v>
      </c>
      <c r="AG81" s="47" t="s">
        <v>4417</v>
      </c>
      <c r="AH81" s="47" t="s">
        <v>4419</v>
      </c>
      <c r="AK81" s="37" t="s">
        <v>58</v>
      </c>
      <c r="AL81" s="37">
        <v>49.9</v>
      </c>
      <c r="AM81" t="s">
        <v>5520</v>
      </c>
      <c r="AN81" s="74" t="s">
        <v>5630</v>
      </c>
    </row>
    <row r="82" spans="1:40" s="37" customFormat="1" ht="14.25" customHeight="1" x14ac:dyDescent="0.3">
      <c r="A82" s="37" t="s">
        <v>4559</v>
      </c>
      <c r="B82" s="37" t="s">
        <v>4599</v>
      </c>
      <c r="C82" s="37" t="s">
        <v>655</v>
      </c>
      <c r="D82" s="37" t="s">
        <v>4666</v>
      </c>
      <c r="E82" s="39" t="s">
        <v>4694</v>
      </c>
      <c r="F82" s="37" t="s">
        <v>1725</v>
      </c>
      <c r="G82" s="44" t="s">
        <v>42</v>
      </c>
      <c r="H82" s="44" t="s">
        <v>43</v>
      </c>
      <c r="I82" s="44" t="s">
        <v>44</v>
      </c>
      <c r="J82" s="37" t="s">
        <v>4400</v>
      </c>
      <c r="K82" s="37" t="s">
        <v>46</v>
      </c>
      <c r="L82" s="37" t="s">
        <v>67</v>
      </c>
      <c r="M82" s="37" t="s">
        <v>48</v>
      </c>
      <c r="N82" s="75" t="s">
        <v>4700</v>
      </c>
      <c r="O82" s="76" t="s">
        <v>586</v>
      </c>
      <c r="P82" s="37" t="s">
        <v>4402</v>
      </c>
      <c r="Q82" s="37" t="s">
        <v>68</v>
      </c>
      <c r="R82" s="48" t="s">
        <v>4415</v>
      </c>
      <c r="S82" s="37" t="s">
        <v>52</v>
      </c>
      <c r="T82" s="37" t="s">
        <v>4531</v>
      </c>
      <c r="U82" s="37" t="s">
        <v>4532</v>
      </c>
      <c r="V82" s="45"/>
      <c r="W82" s="45"/>
      <c r="X82" s="45"/>
      <c r="Y82" s="45"/>
      <c r="Z82" s="37" t="s">
        <v>1728</v>
      </c>
      <c r="AA82" s="37" t="s">
        <v>88</v>
      </c>
      <c r="AB82" s="37" t="s">
        <v>57</v>
      </c>
      <c r="AD82" s="37">
        <v>16.09</v>
      </c>
      <c r="AE82" s="37">
        <v>16.09</v>
      </c>
      <c r="AG82" s="47" t="s">
        <v>4417</v>
      </c>
      <c r="AH82" s="47" t="s">
        <v>4419</v>
      </c>
      <c r="AK82" s="37" t="s">
        <v>58</v>
      </c>
      <c r="AL82" s="37">
        <v>49.9</v>
      </c>
      <c r="AM82" t="s">
        <v>5520</v>
      </c>
      <c r="AN82" s="74" t="s">
        <v>5630</v>
      </c>
    </row>
    <row r="83" spans="1:40" s="37" customFormat="1" ht="14.25" customHeight="1" x14ac:dyDescent="0.3">
      <c r="A83" s="37" t="s">
        <v>4559</v>
      </c>
      <c r="B83" s="37" t="s">
        <v>4600</v>
      </c>
      <c r="C83" s="37" t="s">
        <v>655</v>
      </c>
      <c r="D83" s="37" t="s">
        <v>4667</v>
      </c>
      <c r="E83" s="39" t="s">
        <v>4694</v>
      </c>
      <c r="F83" s="37" t="s">
        <v>1725</v>
      </c>
      <c r="G83" s="44" t="s">
        <v>42</v>
      </c>
      <c r="H83" s="44" t="s">
        <v>43</v>
      </c>
      <c r="I83" s="44" t="s">
        <v>44</v>
      </c>
      <c r="J83" s="37" t="s">
        <v>4400</v>
      </c>
      <c r="K83" s="37" t="s">
        <v>46</v>
      </c>
      <c r="L83" s="37" t="s">
        <v>67</v>
      </c>
      <c r="M83" s="37" t="s">
        <v>48</v>
      </c>
      <c r="N83" s="75" t="s">
        <v>4701</v>
      </c>
      <c r="O83" s="76" t="s">
        <v>586</v>
      </c>
      <c r="P83" s="37" t="s">
        <v>4402</v>
      </c>
      <c r="Q83" s="37" t="s">
        <v>68</v>
      </c>
      <c r="R83" s="48" t="s">
        <v>4415</v>
      </c>
      <c r="S83" s="37" t="s">
        <v>52</v>
      </c>
      <c r="T83" s="37" t="s">
        <v>4531</v>
      </c>
      <c r="U83" s="37" t="s">
        <v>4532</v>
      </c>
      <c r="V83" s="45"/>
      <c r="W83" s="45"/>
      <c r="X83" s="45"/>
      <c r="Y83" s="45"/>
      <c r="Z83" s="37" t="s">
        <v>1728</v>
      </c>
      <c r="AA83" s="37" t="s">
        <v>88</v>
      </c>
      <c r="AB83" s="37" t="s">
        <v>57</v>
      </c>
      <c r="AD83" s="37">
        <v>16.04</v>
      </c>
      <c r="AE83" s="37">
        <v>16.04</v>
      </c>
      <c r="AG83" s="47" t="s">
        <v>4417</v>
      </c>
      <c r="AH83" s="47" t="s">
        <v>4419</v>
      </c>
      <c r="AK83" s="37" t="s">
        <v>58</v>
      </c>
      <c r="AL83" s="37">
        <v>49.9</v>
      </c>
      <c r="AM83" t="s">
        <v>5520</v>
      </c>
      <c r="AN83" s="74" t="s">
        <v>5630</v>
      </c>
    </row>
    <row r="84" spans="1:40" s="37" customFormat="1" ht="14.25" customHeight="1" x14ac:dyDescent="0.3">
      <c r="A84" s="37" t="s">
        <v>4559</v>
      </c>
      <c r="B84" s="37" t="s">
        <v>4601</v>
      </c>
      <c r="C84" s="37" t="s">
        <v>655</v>
      </c>
      <c r="D84" s="37" t="s">
        <v>4668</v>
      </c>
      <c r="E84" s="39" t="s">
        <v>4694</v>
      </c>
      <c r="F84" s="37" t="s">
        <v>1725</v>
      </c>
      <c r="G84" s="44" t="s">
        <v>42</v>
      </c>
      <c r="H84" s="44" t="s">
        <v>43</v>
      </c>
      <c r="I84" s="44" t="s">
        <v>44</v>
      </c>
      <c r="J84" s="37" t="s">
        <v>4400</v>
      </c>
      <c r="K84" s="37" t="s">
        <v>46</v>
      </c>
      <c r="L84" s="37" t="s">
        <v>67</v>
      </c>
      <c r="M84" s="37" t="s">
        <v>48</v>
      </c>
      <c r="N84" s="75" t="s">
        <v>4704</v>
      </c>
      <c r="O84" s="76" t="s">
        <v>599</v>
      </c>
      <c r="P84" s="37" t="s">
        <v>4402</v>
      </c>
      <c r="Q84" s="37" t="s">
        <v>68</v>
      </c>
      <c r="R84" s="48" t="s">
        <v>4415</v>
      </c>
      <c r="S84" s="37" t="s">
        <v>52</v>
      </c>
      <c r="T84" s="37" t="s">
        <v>4531</v>
      </c>
      <c r="U84" s="37" t="s">
        <v>4532</v>
      </c>
      <c r="V84" s="45"/>
      <c r="W84" s="45"/>
      <c r="X84" s="45"/>
      <c r="Y84" s="45"/>
      <c r="Z84" s="37" t="s">
        <v>1728</v>
      </c>
      <c r="AA84" s="37" t="s">
        <v>88</v>
      </c>
      <c r="AB84" s="37" t="s">
        <v>57</v>
      </c>
      <c r="AD84" s="37">
        <v>15.47</v>
      </c>
      <c r="AE84" s="37">
        <v>15.47</v>
      </c>
      <c r="AG84" s="47" t="s">
        <v>4417</v>
      </c>
      <c r="AH84" s="47" t="s">
        <v>4419</v>
      </c>
      <c r="AK84" s="37" t="s">
        <v>58</v>
      </c>
      <c r="AL84" s="37">
        <v>49.9</v>
      </c>
      <c r="AM84" t="s">
        <v>5520</v>
      </c>
      <c r="AN84" s="74" t="s">
        <v>5630</v>
      </c>
    </row>
    <row r="85" spans="1:40" s="37" customFormat="1" ht="14.25" customHeight="1" x14ac:dyDescent="0.3">
      <c r="A85" s="37" t="s">
        <v>4559</v>
      </c>
      <c r="B85" s="37" t="s">
        <v>4602</v>
      </c>
      <c r="C85" s="37" t="s">
        <v>655</v>
      </c>
      <c r="D85" s="37" t="s">
        <v>4669</v>
      </c>
      <c r="E85" s="39" t="s">
        <v>4694</v>
      </c>
      <c r="F85" s="37" t="s">
        <v>1725</v>
      </c>
      <c r="G85" s="44" t="s">
        <v>42</v>
      </c>
      <c r="H85" s="44" t="s">
        <v>43</v>
      </c>
      <c r="I85" s="44" t="s">
        <v>44</v>
      </c>
      <c r="J85" s="37" t="s">
        <v>4400</v>
      </c>
      <c r="K85" s="37" t="s">
        <v>46</v>
      </c>
      <c r="L85" s="37" t="s">
        <v>67</v>
      </c>
      <c r="M85" s="37" t="s">
        <v>48</v>
      </c>
      <c r="N85" s="75" t="s">
        <v>4698</v>
      </c>
      <c r="O85" s="76" t="s">
        <v>599</v>
      </c>
      <c r="P85" s="37" t="s">
        <v>4402</v>
      </c>
      <c r="Q85" s="37" t="s">
        <v>68</v>
      </c>
      <c r="R85" s="48" t="s">
        <v>4415</v>
      </c>
      <c r="S85" s="37" t="s">
        <v>52</v>
      </c>
      <c r="T85" s="37" t="s">
        <v>4531</v>
      </c>
      <c r="U85" s="37" t="s">
        <v>4532</v>
      </c>
      <c r="V85" s="45"/>
      <c r="W85" s="45"/>
      <c r="X85" s="45"/>
      <c r="Y85" s="45"/>
      <c r="Z85" s="37" t="s">
        <v>1728</v>
      </c>
      <c r="AA85" s="37" t="s">
        <v>88</v>
      </c>
      <c r="AB85" s="37" t="s">
        <v>57</v>
      </c>
      <c r="AD85" s="37">
        <v>15.55</v>
      </c>
      <c r="AE85" s="37">
        <v>15.55</v>
      </c>
      <c r="AG85" s="47" t="s">
        <v>4417</v>
      </c>
      <c r="AH85" s="47" t="s">
        <v>4419</v>
      </c>
      <c r="AK85" s="37" t="s">
        <v>58</v>
      </c>
      <c r="AL85" s="37">
        <v>49.9</v>
      </c>
      <c r="AM85" t="s">
        <v>5520</v>
      </c>
      <c r="AN85" s="74" t="s">
        <v>5630</v>
      </c>
    </row>
    <row r="86" spans="1:40" s="37" customFormat="1" ht="14.25" customHeight="1" x14ac:dyDescent="0.3">
      <c r="A86" s="37" t="s">
        <v>4559</v>
      </c>
      <c r="B86" s="37" t="s">
        <v>4603</v>
      </c>
      <c r="C86" s="37" t="s">
        <v>655</v>
      </c>
      <c r="D86" s="37" t="s">
        <v>4670</v>
      </c>
      <c r="E86" s="39" t="s">
        <v>4694</v>
      </c>
      <c r="F86" s="37" t="s">
        <v>1725</v>
      </c>
      <c r="G86" s="44" t="s">
        <v>42</v>
      </c>
      <c r="H86" s="44" t="s">
        <v>43</v>
      </c>
      <c r="I86" s="44" t="s">
        <v>44</v>
      </c>
      <c r="J86" s="37" t="s">
        <v>4400</v>
      </c>
      <c r="K86" s="37" t="s">
        <v>46</v>
      </c>
      <c r="L86" s="37" t="s">
        <v>67</v>
      </c>
      <c r="M86" s="37" t="s">
        <v>48</v>
      </c>
      <c r="N86" s="75" t="s">
        <v>4696</v>
      </c>
      <c r="O86" s="76" t="s">
        <v>61</v>
      </c>
      <c r="P86" s="37" t="s">
        <v>4402</v>
      </c>
      <c r="Q86" s="37" t="s">
        <v>68</v>
      </c>
      <c r="R86" s="48" t="s">
        <v>4415</v>
      </c>
      <c r="S86" s="37" t="s">
        <v>52</v>
      </c>
      <c r="T86" s="37" t="s">
        <v>4531</v>
      </c>
      <c r="U86" s="37" t="s">
        <v>4532</v>
      </c>
      <c r="V86" s="45"/>
      <c r="W86" s="45"/>
      <c r="X86" s="45"/>
      <c r="Y86" s="45"/>
      <c r="Z86" s="37" t="s">
        <v>1728</v>
      </c>
      <c r="AA86" s="37" t="s">
        <v>88</v>
      </c>
      <c r="AB86" s="37" t="s">
        <v>57</v>
      </c>
      <c r="AD86" s="37">
        <v>15.43</v>
      </c>
      <c r="AE86" s="37">
        <v>15.43</v>
      </c>
      <c r="AG86" s="47" t="s">
        <v>4417</v>
      </c>
      <c r="AH86" s="47" t="s">
        <v>4419</v>
      </c>
      <c r="AK86" s="37" t="s">
        <v>58</v>
      </c>
      <c r="AL86" s="37">
        <v>49.9</v>
      </c>
      <c r="AM86" t="s">
        <v>5520</v>
      </c>
      <c r="AN86" s="74" t="s">
        <v>5630</v>
      </c>
    </row>
    <row r="87" spans="1:40" s="37" customFormat="1" ht="14.25" customHeight="1" x14ac:dyDescent="0.3">
      <c r="A87" s="37" t="s">
        <v>4559</v>
      </c>
      <c r="B87" s="37" t="s">
        <v>4604</v>
      </c>
      <c r="C87" s="37" t="s">
        <v>655</v>
      </c>
      <c r="D87" s="37" t="s">
        <v>4671</v>
      </c>
      <c r="E87" s="39" t="s">
        <v>4694</v>
      </c>
      <c r="F87" s="37" t="s">
        <v>1725</v>
      </c>
      <c r="G87" s="44" t="s">
        <v>42</v>
      </c>
      <c r="H87" s="44" t="s">
        <v>43</v>
      </c>
      <c r="I87" s="44" t="s">
        <v>44</v>
      </c>
      <c r="J87" s="37" t="s">
        <v>4400</v>
      </c>
      <c r="K87" s="37" t="s">
        <v>46</v>
      </c>
      <c r="L87" s="37" t="s">
        <v>67</v>
      </c>
      <c r="M87" s="37" t="s">
        <v>48</v>
      </c>
      <c r="N87" s="75" t="s">
        <v>4705</v>
      </c>
      <c r="O87" s="76" t="s">
        <v>328</v>
      </c>
      <c r="P87" s="37" t="s">
        <v>4402</v>
      </c>
      <c r="Q87" s="37" t="s">
        <v>68</v>
      </c>
      <c r="R87" s="48" t="s">
        <v>4415</v>
      </c>
      <c r="S87" s="37" t="s">
        <v>52</v>
      </c>
      <c r="T87" s="37" t="s">
        <v>4531</v>
      </c>
      <c r="U87" s="37" t="s">
        <v>4532</v>
      </c>
      <c r="V87" s="45"/>
      <c r="W87" s="45"/>
      <c r="X87" s="45"/>
      <c r="Y87" s="45"/>
      <c r="Z87" s="37" t="s">
        <v>1728</v>
      </c>
      <c r="AA87" s="37" t="s">
        <v>88</v>
      </c>
      <c r="AB87" s="37" t="s">
        <v>57</v>
      </c>
      <c r="AD87" s="37">
        <v>15.61</v>
      </c>
      <c r="AE87" s="37">
        <v>15.61</v>
      </c>
      <c r="AG87" s="47" t="s">
        <v>4417</v>
      </c>
      <c r="AH87" s="47" t="s">
        <v>4419</v>
      </c>
      <c r="AK87" s="37" t="s">
        <v>58</v>
      </c>
      <c r="AL87" s="37">
        <v>49.9</v>
      </c>
      <c r="AM87" t="s">
        <v>5520</v>
      </c>
      <c r="AN87" s="74" t="s">
        <v>5630</v>
      </c>
    </row>
    <row r="88" spans="1:40" s="37" customFormat="1" ht="14.25" customHeight="1" x14ac:dyDescent="0.3">
      <c r="A88" s="37" t="s">
        <v>4559</v>
      </c>
      <c r="B88" s="37" t="s">
        <v>4605</v>
      </c>
      <c r="C88" s="37" t="s">
        <v>655</v>
      </c>
      <c r="D88" s="37" t="s">
        <v>4672</v>
      </c>
      <c r="E88" s="39" t="s">
        <v>4694</v>
      </c>
      <c r="F88" s="37" t="s">
        <v>1725</v>
      </c>
      <c r="G88" s="44" t="s">
        <v>42</v>
      </c>
      <c r="H88" s="44" t="s">
        <v>43</v>
      </c>
      <c r="I88" s="44" t="s">
        <v>44</v>
      </c>
      <c r="J88" s="37" t="s">
        <v>4400</v>
      </c>
      <c r="K88" s="37" t="s">
        <v>46</v>
      </c>
      <c r="L88" s="37" t="s">
        <v>67</v>
      </c>
      <c r="M88" s="37" t="s">
        <v>48</v>
      </c>
      <c r="N88" s="75" t="s">
        <v>4702</v>
      </c>
      <c r="O88" s="76" t="s">
        <v>586</v>
      </c>
      <c r="P88" s="37" t="s">
        <v>4402</v>
      </c>
      <c r="Q88" s="37" t="s">
        <v>68</v>
      </c>
      <c r="R88" s="48" t="s">
        <v>4415</v>
      </c>
      <c r="S88" s="37" t="s">
        <v>52</v>
      </c>
      <c r="T88" s="37" t="s">
        <v>4531</v>
      </c>
      <c r="U88" s="37" t="s">
        <v>4532</v>
      </c>
      <c r="V88" s="45"/>
      <c r="W88" s="45"/>
      <c r="X88" s="45"/>
      <c r="Y88" s="45"/>
      <c r="Z88" s="37" t="s">
        <v>1728</v>
      </c>
      <c r="AA88" s="37" t="s">
        <v>88</v>
      </c>
      <c r="AB88" s="37" t="s">
        <v>57</v>
      </c>
      <c r="AD88" s="37">
        <v>15.574999999999999</v>
      </c>
      <c r="AE88" s="37">
        <v>15.574999999999999</v>
      </c>
      <c r="AG88" s="47" t="s">
        <v>4417</v>
      </c>
      <c r="AH88" s="47" t="s">
        <v>4419</v>
      </c>
      <c r="AK88" s="37" t="s">
        <v>58</v>
      </c>
      <c r="AL88" s="37">
        <v>49.9</v>
      </c>
      <c r="AM88" t="s">
        <v>5520</v>
      </c>
      <c r="AN88" s="74" t="s">
        <v>5630</v>
      </c>
    </row>
    <row r="89" spans="1:40" s="37" customFormat="1" ht="14.25" customHeight="1" x14ac:dyDescent="0.3">
      <c r="A89" s="37" t="s">
        <v>4559</v>
      </c>
      <c r="B89" s="37" t="s">
        <v>4606</v>
      </c>
      <c r="C89" s="37" t="s">
        <v>655</v>
      </c>
      <c r="D89" s="37" t="s">
        <v>4673</v>
      </c>
      <c r="E89" s="39" t="s">
        <v>4694</v>
      </c>
      <c r="F89" s="37" t="s">
        <v>1725</v>
      </c>
      <c r="G89" s="44" t="s">
        <v>42</v>
      </c>
      <c r="H89" s="44" t="s">
        <v>43</v>
      </c>
      <c r="I89" s="44" t="s">
        <v>44</v>
      </c>
      <c r="J89" s="37" t="s">
        <v>4400</v>
      </c>
      <c r="K89" s="37" t="s">
        <v>46</v>
      </c>
      <c r="L89" s="37" t="s">
        <v>67</v>
      </c>
      <c r="M89" s="37" t="s">
        <v>48</v>
      </c>
      <c r="N89" s="75" t="s">
        <v>4699</v>
      </c>
      <c r="O89" s="76" t="s">
        <v>586</v>
      </c>
      <c r="P89" s="37" t="s">
        <v>4402</v>
      </c>
      <c r="Q89" s="37" t="s">
        <v>68</v>
      </c>
      <c r="R89" s="48" t="s">
        <v>4415</v>
      </c>
      <c r="S89" s="37" t="s">
        <v>52</v>
      </c>
      <c r="T89" s="37" t="s">
        <v>4531</v>
      </c>
      <c r="U89" s="37" t="s">
        <v>4532</v>
      </c>
      <c r="V89" s="45"/>
      <c r="W89" s="45"/>
      <c r="X89" s="45"/>
      <c r="Y89" s="45"/>
      <c r="Z89" s="37" t="s">
        <v>1728</v>
      </c>
      <c r="AA89" s="37" t="s">
        <v>88</v>
      </c>
      <c r="AB89" s="37" t="s">
        <v>57</v>
      </c>
      <c r="AD89" s="37">
        <v>16</v>
      </c>
      <c r="AE89" s="37">
        <v>16</v>
      </c>
      <c r="AG89" s="47" t="s">
        <v>4417</v>
      </c>
      <c r="AH89" s="47" t="s">
        <v>4419</v>
      </c>
      <c r="AK89" s="37" t="s">
        <v>58</v>
      </c>
      <c r="AL89" s="37">
        <v>49.9</v>
      </c>
      <c r="AM89" t="s">
        <v>5520</v>
      </c>
      <c r="AN89" s="74" t="s">
        <v>5630</v>
      </c>
    </row>
    <row r="90" spans="1:40" s="37" customFormat="1" ht="14.25" customHeight="1" x14ac:dyDescent="0.3">
      <c r="A90" s="37" t="s">
        <v>4559</v>
      </c>
      <c r="B90" s="37" t="s">
        <v>4607</v>
      </c>
      <c r="C90" s="37" t="s">
        <v>655</v>
      </c>
      <c r="D90" s="37" t="s">
        <v>4674</v>
      </c>
      <c r="E90" s="39" t="s">
        <v>4694</v>
      </c>
      <c r="F90" s="37" t="s">
        <v>1725</v>
      </c>
      <c r="G90" s="44" t="s">
        <v>42</v>
      </c>
      <c r="H90" s="44" t="s">
        <v>43</v>
      </c>
      <c r="I90" s="44" t="s">
        <v>44</v>
      </c>
      <c r="J90" s="37" t="s">
        <v>4400</v>
      </c>
      <c r="K90" s="37" t="s">
        <v>46</v>
      </c>
      <c r="L90" s="37" t="s">
        <v>67</v>
      </c>
      <c r="M90" s="37" t="s">
        <v>48</v>
      </c>
      <c r="N90" s="75" t="s">
        <v>4703</v>
      </c>
      <c r="O90" s="76" t="s">
        <v>586</v>
      </c>
      <c r="P90" s="37" t="s">
        <v>4402</v>
      </c>
      <c r="Q90" s="37" t="s">
        <v>68</v>
      </c>
      <c r="R90" s="48" t="s">
        <v>4415</v>
      </c>
      <c r="S90" s="37" t="s">
        <v>52</v>
      </c>
      <c r="T90" s="37" t="s">
        <v>4531</v>
      </c>
      <c r="U90" s="37" t="s">
        <v>4532</v>
      </c>
      <c r="V90" s="45"/>
      <c r="W90" s="45"/>
      <c r="X90" s="45"/>
      <c r="Y90" s="45"/>
      <c r="Z90" s="37" t="s">
        <v>1728</v>
      </c>
      <c r="AA90" s="37" t="s">
        <v>88</v>
      </c>
      <c r="AB90" s="37" t="s">
        <v>57</v>
      </c>
      <c r="AD90" s="37">
        <v>15.574999999999999</v>
      </c>
      <c r="AE90" s="37">
        <v>15.574999999999999</v>
      </c>
      <c r="AG90" s="47" t="s">
        <v>4417</v>
      </c>
      <c r="AH90" s="47" t="s">
        <v>4419</v>
      </c>
      <c r="AK90" s="37" t="s">
        <v>58</v>
      </c>
      <c r="AL90" s="37">
        <v>49.9</v>
      </c>
      <c r="AM90" t="s">
        <v>5520</v>
      </c>
      <c r="AN90" s="74" t="s">
        <v>5630</v>
      </c>
    </row>
    <row r="91" spans="1:40" s="37" customFormat="1" ht="14.25" customHeight="1" x14ac:dyDescent="0.3">
      <c r="A91" s="37" t="s">
        <v>4559</v>
      </c>
      <c r="B91" s="37" t="s">
        <v>4608</v>
      </c>
      <c r="C91" s="37" t="s">
        <v>655</v>
      </c>
      <c r="D91" s="37" t="s">
        <v>4675</v>
      </c>
      <c r="E91" s="39" t="s">
        <v>4694</v>
      </c>
      <c r="F91" s="37" t="s">
        <v>1725</v>
      </c>
      <c r="G91" s="44" t="s">
        <v>42</v>
      </c>
      <c r="H91" s="44" t="s">
        <v>43</v>
      </c>
      <c r="I91" s="44" t="s">
        <v>44</v>
      </c>
      <c r="J91" s="37" t="s">
        <v>4400</v>
      </c>
      <c r="K91" s="37" t="s">
        <v>46</v>
      </c>
      <c r="L91" s="37" t="s">
        <v>67</v>
      </c>
      <c r="M91" s="37" t="s">
        <v>48</v>
      </c>
      <c r="N91" s="75" t="s">
        <v>4709</v>
      </c>
      <c r="O91" s="76" t="s">
        <v>586</v>
      </c>
      <c r="P91" s="37" t="s">
        <v>4533</v>
      </c>
      <c r="Q91" s="37" t="s">
        <v>68</v>
      </c>
      <c r="R91" s="48" t="s">
        <v>4695</v>
      </c>
      <c r="S91" s="37" t="s">
        <v>52</v>
      </c>
      <c r="T91" s="37" t="s">
        <v>4531</v>
      </c>
      <c r="U91" s="37" t="s">
        <v>4532</v>
      </c>
      <c r="V91" s="45"/>
      <c r="W91" s="45"/>
      <c r="X91" s="45"/>
      <c r="Y91" s="45"/>
      <c r="Z91" s="37" t="s">
        <v>1728</v>
      </c>
      <c r="AA91" s="37" t="s">
        <v>88</v>
      </c>
      <c r="AB91" s="37" t="s">
        <v>57</v>
      </c>
      <c r="AD91" s="37">
        <v>7.63</v>
      </c>
      <c r="AE91" s="37">
        <v>7.63</v>
      </c>
      <c r="AG91" s="47" t="s">
        <v>4418</v>
      </c>
      <c r="AH91" s="47" t="s">
        <v>4712</v>
      </c>
      <c r="AK91" s="37" t="s">
        <v>58</v>
      </c>
      <c r="AL91" s="37">
        <v>49.9</v>
      </c>
      <c r="AM91" t="s">
        <v>5520</v>
      </c>
      <c r="AN91" s="74" t="s">
        <v>5630</v>
      </c>
    </row>
    <row r="92" spans="1:40" s="37" customFormat="1" ht="14.25" customHeight="1" x14ac:dyDescent="0.3">
      <c r="A92" s="37" t="s">
        <v>4559</v>
      </c>
      <c r="B92" s="37" t="s">
        <v>4609</v>
      </c>
      <c r="C92" s="37" t="s">
        <v>655</v>
      </c>
      <c r="D92" s="37" t="s">
        <v>4676</v>
      </c>
      <c r="E92" s="39" t="s">
        <v>4694</v>
      </c>
      <c r="F92" s="37" t="s">
        <v>1725</v>
      </c>
      <c r="G92" s="44" t="s">
        <v>42</v>
      </c>
      <c r="H92" s="44" t="s">
        <v>43</v>
      </c>
      <c r="I92" s="44" t="s">
        <v>44</v>
      </c>
      <c r="J92" s="37" t="s">
        <v>4400</v>
      </c>
      <c r="K92" s="37" t="s">
        <v>46</v>
      </c>
      <c r="L92" s="37" t="s">
        <v>67</v>
      </c>
      <c r="M92" s="37" t="s">
        <v>48</v>
      </c>
      <c r="N92" s="75" t="s">
        <v>4710</v>
      </c>
      <c r="O92" s="76" t="s">
        <v>61</v>
      </c>
      <c r="P92" s="37" t="s">
        <v>4533</v>
      </c>
      <c r="Q92" s="37" t="s">
        <v>68</v>
      </c>
      <c r="R92" s="48">
        <v>3</v>
      </c>
      <c r="S92" s="37" t="s">
        <v>52</v>
      </c>
      <c r="T92" s="37" t="s">
        <v>4531</v>
      </c>
      <c r="U92" s="37" t="s">
        <v>4532</v>
      </c>
      <c r="V92" s="45"/>
      <c r="W92" s="45"/>
      <c r="X92" s="45"/>
      <c r="Y92" s="45"/>
      <c r="Z92" s="37" t="s">
        <v>1728</v>
      </c>
      <c r="AA92" s="37" t="s">
        <v>88</v>
      </c>
      <c r="AB92" s="37" t="s">
        <v>57</v>
      </c>
      <c r="AD92" s="37">
        <v>7.22</v>
      </c>
      <c r="AE92" s="37">
        <v>7.22</v>
      </c>
      <c r="AG92" s="47" t="s">
        <v>4418</v>
      </c>
      <c r="AH92" s="47" t="s">
        <v>4712</v>
      </c>
      <c r="AK92" s="37" t="s">
        <v>58</v>
      </c>
      <c r="AL92" s="37">
        <v>49.9</v>
      </c>
      <c r="AM92" t="s">
        <v>5520</v>
      </c>
      <c r="AN92" s="74" t="s">
        <v>5630</v>
      </c>
    </row>
    <row r="93" spans="1:40" s="37" customFormat="1" ht="14.25" customHeight="1" x14ac:dyDescent="0.3">
      <c r="A93" s="37" t="s">
        <v>4559</v>
      </c>
      <c r="B93" s="37" t="s">
        <v>4610</v>
      </c>
      <c r="C93" s="37" t="s">
        <v>655</v>
      </c>
      <c r="D93" s="37" t="s">
        <v>4677</v>
      </c>
      <c r="E93" s="39" t="s">
        <v>4694</v>
      </c>
      <c r="F93" s="37" t="s">
        <v>1725</v>
      </c>
      <c r="G93" s="44" t="s">
        <v>42</v>
      </c>
      <c r="H93" s="44" t="s">
        <v>43</v>
      </c>
      <c r="I93" s="44" t="s">
        <v>44</v>
      </c>
      <c r="J93" s="37" t="s">
        <v>4400</v>
      </c>
      <c r="K93" s="37" t="s">
        <v>46</v>
      </c>
      <c r="L93" s="37" t="s">
        <v>67</v>
      </c>
      <c r="M93" s="37" t="s">
        <v>48</v>
      </c>
      <c r="N93" s="75" t="s">
        <v>4697</v>
      </c>
      <c r="O93" s="76" t="s">
        <v>61</v>
      </c>
      <c r="P93" s="37" t="s">
        <v>4533</v>
      </c>
      <c r="Q93" s="37" t="s">
        <v>68</v>
      </c>
      <c r="R93" s="48" t="s">
        <v>4695</v>
      </c>
      <c r="S93" s="37" t="s">
        <v>52</v>
      </c>
      <c r="T93" s="37" t="s">
        <v>4531</v>
      </c>
      <c r="U93" s="37" t="s">
        <v>4532</v>
      </c>
      <c r="V93" s="45"/>
      <c r="W93" s="45"/>
      <c r="X93" s="45"/>
      <c r="Y93" s="45"/>
      <c r="Z93" s="37" t="s">
        <v>1728</v>
      </c>
      <c r="AA93" s="37" t="s">
        <v>88</v>
      </c>
      <c r="AB93" s="37" t="s">
        <v>57</v>
      </c>
      <c r="AD93" s="37">
        <v>7.375</v>
      </c>
      <c r="AE93" s="37">
        <v>7.375</v>
      </c>
      <c r="AG93" s="47" t="s">
        <v>4418</v>
      </c>
      <c r="AH93" s="47" t="s">
        <v>4712</v>
      </c>
      <c r="AK93" s="37" t="s">
        <v>58</v>
      </c>
      <c r="AL93" s="37">
        <v>49.9</v>
      </c>
      <c r="AM93" t="s">
        <v>5520</v>
      </c>
      <c r="AN93" s="74" t="s">
        <v>5630</v>
      </c>
    </row>
    <row r="94" spans="1:40" s="37" customFormat="1" ht="14.25" customHeight="1" x14ac:dyDescent="0.3">
      <c r="A94" s="37" t="s">
        <v>4559</v>
      </c>
      <c r="B94" s="37" t="s">
        <v>4611</v>
      </c>
      <c r="C94" s="37" t="s">
        <v>655</v>
      </c>
      <c r="D94" s="37" t="s">
        <v>4678</v>
      </c>
      <c r="E94" s="39" t="s">
        <v>4694</v>
      </c>
      <c r="F94" s="37" t="s">
        <v>1725</v>
      </c>
      <c r="G94" s="44" t="s">
        <v>42</v>
      </c>
      <c r="H94" s="44" t="s">
        <v>43</v>
      </c>
      <c r="I94" s="44" t="s">
        <v>44</v>
      </c>
      <c r="J94" s="37" t="s">
        <v>4400</v>
      </c>
      <c r="K94" s="37" t="s">
        <v>46</v>
      </c>
      <c r="L94" s="37" t="s">
        <v>67</v>
      </c>
      <c r="M94" s="37" t="s">
        <v>48</v>
      </c>
      <c r="N94" s="75" t="s">
        <v>4704</v>
      </c>
      <c r="O94" s="76" t="s">
        <v>599</v>
      </c>
      <c r="P94" s="37" t="s">
        <v>4533</v>
      </c>
      <c r="Q94" s="37" t="s">
        <v>68</v>
      </c>
      <c r="R94" s="48" t="s">
        <v>4695</v>
      </c>
      <c r="S94" s="37" t="s">
        <v>52</v>
      </c>
      <c r="T94" s="37" t="s">
        <v>4531</v>
      </c>
      <c r="U94" s="37" t="s">
        <v>4532</v>
      </c>
      <c r="V94" s="45"/>
      <c r="W94" s="45"/>
      <c r="X94" s="45"/>
      <c r="Y94" s="45"/>
      <c r="Z94" s="37" t="s">
        <v>1728</v>
      </c>
      <c r="AA94" s="37" t="s">
        <v>88</v>
      </c>
      <c r="AB94" s="37" t="s">
        <v>57</v>
      </c>
      <c r="AD94" s="37">
        <v>7.54</v>
      </c>
      <c r="AE94" s="37">
        <v>7.54</v>
      </c>
      <c r="AG94" s="47" t="s">
        <v>4418</v>
      </c>
      <c r="AH94" s="47" t="s">
        <v>4712</v>
      </c>
      <c r="AK94" s="37" t="s">
        <v>58</v>
      </c>
      <c r="AL94" s="37">
        <v>49.9</v>
      </c>
      <c r="AM94" t="s">
        <v>5520</v>
      </c>
      <c r="AN94" s="74" t="s">
        <v>5630</v>
      </c>
    </row>
    <row r="95" spans="1:40" s="37" customFormat="1" ht="14.25" customHeight="1" x14ac:dyDescent="0.3">
      <c r="A95" s="37" t="s">
        <v>4559</v>
      </c>
      <c r="B95" s="37" t="s">
        <v>4612</v>
      </c>
      <c r="C95" s="37" t="s">
        <v>655</v>
      </c>
      <c r="D95" s="37" t="s">
        <v>4679</v>
      </c>
      <c r="E95" s="39" t="s">
        <v>4694</v>
      </c>
      <c r="F95" s="37" t="s">
        <v>1725</v>
      </c>
      <c r="G95" s="44" t="s">
        <v>42</v>
      </c>
      <c r="H95" s="44" t="s">
        <v>43</v>
      </c>
      <c r="I95" s="44" t="s">
        <v>44</v>
      </c>
      <c r="J95" s="37" t="s">
        <v>4400</v>
      </c>
      <c r="K95" s="37" t="s">
        <v>46</v>
      </c>
      <c r="L95" s="37" t="s">
        <v>67</v>
      </c>
      <c r="M95" s="37" t="s">
        <v>48</v>
      </c>
      <c r="N95" s="75" t="s">
        <v>4698</v>
      </c>
      <c r="O95" s="76" t="s">
        <v>599</v>
      </c>
      <c r="P95" s="37" t="s">
        <v>4533</v>
      </c>
      <c r="Q95" s="37" t="s">
        <v>68</v>
      </c>
      <c r="R95" s="48" t="s">
        <v>4695</v>
      </c>
      <c r="S95" s="37" t="s">
        <v>52</v>
      </c>
      <c r="T95" s="37" t="s">
        <v>4531</v>
      </c>
      <c r="U95" s="37" t="s">
        <v>4532</v>
      </c>
      <c r="V95" s="45"/>
      <c r="W95" s="45"/>
      <c r="X95" s="45"/>
      <c r="Y95" s="45"/>
      <c r="Z95" s="37" t="s">
        <v>1728</v>
      </c>
      <c r="AA95" s="37" t="s">
        <v>88</v>
      </c>
      <c r="AB95" s="37" t="s">
        <v>57</v>
      </c>
      <c r="AD95" s="37">
        <v>7.21</v>
      </c>
      <c r="AE95" s="37">
        <v>7.21</v>
      </c>
      <c r="AG95" s="47" t="s">
        <v>4418</v>
      </c>
      <c r="AH95" s="47" t="s">
        <v>4712</v>
      </c>
      <c r="AK95" s="37" t="s">
        <v>58</v>
      </c>
      <c r="AL95" s="37">
        <v>49.9</v>
      </c>
      <c r="AM95" t="s">
        <v>5520</v>
      </c>
      <c r="AN95" s="74" t="s">
        <v>5630</v>
      </c>
    </row>
    <row r="96" spans="1:40" s="37" customFormat="1" ht="14.25" customHeight="1" x14ac:dyDescent="0.3">
      <c r="A96" s="37" t="s">
        <v>4559</v>
      </c>
      <c r="B96" s="37" t="s">
        <v>4613</v>
      </c>
      <c r="C96" s="37" t="s">
        <v>655</v>
      </c>
      <c r="D96" s="37" t="s">
        <v>4680</v>
      </c>
      <c r="E96" s="39" t="s">
        <v>4694</v>
      </c>
      <c r="F96" s="37" t="s">
        <v>1725</v>
      </c>
      <c r="G96" s="44" t="s">
        <v>42</v>
      </c>
      <c r="H96" s="44" t="s">
        <v>43</v>
      </c>
      <c r="I96" s="44" t="s">
        <v>44</v>
      </c>
      <c r="J96" s="37" t="s">
        <v>4400</v>
      </c>
      <c r="K96" s="37" t="s">
        <v>46</v>
      </c>
      <c r="L96" s="37" t="s">
        <v>67</v>
      </c>
      <c r="M96" s="37" t="s">
        <v>48</v>
      </c>
      <c r="N96" s="75" t="s">
        <v>4696</v>
      </c>
      <c r="O96" s="76" t="s">
        <v>61</v>
      </c>
      <c r="P96" s="37" t="s">
        <v>4533</v>
      </c>
      <c r="Q96" s="37" t="s">
        <v>68</v>
      </c>
      <c r="R96" s="48" t="s">
        <v>4695</v>
      </c>
      <c r="S96" s="37" t="s">
        <v>52</v>
      </c>
      <c r="T96" s="37" t="s">
        <v>4531</v>
      </c>
      <c r="U96" s="37" t="s">
        <v>4532</v>
      </c>
      <c r="V96" s="45"/>
      <c r="W96" s="45"/>
      <c r="X96" s="45"/>
      <c r="Y96" s="45"/>
      <c r="Z96" s="37" t="s">
        <v>1728</v>
      </c>
      <c r="AA96" s="37" t="s">
        <v>88</v>
      </c>
      <c r="AB96" s="37" t="s">
        <v>57</v>
      </c>
      <c r="AD96" s="37">
        <v>7.06</v>
      </c>
      <c r="AE96" s="37">
        <v>7.06</v>
      </c>
      <c r="AG96" s="47" t="s">
        <v>4418</v>
      </c>
      <c r="AH96" s="47" t="s">
        <v>4712</v>
      </c>
      <c r="AK96" s="37" t="s">
        <v>58</v>
      </c>
      <c r="AL96" s="37">
        <v>49.9</v>
      </c>
      <c r="AM96" t="s">
        <v>5520</v>
      </c>
      <c r="AN96" s="74" t="s">
        <v>5630</v>
      </c>
    </row>
    <row r="97" spans="1:40" s="37" customFormat="1" ht="14.25" customHeight="1" x14ac:dyDescent="0.3">
      <c r="A97" s="37" t="s">
        <v>4559</v>
      </c>
      <c r="B97" s="37" t="s">
        <v>4614</v>
      </c>
      <c r="C97" s="37" t="s">
        <v>655</v>
      </c>
      <c r="D97" s="37" t="s">
        <v>4681</v>
      </c>
      <c r="E97" s="39" t="s">
        <v>4694</v>
      </c>
      <c r="F97" s="37" t="s">
        <v>1725</v>
      </c>
      <c r="G97" s="44" t="s">
        <v>42</v>
      </c>
      <c r="H97" s="44" t="s">
        <v>43</v>
      </c>
      <c r="I97" s="44" t="s">
        <v>44</v>
      </c>
      <c r="J97" s="37" t="s">
        <v>4400</v>
      </c>
      <c r="K97" s="37" t="s">
        <v>46</v>
      </c>
      <c r="L97" s="37" t="s">
        <v>67</v>
      </c>
      <c r="M97" s="37" t="s">
        <v>48</v>
      </c>
      <c r="N97" s="75" t="s">
        <v>4705</v>
      </c>
      <c r="O97" s="76" t="s">
        <v>328</v>
      </c>
      <c r="P97" s="37" t="s">
        <v>4533</v>
      </c>
      <c r="Q97" s="37" t="s">
        <v>68</v>
      </c>
      <c r="R97" s="48" t="s">
        <v>4695</v>
      </c>
      <c r="S97" s="37" t="s">
        <v>52</v>
      </c>
      <c r="T97" s="37" t="s">
        <v>4531</v>
      </c>
      <c r="U97" s="37" t="s">
        <v>4532</v>
      </c>
      <c r="V97" s="45"/>
      <c r="W97" s="45"/>
      <c r="X97" s="45"/>
      <c r="Y97" s="45"/>
      <c r="Z97" s="37" t="s">
        <v>1728</v>
      </c>
      <c r="AA97" s="37" t="s">
        <v>88</v>
      </c>
      <c r="AB97" s="37" t="s">
        <v>57</v>
      </c>
      <c r="AD97" s="37">
        <v>7.14</v>
      </c>
      <c r="AE97" s="37">
        <v>7.14</v>
      </c>
      <c r="AG97" s="47" t="s">
        <v>4418</v>
      </c>
      <c r="AH97" s="47" t="s">
        <v>4712</v>
      </c>
      <c r="AK97" s="37" t="s">
        <v>58</v>
      </c>
      <c r="AL97" s="37">
        <v>49.9</v>
      </c>
      <c r="AM97" t="s">
        <v>5520</v>
      </c>
      <c r="AN97" s="74" t="s">
        <v>5630</v>
      </c>
    </row>
    <row r="98" spans="1:40" s="37" customFormat="1" ht="14.25" customHeight="1" x14ac:dyDescent="0.3">
      <c r="A98" s="37" t="s">
        <v>4559</v>
      </c>
      <c r="B98" s="37" t="s">
        <v>4615</v>
      </c>
      <c r="C98" s="37" t="s">
        <v>655</v>
      </c>
      <c r="D98" s="37" t="s">
        <v>4682</v>
      </c>
      <c r="E98" s="39" t="s">
        <v>4694</v>
      </c>
      <c r="F98" s="37" t="s">
        <v>1725</v>
      </c>
      <c r="G98" s="44" t="s">
        <v>42</v>
      </c>
      <c r="H98" s="44" t="s">
        <v>43</v>
      </c>
      <c r="I98" s="44" t="s">
        <v>44</v>
      </c>
      <c r="J98" s="37" t="s">
        <v>4400</v>
      </c>
      <c r="K98" s="37" t="s">
        <v>46</v>
      </c>
      <c r="L98" s="37" t="s">
        <v>67</v>
      </c>
      <c r="M98" s="37" t="s">
        <v>48</v>
      </c>
      <c r="N98" s="75" t="s">
        <v>4708</v>
      </c>
      <c r="O98" s="76" t="s">
        <v>64</v>
      </c>
      <c r="P98" s="37" t="s">
        <v>4533</v>
      </c>
      <c r="Q98" s="37" t="s">
        <v>68</v>
      </c>
      <c r="R98" s="48" t="s">
        <v>4695</v>
      </c>
      <c r="S98" s="37" t="s">
        <v>52</v>
      </c>
      <c r="T98" s="37" t="s">
        <v>4531</v>
      </c>
      <c r="U98" s="37" t="s">
        <v>4532</v>
      </c>
      <c r="V98" s="45"/>
      <c r="W98" s="45"/>
      <c r="X98" s="45"/>
      <c r="Y98" s="45"/>
      <c r="Z98" s="37" t="s">
        <v>1728</v>
      </c>
      <c r="AA98" s="37" t="s">
        <v>88</v>
      </c>
      <c r="AB98" s="37" t="s">
        <v>57</v>
      </c>
      <c r="AD98" s="37">
        <v>7.25</v>
      </c>
      <c r="AE98" s="37">
        <v>7.25</v>
      </c>
      <c r="AG98" s="47" t="s">
        <v>4418</v>
      </c>
      <c r="AH98" s="47" t="s">
        <v>4712</v>
      </c>
      <c r="AK98" s="37" t="s">
        <v>58</v>
      </c>
      <c r="AL98" s="37">
        <v>49.9</v>
      </c>
      <c r="AM98" t="s">
        <v>5520</v>
      </c>
      <c r="AN98" s="74" t="s">
        <v>5630</v>
      </c>
    </row>
    <row r="99" spans="1:40" s="37" customFormat="1" ht="14.25" customHeight="1" x14ac:dyDescent="0.3">
      <c r="A99" s="37" t="s">
        <v>4559</v>
      </c>
      <c r="B99" s="37" t="s">
        <v>4616</v>
      </c>
      <c r="C99" s="37" t="s">
        <v>655</v>
      </c>
      <c r="D99" s="37" t="s">
        <v>4683</v>
      </c>
      <c r="E99" s="39" t="s">
        <v>4694</v>
      </c>
      <c r="F99" s="37" t="s">
        <v>1725</v>
      </c>
      <c r="G99" s="44" t="s">
        <v>42</v>
      </c>
      <c r="H99" s="44" t="s">
        <v>43</v>
      </c>
      <c r="I99" s="44" t="s">
        <v>44</v>
      </c>
      <c r="J99" s="37" t="s">
        <v>4400</v>
      </c>
      <c r="K99" s="37" t="s">
        <v>46</v>
      </c>
      <c r="L99" s="37" t="s">
        <v>67</v>
      </c>
      <c r="M99" s="37" t="s">
        <v>48</v>
      </c>
      <c r="N99" s="75" t="s">
        <v>4706</v>
      </c>
      <c r="O99" s="76" t="s">
        <v>61</v>
      </c>
      <c r="P99" s="37" t="s">
        <v>4533</v>
      </c>
      <c r="Q99" s="37" t="s">
        <v>68</v>
      </c>
      <c r="R99" s="48" t="s">
        <v>4695</v>
      </c>
      <c r="S99" s="37" t="s">
        <v>52</v>
      </c>
      <c r="T99" s="37" t="s">
        <v>4531</v>
      </c>
      <c r="U99" s="37" t="s">
        <v>4532</v>
      </c>
      <c r="V99" s="45"/>
      <c r="W99" s="45"/>
      <c r="X99" s="45"/>
      <c r="Y99" s="45"/>
      <c r="Z99" s="37" t="s">
        <v>1728</v>
      </c>
      <c r="AA99" s="37" t="s">
        <v>88</v>
      </c>
      <c r="AB99" s="37" t="s">
        <v>57</v>
      </c>
      <c r="AD99" s="37">
        <v>7.375</v>
      </c>
      <c r="AE99" s="37">
        <v>7.375</v>
      </c>
      <c r="AG99" s="47" t="s">
        <v>4418</v>
      </c>
      <c r="AH99" s="47" t="s">
        <v>4712</v>
      </c>
      <c r="AK99" s="37" t="s">
        <v>58</v>
      </c>
      <c r="AL99" s="37">
        <v>49.9</v>
      </c>
      <c r="AM99" t="s">
        <v>5520</v>
      </c>
      <c r="AN99" s="74" t="s">
        <v>5630</v>
      </c>
    </row>
    <row r="100" spans="1:40" s="37" customFormat="1" ht="14.25" customHeight="1" x14ac:dyDescent="0.3">
      <c r="A100" s="37" t="s">
        <v>4559</v>
      </c>
      <c r="B100" s="37" t="s">
        <v>4617</v>
      </c>
      <c r="C100" s="37" t="s">
        <v>655</v>
      </c>
      <c r="D100" s="37" t="s">
        <v>4684</v>
      </c>
      <c r="E100" s="39" t="s">
        <v>4694</v>
      </c>
      <c r="F100" s="37" t="s">
        <v>1725</v>
      </c>
      <c r="G100" s="44" t="s">
        <v>42</v>
      </c>
      <c r="H100" s="44" t="s">
        <v>43</v>
      </c>
      <c r="I100" s="44" t="s">
        <v>44</v>
      </c>
      <c r="J100" s="37" t="s">
        <v>4400</v>
      </c>
      <c r="K100" s="37" t="s">
        <v>46</v>
      </c>
      <c r="L100" s="37" t="s">
        <v>67</v>
      </c>
      <c r="M100" s="37" t="s">
        <v>48</v>
      </c>
      <c r="N100" s="75" t="s">
        <v>4707</v>
      </c>
      <c r="O100" s="76" t="s">
        <v>61</v>
      </c>
      <c r="P100" s="37" t="s">
        <v>4533</v>
      </c>
      <c r="Q100" s="37" t="s">
        <v>68</v>
      </c>
      <c r="R100" s="48" t="s">
        <v>4695</v>
      </c>
      <c r="S100" s="37" t="s">
        <v>52</v>
      </c>
      <c r="T100" s="37" t="s">
        <v>4531</v>
      </c>
      <c r="U100" s="37" t="s">
        <v>4532</v>
      </c>
      <c r="V100" s="45"/>
      <c r="W100" s="45"/>
      <c r="X100" s="45"/>
      <c r="Y100" s="45"/>
      <c r="Z100" s="37" t="s">
        <v>1728</v>
      </c>
      <c r="AA100" s="37" t="s">
        <v>88</v>
      </c>
      <c r="AB100" s="37" t="s">
        <v>57</v>
      </c>
      <c r="AD100" s="37">
        <v>7.28</v>
      </c>
      <c r="AE100" s="37">
        <v>7.28</v>
      </c>
      <c r="AG100" s="47" t="s">
        <v>4418</v>
      </c>
      <c r="AH100" s="47" t="s">
        <v>4712</v>
      </c>
      <c r="AK100" s="37" t="s">
        <v>58</v>
      </c>
      <c r="AL100" s="37">
        <v>49.9</v>
      </c>
      <c r="AM100" t="s">
        <v>5520</v>
      </c>
      <c r="AN100" s="74" t="s">
        <v>5630</v>
      </c>
    </row>
    <row r="101" spans="1:40" s="37" customFormat="1" ht="14.25" customHeight="1" x14ac:dyDescent="0.3">
      <c r="A101" s="37" t="s">
        <v>4559</v>
      </c>
      <c r="B101" s="37" t="s">
        <v>4618</v>
      </c>
      <c r="C101" s="37" t="s">
        <v>655</v>
      </c>
      <c r="D101" s="37" t="s">
        <v>4685</v>
      </c>
      <c r="E101" s="39" t="s">
        <v>4694</v>
      </c>
      <c r="F101" s="37" t="s">
        <v>1725</v>
      </c>
      <c r="G101" s="44" t="s">
        <v>42</v>
      </c>
      <c r="H101" s="44" t="s">
        <v>43</v>
      </c>
      <c r="I101" s="44" t="s">
        <v>44</v>
      </c>
      <c r="J101" s="37" t="s">
        <v>4400</v>
      </c>
      <c r="K101" s="37" t="s">
        <v>46</v>
      </c>
      <c r="L101" s="37" t="s">
        <v>67</v>
      </c>
      <c r="M101" s="37" t="s">
        <v>48</v>
      </c>
      <c r="N101" s="75" t="s">
        <v>4701</v>
      </c>
      <c r="O101" s="76" t="s">
        <v>586</v>
      </c>
      <c r="P101" s="37" t="s">
        <v>4533</v>
      </c>
      <c r="Q101" s="37" t="s">
        <v>68</v>
      </c>
      <c r="R101" s="48" t="s">
        <v>4695</v>
      </c>
      <c r="S101" s="37" t="s">
        <v>52</v>
      </c>
      <c r="T101" s="37" t="s">
        <v>4531</v>
      </c>
      <c r="U101" s="37" t="s">
        <v>4532</v>
      </c>
      <c r="V101" s="45"/>
      <c r="W101" s="45"/>
      <c r="X101" s="45"/>
      <c r="Y101" s="45"/>
      <c r="Z101" s="37" t="s">
        <v>1728</v>
      </c>
      <c r="AA101" s="37" t="s">
        <v>88</v>
      </c>
      <c r="AB101" s="37" t="s">
        <v>57</v>
      </c>
      <c r="AD101" s="37">
        <v>7.375</v>
      </c>
      <c r="AE101" s="37">
        <v>7.375</v>
      </c>
      <c r="AG101" s="47" t="s">
        <v>4418</v>
      </c>
      <c r="AH101" s="47" t="s">
        <v>4712</v>
      </c>
      <c r="AK101" s="37" t="s">
        <v>58</v>
      </c>
      <c r="AL101" s="37">
        <v>49.9</v>
      </c>
      <c r="AM101" t="s">
        <v>5520</v>
      </c>
      <c r="AN101" s="74" t="s">
        <v>5630</v>
      </c>
    </row>
    <row r="102" spans="1:40" s="37" customFormat="1" ht="14.25" customHeight="1" x14ac:dyDescent="0.3">
      <c r="A102" s="37" t="s">
        <v>4559</v>
      </c>
      <c r="B102" s="37" t="s">
        <v>4619</v>
      </c>
      <c r="C102" s="37" t="s">
        <v>655</v>
      </c>
      <c r="D102" s="37" t="s">
        <v>4686</v>
      </c>
      <c r="E102" s="39" t="s">
        <v>4694</v>
      </c>
      <c r="F102" s="37" t="s">
        <v>1725</v>
      </c>
      <c r="G102" s="44" t="s">
        <v>42</v>
      </c>
      <c r="H102" s="44" t="s">
        <v>43</v>
      </c>
      <c r="I102" s="44" t="s">
        <v>44</v>
      </c>
      <c r="J102" s="37" t="s">
        <v>4400</v>
      </c>
      <c r="K102" s="37" t="s">
        <v>46</v>
      </c>
      <c r="L102" s="37" t="s">
        <v>67</v>
      </c>
      <c r="M102" s="37" t="s">
        <v>48</v>
      </c>
      <c r="N102" s="75" t="s">
        <v>4702</v>
      </c>
      <c r="O102" s="76" t="s">
        <v>586</v>
      </c>
      <c r="P102" s="37" t="s">
        <v>4533</v>
      </c>
      <c r="Q102" s="37" t="s">
        <v>68</v>
      </c>
      <c r="R102" s="48" t="s">
        <v>4695</v>
      </c>
      <c r="S102" s="37" t="s">
        <v>52</v>
      </c>
      <c r="T102" s="37" t="s">
        <v>4531</v>
      </c>
      <c r="U102" s="37" t="s">
        <v>4532</v>
      </c>
      <c r="V102" s="45"/>
      <c r="W102" s="45"/>
      <c r="X102" s="45"/>
      <c r="Y102" s="45"/>
      <c r="Z102" s="37" t="s">
        <v>1728</v>
      </c>
      <c r="AA102" s="37" t="s">
        <v>88</v>
      </c>
      <c r="AB102" s="37" t="s">
        <v>57</v>
      </c>
      <c r="AD102" s="37">
        <v>7.17</v>
      </c>
      <c r="AE102" s="37">
        <v>7.17</v>
      </c>
      <c r="AG102" s="47" t="s">
        <v>4418</v>
      </c>
      <c r="AH102" s="47" t="s">
        <v>4712</v>
      </c>
      <c r="AK102" s="37" t="s">
        <v>58</v>
      </c>
      <c r="AL102" s="37">
        <v>49.9</v>
      </c>
      <c r="AM102" t="s">
        <v>5520</v>
      </c>
      <c r="AN102" s="74" t="s">
        <v>5630</v>
      </c>
    </row>
    <row r="103" spans="1:40" s="37" customFormat="1" ht="14.25" customHeight="1" x14ac:dyDescent="0.3">
      <c r="A103" s="37" t="s">
        <v>4559</v>
      </c>
      <c r="B103" s="37" t="s">
        <v>4620</v>
      </c>
      <c r="C103" s="37" t="s">
        <v>655</v>
      </c>
      <c r="D103" s="37" t="s">
        <v>4687</v>
      </c>
      <c r="E103" s="39" t="s">
        <v>4694</v>
      </c>
      <c r="F103" s="37" t="s">
        <v>1725</v>
      </c>
      <c r="G103" s="44" t="s">
        <v>42</v>
      </c>
      <c r="H103" s="44" t="s">
        <v>43</v>
      </c>
      <c r="I103" s="44" t="s">
        <v>44</v>
      </c>
      <c r="J103" s="37" t="s">
        <v>4400</v>
      </c>
      <c r="K103" s="37" t="s">
        <v>46</v>
      </c>
      <c r="L103" s="37" t="s">
        <v>67</v>
      </c>
      <c r="M103" s="37" t="s">
        <v>48</v>
      </c>
      <c r="N103" s="75" t="s">
        <v>4703</v>
      </c>
      <c r="O103" s="76" t="s">
        <v>586</v>
      </c>
      <c r="P103" s="37" t="s">
        <v>4533</v>
      </c>
      <c r="Q103" s="37" t="s">
        <v>68</v>
      </c>
      <c r="R103" s="48" t="s">
        <v>4695</v>
      </c>
      <c r="S103" s="37" t="s">
        <v>52</v>
      </c>
      <c r="T103" s="37" t="s">
        <v>4531</v>
      </c>
      <c r="U103" s="37" t="s">
        <v>4532</v>
      </c>
      <c r="V103" s="45"/>
      <c r="W103" s="45"/>
      <c r="X103" s="45"/>
      <c r="Y103" s="45"/>
      <c r="Z103" s="37" t="s">
        <v>1728</v>
      </c>
      <c r="AA103" s="37" t="s">
        <v>88</v>
      </c>
      <c r="AB103" s="37" t="s">
        <v>57</v>
      </c>
      <c r="AD103" s="37">
        <v>7.09</v>
      </c>
      <c r="AE103" s="37">
        <v>7.09</v>
      </c>
      <c r="AG103" s="47" t="s">
        <v>4418</v>
      </c>
      <c r="AH103" s="47" t="s">
        <v>4712</v>
      </c>
      <c r="AK103" s="37" t="s">
        <v>58</v>
      </c>
      <c r="AL103" s="37">
        <v>49.9</v>
      </c>
      <c r="AM103" t="s">
        <v>5520</v>
      </c>
      <c r="AN103" s="74" t="s">
        <v>5630</v>
      </c>
    </row>
    <row r="104" spans="1:40" s="37" customFormat="1" ht="14.25" customHeight="1" x14ac:dyDescent="0.3">
      <c r="A104" s="37" t="s">
        <v>4559</v>
      </c>
      <c r="B104" s="37" t="s">
        <v>4621</v>
      </c>
      <c r="C104" s="37" t="s">
        <v>655</v>
      </c>
      <c r="D104" s="37" t="s">
        <v>4688</v>
      </c>
      <c r="E104" s="39" t="s">
        <v>4694</v>
      </c>
      <c r="F104" s="37" t="s">
        <v>1725</v>
      </c>
      <c r="G104" s="44" t="s">
        <v>42</v>
      </c>
      <c r="H104" s="44" t="s">
        <v>43</v>
      </c>
      <c r="I104" s="44" t="s">
        <v>44</v>
      </c>
      <c r="J104" s="37" t="s">
        <v>4400</v>
      </c>
      <c r="K104" s="37" t="s">
        <v>46</v>
      </c>
      <c r="L104" s="37" t="s">
        <v>67</v>
      </c>
      <c r="M104" s="37" t="s">
        <v>48</v>
      </c>
      <c r="N104" s="75" t="s">
        <v>4711</v>
      </c>
      <c r="O104" s="76" t="s">
        <v>586</v>
      </c>
      <c r="P104" s="37" t="s">
        <v>4533</v>
      </c>
      <c r="Q104" s="37" t="s">
        <v>68</v>
      </c>
      <c r="R104" s="48" t="s">
        <v>4695</v>
      </c>
      <c r="S104" s="37" t="s">
        <v>52</v>
      </c>
      <c r="T104" s="37" t="s">
        <v>4531</v>
      </c>
      <c r="U104" s="37" t="s">
        <v>4532</v>
      </c>
      <c r="V104" s="45"/>
      <c r="W104" s="45"/>
      <c r="X104" s="45"/>
      <c r="Y104" s="45"/>
      <c r="Z104" s="37" t="s">
        <v>1728</v>
      </c>
      <c r="AA104" s="37" t="s">
        <v>88</v>
      </c>
      <c r="AB104" s="37" t="s">
        <v>57</v>
      </c>
      <c r="AD104" s="37">
        <v>7.25</v>
      </c>
      <c r="AE104" s="37">
        <v>7.25</v>
      </c>
      <c r="AG104" s="47" t="s">
        <v>4418</v>
      </c>
      <c r="AH104" s="47" t="s">
        <v>4712</v>
      </c>
      <c r="AK104" s="37" t="s">
        <v>58</v>
      </c>
      <c r="AL104" s="37">
        <v>49.9</v>
      </c>
      <c r="AM104" t="s">
        <v>5520</v>
      </c>
      <c r="AN104" s="74" t="s">
        <v>5630</v>
      </c>
    </row>
    <row r="105" spans="1:40" s="37" customFormat="1" ht="14.25" customHeight="1" x14ac:dyDescent="0.3">
      <c r="A105" s="37" t="s">
        <v>4559</v>
      </c>
      <c r="B105" s="37" t="s">
        <v>4622</v>
      </c>
      <c r="C105" s="37" t="s">
        <v>655</v>
      </c>
      <c r="D105" s="37" t="s">
        <v>4689</v>
      </c>
      <c r="E105" s="39" t="s">
        <v>4694</v>
      </c>
      <c r="F105" s="37" t="s">
        <v>1725</v>
      </c>
      <c r="G105" s="44" t="s">
        <v>42</v>
      </c>
      <c r="H105" s="44" t="s">
        <v>43</v>
      </c>
      <c r="I105" s="44" t="s">
        <v>44</v>
      </c>
      <c r="J105" s="37" t="s">
        <v>4400</v>
      </c>
      <c r="K105" s="37" t="s">
        <v>46</v>
      </c>
      <c r="L105" s="37" t="s">
        <v>67</v>
      </c>
      <c r="M105" s="37" t="s">
        <v>48</v>
      </c>
      <c r="N105" s="75" t="s">
        <v>4699</v>
      </c>
      <c r="O105" s="76" t="s">
        <v>586</v>
      </c>
      <c r="P105" s="37" t="s">
        <v>4533</v>
      </c>
      <c r="Q105" s="37" t="s">
        <v>68</v>
      </c>
      <c r="R105" s="48" t="s">
        <v>4695</v>
      </c>
      <c r="S105" s="37" t="s">
        <v>52</v>
      </c>
      <c r="T105" s="37" t="s">
        <v>4531</v>
      </c>
      <c r="U105" s="37" t="s">
        <v>4532</v>
      </c>
      <c r="V105" s="45"/>
      <c r="W105" s="45"/>
      <c r="X105" s="45"/>
      <c r="Y105" s="45"/>
      <c r="Z105" s="37" t="s">
        <v>1728</v>
      </c>
      <c r="AA105" s="37" t="s">
        <v>88</v>
      </c>
      <c r="AB105" s="37" t="s">
        <v>57</v>
      </c>
      <c r="AD105" s="37">
        <v>7.27</v>
      </c>
      <c r="AE105" s="37">
        <v>7.27</v>
      </c>
      <c r="AG105" s="47" t="s">
        <v>4418</v>
      </c>
      <c r="AH105" s="47" t="s">
        <v>4712</v>
      </c>
      <c r="AK105" s="37" t="s">
        <v>58</v>
      </c>
      <c r="AL105" s="37">
        <v>49.9</v>
      </c>
      <c r="AM105" t="s">
        <v>5520</v>
      </c>
      <c r="AN105" s="74" t="s">
        <v>5630</v>
      </c>
    </row>
    <row r="106" spans="1:40" s="37" customFormat="1" ht="14.25" customHeight="1" x14ac:dyDescent="0.3">
      <c r="A106" s="37" t="s">
        <v>4559</v>
      </c>
      <c r="B106" s="37" t="s">
        <v>4623</v>
      </c>
      <c r="C106" s="37" t="s">
        <v>655</v>
      </c>
      <c r="D106" s="37" t="s">
        <v>4690</v>
      </c>
      <c r="E106" s="39" t="s">
        <v>4694</v>
      </c>
      <c r="F106" s="37" t="s">
        <v>1725</v>
      </c>
      <c r="G106" s="44" t="s">
        <v>42</v>
      </c>
      <c r="H106" s="44" t="s">
        <v>43</v>
      </c>
      <c r="I106" s="44" t="s">
        <v>44</v>
      </c>
      <c r="J106" s="37" t="s">
        <v>4400</v>
      </c>
      <c r="K106" s="37" t="s">
        <v>46</v>
      </c>
      <c r="L106" s="37" t="s">
        <v>67</v>
      </c>
      <c r="M106" s="37" t="s">
        <v>48</v>
      </c>
      <c r="N106" s="75" t="s">
        <v>4700</v>
      </c>
      <c r="O106" s="76" t="s">
        <v>586</v>
      </c>
      <c r="P106" s="37" t="s">
        <v>4533</v>
      </c>
      <c r="Q106" s="37" t="s">
        <v>68</v>
      </c>
      <c r="R106" s="48" t="s">
        <v>4695</v>
      </c>
      <c r="S106" s="37" t="s">
        <v>52</v>
      </c>
      <c r="T106" s="37" t="s">
        <v>4531</v>
      </c>
      <c r="U106" s="37" t="s">
        <v>4532</v>
      </c>
      <c r="V106" s="45"/>
      <c r="W106" s="45"/>
      <c r="X106" s="45"/>
      <c r="Y106" s="45"/>
      <c r="Z106" s="37" t="s">
        <v>1728</v>
      </c>
      <c r="AA106" s="37" t="s">
        <v>88</v>
      </c>
      <c r="AB106" s="37" t="s">
        <v>57</v>
      </c>
      <c r="AD106" s="37">
        <v>7.6</v>
      </c>
      <c r="AE106" s="37">
        <v>7.6</v>
      </c>
      <c r="AG106" s="47" t="s">
        <v>4418</v>
      </c>
      <c r="AH106" s="47" t="s">
        <v>4712</v>
      </c>
      <c r="AK106" s="37" t="s">
        <v>58</v>
      </c>
      <c r="AL106" s="37">
        <v>49.9</v>
      </c>
      <c r="AM106" t="s">
        <v>5520</v>
      </c>
      <c r="AN106" s="74" t="s">
        <v>5630</v>
      </c>
    </row>
    <row r="107" spans="1:40" s="37" customFormat="1" ht="14.25" customHeight="1" x14ac:dyDescent="0.3">
      <c r="A107" s="37" t="s">
        <v>4559</v>
      </c>
      <c r="B107" s="37" t="s">
        <v>4624</v>
      </c>
      <c r="C107" s="37" t="s">
        <v>655</v>
      </c>
      <c r="D107" s="37" t="s">
        <v>4691</v>
      </c>
      <c r="E107" s="39" t="s">
        <v>4694</v>
      </c>
      <c r="F107" s="37" t="s">
        <v>1725</v>
      </c>
      <c r="G107" s="44" t="s">
        <v>42</v>
      </c>
      <c r="H107" s="44" t="s">
        <v>43</v>
      </c>
      <c r="I107" s="44" t="s">
        <v>44</v>
      </c>
      <c r="J107" s="37" t="s">
        <v>4400</v>
      </c>
      <c r="K107" s="37" t="s">
        <v>46</v>
      </c>
      <c r="L107" s="37" t="s">
        <v>67</v>
      </c>
      <c r="M107" s="37" t="s">
        <v>48</v>
      </c>
      <c r="N107" s="75" t="s">
        <v>4871</v>
      </c>
      <c r="O107" s="76" t="s">
        <v>3268</v>
      </c>
      <c r="P107" s="37" t="s">
        <v>4533</v>
      </c>
      <c r="Q107" s="37" t="s">
        <v>68</v>
      </c>
      <c r="R107" s="48" t="s">
        <v>4695</v>
      </c>
      <c r="S107" s="37" t="s">
        <v>52</v>
      </c>
      <c r="T107" s="37" t="s">
        <v>4531</v>
      </c>
      <c r="U107" s="37" t="s">
        <v>4532</v>
      </c>
      <c r="V107" s="45"/>
      <c r="W107" s="45"/>
      <c r="X107" s="45"/>
      <c r="Y107" s="45"/>
      <c r="Z107" s="37" t="s">
        <v>1728</v>
      </c>
      <c r="AA107" s="37" t="s">
        <v>88</v>
      </c>
      <c r="AB107" s="37" t="s">
        <v>57</v>
      </c>
      <c r="AD107" s="37">
        <v>7.375</v>
      </c>
      <c r="AE107" s="37">
        <v>7.375</v>
      </c>
      <c r="AG107" s="47" t="s">
        <v>4418</v>
      </c>
      <c r="AH107" s="47" t="s">
        <v>4712</v>
      </c>
      <c r="AK107" s="37" t="s">
        <v>58</v>
      </c>
      <c r="AL107" s="37">
        <v>49.9</v>
      </c>
      <c r="AM107" t="s">
        <v>5520</v>
      </c>
      <c r="AN107" s="74" t="s">
        <v>5630</v>
      </c>
    </row>
    <row r="108" spans="1:40" s="37" customFormat="1" ht="14.25" customHeight="1" x14ac:dyDescent="0.3">
      <c r="A108" s="37" t="s">
        <v>4559</v>
      </c>
      <c r="B108" s="37" t="s">
        <v>4625</v>
      </c>
      <c r="C108" s="37" t="s">
        <v>655</v>
      </c>
      <c r="D108" s="37" t="s">
        <v>4692</v>
      </c>
      <c r="E108" s="39" t="s">
        <v>4694</v>
      </c>
      <c r="F108" s="37" t="s">
        <v>1725</v>
      </c>
      <c r="G108" s="44" t="s">
        <v>42</v>
      </c>
      <c r="H108" s="44" t="s">
        <v>43</v>
      </c>
      <c r="I108" s="44" t="s">
        <v>44</v>
      </c>
      <c r="J108" s="37" t="s">
        <v>4400</v>
      </c>
      <c r="K108" s="37" t="s">
        <v>46</v>
      </c>
      <c r="L108" s="37" t="s">
        <v>132</v>
      </c>
      <c r="M108" s="37" t="s">
        <v>48</v>
      </c>
      <c r="N108" s="75" t="s">
        <v>4704</v>
      </c>
      <c r="O108" s="76" t="s">
        <v>599</v>
      </c>
      <c r="P108" s="37" t="s">
        <v>4402</v>
      </c>
      <c r="Q108" s="37" t="s">
        <v>68</v>
      </c>
      <c r="R108" s="48" t="s">
        <v>4416</v>
      </c>
      <c r="S108" s="37" t="s">
        <v>52</v>
      </c>
      <c r="T108" s="37" t="s">
        <v>4531</v>
      </c>
      <c r="U108" s="37" t="s">
        <v>4532</v>
      </c>
      <c r="V108" s="45"/>
      <c r="W108" s="45"/>
      <c r="X108" s="45"/>
      <c r="Y108" s="45"/>
      <c r="Z108" s="37" t="s">
        <v>1728</v>
      </c>
      <c r="AA108" s="37" t="s">
        <v>88</v>
      </c>
      <c r="AB108" s="37" t="s">
        <v>57</v>
      </c>
      <c r="AD108" s="37">
        <v>63.25</v>
      </c>
      <c r="AE108" s="37">
        <v>63.25</v>
      </c>
      <c r="AG108" s="47" t="s">
        <v>4556</v>
      </c>
      <c r="AH108" s="47" t="s">
        <v>4553</v>
      </c>
      <c r="AK108" s="37" t="s">
        <v>58</v>
      </c>
      <c r="AL108" s="37">
        <v>79.900000000000006</v>
      </c>
      <c r="AM108" t="s">
        <v>5520</v>
      </c>
      <c r="AN108" s="74" t="s">
        <v>5630</v>
      </c>
    </row>
    <row r="109" spans="1:40" s="37" customFormat="1" ht="14.25" customHeight="1" x14ac:dyDescent="0.3">
      <c r="A109" s="37" t="s">
        <v>4559</v>
      </c>
      <c r="B109" s="37" t="s">
        <v>4626</v>
      </c>
      <c r="C109" s="37" t="s">
        <v>655</v>
      </c>
      <c r="D109" s="37" t="s">
        <v>4693</v>
      </c>
      <c r="E109" s="39" t="s">
        <v>4694</v>
      </c>
      <c r="F109" s="37" t="s">
        <v>1725</v>
      </c>
      <c r="G109" s="44" t="s">
        <v>42</v>
      </c>
      <c r="H109" s="44" t="s">
        <v>43</v>
      </c>
      <c r="I109" s="44" t="s">
        <v>44</v>
      </c>
      <c r="J109" s="37" t="s">
        <v>4400</v>
      </c>
      <c r="K109" s="37" t="s">
        <v>46</v>
      </c>
      <c r="L109" s="37" t="s">
        <v>132</v>
      </c>
      <c r="M109" s="37" t="s">
        <v>48</v>
      </c>
      <c r="N109" s="75" t="s">
        <v>4705</v>
      </c>
      <c r="O109" s="76" t="s">
        <v>328</v>
      </c>
      <c r="P109" s="37" t="s">
        <v>4402</v>
      </c>
      <c r="Q109" s="37" t="s">
        <v>68</v>
      </c>
      <c r="R109" s="48" t="s">
        <v>4416</v>
      </c>
      <c r="S109" s="37" t="s">
        <v>52</v>
      </c>
      <c r="T109" s="37" t="s">
        <v>4531</v>
      </c>
      <c r="U109" s="37" t="s">
        <v>4532</v>
      </c>
      <c r="V109" s="45"/>
      <c r="W109" s="45"/>
      <c r="X109" s="45"/>
      <c r="Y109" s="45"/>
      <c r="Z109" s="37" t="s">
        <v>1728</v>
      </c>
      <c r="AA109" s="37" t="s">
        <v>88</v>
      </c>
      <c r="AB109" s="37" t="s">
        <v>57</v>
      </c>
      <c r="AD109" s="37">
        <v>63.25</v>
      </c>
      <c r="AE109" s="37">
        <v>63.25</v>
      </c>
      <c r="AG109" s="47" t="s">
        <v>4556</v>
      </c>
      <c r="AH109" s="47" t="s">
        <v>4553</v>
      </c>
      <c r="AK109" s="37" t="s">
        <v>58</v>
      </c>
      <c r="AL109" s="37">
        <v>79.900000000000006</v>
      </c>
      <c r="AM109" t="s">
        <v>5520</v>
      </c>
      <c r="AN109" s="74" t="s">
        <v>5630</v>
      </c>
    </row>
    <row r="110" spans="1:40" s="37" customFormat="1" ht="14.25" customHeight="1" x14ac:dyDescent="0.3">
      <c r="A110" s="37" t="s">
        <v>849</v>
      </c>
      <c r="B110" s="37" t="s">
        <v>4767</v>
      </c>
      <c r="C110" s="37" t="s">
        <v>4858</v>
      </c>
      <c r="D110" s="37" t="s">
        <v>4837</v>
      </c>
      <c r="E110" s="39" t="s">
        <v>4864</v>
      </c>
      <c r="F110" s="37" t="s">
        <v>1725</v>
      </c>
      <c r="G110" s="44" t="s">
        <v>42</v>
      </c>
      <c r="H110" s="44" t="s">
        <v>43</v>
      </c>
      <c r="I110" s="44" t="s">
        <v>44</v>
      </c>
      <c r="J110" s="37" t="s">
        <v>4400</v>
      </c>
      <c r="K110" s="37" t="s">
        <v>85</v>
      </c>
      <c r="L110" s="37" t="s">
        <v>1008</v>
      </c>
      <c r="M110" s="37" t="s">
        <v>48</v>
      </c>
      <c r="N110" s="99" t="s">
        <v>4887</v>
      </c>
      <c r="O110" s="76" t="s">
        <v>3268</v>
      </c>
      <c r="P110" s="37" t="s">
        <v>4402</v>
      </c>
      <c r="Q110" s="37" t="s">
        <v>51</v>
      </c>
      <c r="R110" s="48" t="s">
        <v>4415</v>
      </c>
      <c r="S110" s="37" t="s">
        <v>52</v>
      </c>
      <c r="T110" s="37" t="s">
        <v>4531</v>
      </c>
      <c r="U110" s="37" t="s">
        <v>4532</v>
      </c>
      <c r="V110" s="45"/>
      <c r="W110" s="45"/>
      <c r="X110" s="45"/>
      <c r="Y110" s="45"/>
      <c r="Z110" s="37" t="s">
        <v>1728</v>
      </c>
      <c r="AA110" s="37" t="s">
        <v>88</v>
      </c>
      <c r="AB110" s="37" t="s">
        <v>57</v>
      </c>
      <c r="AD110" s="37">
        <v>16</v>
      </c>
      <c r="AE110" s="37">
        <v>16</v>
      </c>
      <c r="AG110" s="47" t="s">
        <v>4417</v>
      </c>
      <c r="AH110" s="47" t="s">
        <v>4420</v>
      </c>
      <c r="AK110" s="37" t="s">
        <v>58</v>
      </c>
      <c r="AL110" s="37">
        <v>56.9</v>
      </c>
      <c r="AM110" t="s">
        <v>5520</v>
      </c>
      <c r="AN110" s="74" t="s">
        <v>5644</v>
      </c>
    </row>
    <row r="111" spans="1:40" s="37" customFormat="1" ht="14.25" customHeight="1" x14ac:dyDescent="0.3">
      <c r="A111" s="37" t="s">
        <v>849</v>
      </c>
      <c r="B111" s="37" t="s">
        <v>4768</v>
      </c>
      <c r="C111" s="37" t="s">
        <v>4858</v>
      </c>
      <c r="D111" s="37" t="s">
        <v>4838</v>
      </c>
      <c r="E111" s="39" t="s">
        <v>4864</v>
      </c>
      <c r="F111" s="37" t="s">
        <v>1725</v>
      </c>
      <c r="G111" s="44" t="s">
        <v>42</v>
      </c>
      <c r="H111" s="44" t="s">
        <v>43</v>
      </c>
      <c r="I111" s="44" t="s">
        <v>44</v>
      </c>
      <c r="J111" s="37" t="s">
        <v>4400</v>
      </c>
      <c r="K111" s="37" t="s">
        <v>85</v>
      </c>
      <c r="L111" s="37" t="s">
        <v>1008</v>
      </c>
      <c r="M111" s="37" t="s">
        <v>48</v>
      </c>
      <c r="N111" s="99" t="s">
        <v>4888</v>
      </c>
      <c r="O111" s="76" t="s">
        <v>586</v>
      </c>
      <c r="P111" s="37" t="s">
        <v>4402</v>
      </c>
      <c r="Q111" s="37" t="s">
        <v>51</v>
      </c>
      <c r="R111" s="48" t="s">
        <v>4415</v>
      </c>
      <c r="S111" s="37" t="s">
        <v>52</v>
      </c>
      <c r="T111" s="37" t="s">
        <v>4531</v>
      </c>
      <c r="U111" s="37" t="s">
        <v>4532</v>
      </c>
      <c r="V111" s="45"/>
      <c r="W111" s="45"/>
      <c r="X111" s="45"/>
      <c r="Y111" s="45"/>
      <c r="Z111" s="37" t="s">
        <v>1728</v>
      </c>
      <c r="AA111" s="37" t="s">
        <v>88</v>
      </c>
      <c r="AB111" s="37" t="s">
        <v>57</v>
      </c>
      <c r="AD111" s="37">
        <v>16</v>
      </c>
      <c r="AE111" s="37">
        <v>16</v>
      </c>
      <c r="AG111" s="47" t="s">
        <v>4417</v>
      </c>
      <c r="AH111" s="47" t="s">
        <v>4420</v>
      </c>
      <c r="AK111" s="37" t="s">
        <v>58</v>
      </c>
      <c r="AL111" s="37">
        <v>56.9</v>
      </c>
      <c r="AM111" t="s">
        <v>5520</v>
      </c>
      <c r="AN111" s="74" t="s">
        <v>5644</v>
      </c>
    </row>
    <row r="112" spans="1:40" s="37" customFormat="1" ht="14.25" customHeight="1" x14ac:dyDescent="0.3">
      <c r="A112" s="37" t="s">
        <v>849</v>
      </c>
      <c r="B112" s="37" t="s">
        <v>4769</v>
      </c>
      <c r="C112" s="37" t="s">
        <v>4858</v>
      </c>
      <c r="D112" s="37" t="s">
        <v>4839</v>
      </c>
      <c r="E112" s="39" t="s">
        <v>4864</v>
      </c>
      <c r="F112" s="37" t="s">
        <v>1725</v>
      </c>
      <c r="G112" s="44" t="s">
        <v>42</v>
      </c>
      <c r="H112" s="44" t="s">
        <v>43</v>
      </c>
      <c r="I112" s="44" t="s">
        <v>44</v>
      </c>
      <c r="J112" s="37" t="s">
        <v>4400</v>
      </c>
      <c r="K112" s="37" t="s">
        <v>85</v>
      </c>
      <c r="L112" s="37" t="s">
        <v>1008</v>
      </c>
      <c r="M112" s="37" t="s">
        <v>48</v>
      </c>
      <c r="N112" s="99" t="s">
        <v>4889</v>
      </c>
      <c r="O112" s="76" t="s">
        <v>586</v>
      </c>
      <c r="P112" s="37" t="s">
        <v>4402</v>
      </c>
      <c r="Q112" s="37" t="s">
        <v>51</v>
      </c>
      <c r="R112" s="48" t="s">
        <v>4415</v>
      </c>
      <c r="S112" s="37" t="s">
        <v>52</v>
      </c>
      <c r="T112" s="37" t="s">
        <v>4531</v>
      </c>
      <c r="U112" s="37" t="s">
        <v>4532</v>
      </c>
      <c r="V112" s="45"/>
      <c r="W112" s="45"/>
      <c r="X112" s="45"/>
      <c r="Y112" s="45"/>
      <c r="Z112" s="37" t="s">
        <v>1728</v>
      </c>
      <c r="AA112" s="37" t="s">
        <v>88</v>
      </c>
      <c r="AB112" s="37" t="s">
        <v>57</v>
      </c>
      <c r="AD112" s="37">
        <v>16</v>
      </c>
      <c r="AE112" s="37">
        <v>16</v>
      </c>
      <c r="AG112" s="47" t="s">
        <v>4417</v>
      </c>
      <c r="AH112" s="47" t="s">
        <v>4420</v>
      </c>
      <c r="AK112" s="37" t="s">
        <v>58</v>
      </c>
      <c r="AL112" s="37">
        <v>56.9</v>
      </c>
      <c r="AM112" t="s">
        <v>5520</v>
      </c>
      <c r="AN112" s="74" t="s">
        <v>5644</v>
      </c>
    </row>
    <row r="113" spans="1:40" s="37" customFormat="1" ht="14.25" customHeight="1" x14ac:dyDescent="0.3">
      <c r="A113" s="37" t="s">
        <v>849</v>
      </c>
      <c r="B113" s="37" t="s">
        <v>4770</v>
      </c>
      <c r="C113" s="37" t="s">
        <v>4858</v>
      </c>
      <c r="D113" s="37" t="s">
        <v>4840</v>
      </c>
      <c r="E113" s="39" t="s">
        <v>4864</v>
      </c>
      <c r="F113" s="37" t="s">
        <v>1725</v>
      </c>
      <c r="G113" s="44" t="s">
        <v>42</v>
      </c>
      <c r="H113" s="44" t="s">
        <v>43</v>
      </c>
      <c r="I113" s="44" t="s">
        <v>44</v>
      </c>
      <c r="J113" s="37" t="s">
        <v>4400</v>
      </c>
      <c r="K113" s="37" t="s">
        <v>85</v>
      </c>
      <c r="L113" s="37" t="s">
        <v>1008</v>
      </c>
      <c r="M113" s="37" t="s">
        <v>48</v>
      </c>
      <c r="N113" s="99" t="s">
        <v>4890</v>
      </c>
      <c r="O113" s="76" t="s">
        <v>586</v>
      </c>
      <c r="P113" s="37" t="s">
        <v>4402</v>
      </c>
      <c r="Q113" s="37" t="s">
        <v>51</v>
      </c>
      <c r="R113" s="48" t="s">
        <v>4415</v>
      </c>
      <c r="S113" s="37" t="s">
        <v>52</v>
      </c>
      <c r="T113" s="37" t="s">
        <v>4531</v>
      </c>
      <c r="U113" s="37" t="s">
        <v>4532</v>
      </c>
      <c r="V113" s="45"/>
      <c r="W113" s="45"/>
      <c r="X113" s="45"/>
      <c r="Y113" s="45"/>
      <c r="Z113" s="37" t="s">
        <v>1728</v>
      </c>
      <c r="AA113" s="37" t="s">
        <v>88</v>
      </c>
      <c r="AB113" s="37" t="s">
        <v>57</v>
      </c>
      <c r="AD113" s="37">
        <v>16</v>
      </c>
      <c r="AE113" s="37">
        <v>16</v>
      </c>
      <c r="AG113" s="47" t="s">
        <v>4417</v>
      </c>
      <c r="AH113" s="47" t="s">
        <v>4420</v>
      </c>
      <c r="AK113" s="37" t="s">
        <v>58</v>
      </c>
      <c r="AL113" s="37">
        <v>56.9</v>
      </c>
      <c r="AM113" t="s">
        <v>5520</v>
      </c>
      <c r="AN113" s="74" t="s">
        <v>5644</v>
      </c>
    </row>
    <row r="114" spans="1:40" s="37" customFormat="1" ht="14.25" customHeight="1" x14ac:dyDescent="0.3">
      <c r="A114" s="37" t="s">
        <v>849</v>
      </c>
      <c r="B114" s="37" t="s">
        <v>4771</v>
      </c>
      <c r="C114" s="37" t="s">
        <v>4858</v>
      </c>
      <c r="D114" s="37" t="s">
        <v>4841</v>
      </c>
      <c r="E114" s="39" t="s">
        <v>4864</v>
      </c>
      <c r="F114" s="37" t="s">
        <v>1725</v>
      </c>
      <c r="G114" s="44" t="s">
        <v>42</v>
      </c>
      <c r="H114" s="44" t="s">
        <v>43</v>
      </c>
      <c r="I114" s="44" t="s">
        <v>44</v>
      </c>
      <c r="J114" s="37" t="s">
        <v>4400</v>
      </c>
      <c r="K114" s="37" t="s">
        <v>85</v>
      </c>
      <c r="L114" s="37" t="s">
        <v>1008</v>
      </c>
      <c r="M114" s="37" t="s">
        <v>48</v>
      </c>
      <c r="N114" s="99" t="s">
        <v>4891</v>
      </c>
      <c r="O114" s="76" t="s">
        <v>586</v>
      </c>
      <c r="P114" s="37" t="s">
        <v>4402</v>
      </c>
      <c r="Q114" s="37" t="s">
        <v>51</v>
      </c>
      <c r="R114" s="48" t="s">
        <v>4415</v>
      </c>
      <c r="S114" s="37" t="s">
        <v>52</v>
      </c>
      <c r="T114" s="37" t="s">
        <v>4531</v>
      </c>
      <c r="U114" s="37" t="s">
        <v>4532</v>
      </c>
      <c r="V114" s="45"/>
      <c r="W114" s="45"/>
      <c r="X114" s="45"/>
      <c r="Y114" s="45"/>
      <c r="Z114" s="37" t="s">
        <v>1728</v>
      </c>
      <c r="AA114" s="37" t="s">
        <v>88</v>
      </c>
      <c r="AB114" s="37" t="s">
        <v>57</v>
      </c>
      <c r="AD114" s="37">
        <v>16</v>
      </c>
      <c r="AE114" s="37">
        <v>16</v>
      </c>
      <c r="AG114" s="47" t="s">
        <v>4417</v>
      </c>
      <c r="AH114" s="47" t="s">
        <v>4420</v>
      </c>
      <c r="AK114" s="37" t="s">
        <v>58</v>
      </c>
      <c r="AL114" s="37">
        <v>56.9</v>
      </c>
      <c r="AM114" t="s">
        <v>5520</v>
      </c>
      <c r="AN114" s="74" t="s">
        <v>5644</v>
      </c>
    </row>
    <row r="115" spans="1:40" s="37" customFormat="1" ht="14.25" customHeight="1" x14ac:dyDescent="0.3">
      <c r="A115" s="37" t="s">
        <v>849</v>
      </c>
      <c r="B115" s="37" t="s">
        <v>4772</v>
      </c>
      <c r="C115" s="37" t="s">
        <v>4858</v>
      </c>
      <c r="D115" s="37" t="s">
        <v>4842</v>
      </c>
      <c r="E115" s="39" t="s">
        <v>4864</v>
      </c>
      <c r="F115" s="37" t="s">
        <v>1725</v>
      </c>
      <c r="G115" s="44" t="s">
        <v>42</v>
      </c>
      <c r="H115" s="44" t="s">
        <v>43</v>
      </c>
      <c r="I115" s="44" t="s">
        <v>44</v>
      </c>
      <c r="J115" s="37" t="s">
        <v>4400</v>
      </c>
      <c r="K115" s="37" t="s">
        <v>85</v>
      </c>
      <c r="L115" s="37" t="s">
        <v>1008</v>
      </c>
      <c r="M115" s="37" t="s">
        <v>48</v>
      </c>
      <c r="N115" s="99" t="s">
        <v>4892</v>
      </c>
      <c r="O115" s="76" t="s">
        <v>3268</v>
      </c>
      <c r="P115" s="37" t="s">
        <v>4402</v>
      </c>
      <c r="Q115" s="37" t="s">
        <v>51</v>
      </c>
      <c r="R115" s="48" t="s">
        <v>4415</v>
      </c>
      <c r="S115" s="37" t="s">
        <v>52</v>
      </c>
      <c r="T115" s="37" t="s">
        <v>4531</v>
      </c>
      <c r="U115" s="37" t="s">
        <v>4532</v>
      </c>
      <c r="V115" s="45"/>
      <c r="W115" s="45"/>
      <c r="X115" s="45"/>
      <c r="Y115" s="45"/>
      <c r="Z115" s="37" t="s">
        <v>1728</v>
      </c>
      <c r="AA115" s="37" t="s">
        <v>88</v>
      </c>
      <c r="AB115" s="37" t="s">
        <v>57</v>
      </c>
      <c r="AD115" s="37">
        <v>16</v>
      </c>
      <c r="AE115" s="37">
        <v>16</v>
      </c>
      <c r="AG115" s="47" t="s">
        <v>4417</v>
      </c>
      <c r="AH115" s="47" t="s">
        <v>4420</v>
      </c>
      <c r="AK115" s="37" t="s">
        <v>58</v>
      </c>
      <c r="AL115" s="37">
        <v>56.9</v>
      </c>
      <c r="AM115" t="s">
        <v>5520</v>
      </c>
      <c r="AN115" s="74" t="s">
        <v>5644</v>
      </c>
    </row>
    <row r="116" spans="1:40" s="37" customFormat="1" ht="14.25" customHeight="1" x14ac:dyDescent="0.3">
      <c r="A116" s="37" t="s">
        <v>4862</v>
      </c>
      <c r="B116" s="37" t="s">
        <v>4773</v>
      </c>
      <c r="C116" s="37" t="s">
        <v>4859</v>
      </c>
      <c r="D116" s="37" t="s">
        <v>4843</v>
      </c>
      <c r="E116" s="39" t="s">
        <v>4865</v>
      </c>
      <c r="F116" s="37" t="s">
        <v>1725</v>
      </c>
      <c r="G116" s="44" t="s">
        <v>42</v>
      </c>
      <c r="H116" s="44" t="s">
        <v>43</v>
      </c>
      <c r="I116" s="44" t="s">
        <v>44</v>
      </c>
      <c r="J116" s="37" t="s">
        <v>4400</v>
      </c>
      <c r="K116" s="37" t="s">
        <v>85</v>
      </c>
      <c r="L116" s="37" t="s">
        <v>1008</v>
      </c>
      <c r="M116" s="37" t="s">
        <v>48</v>
      </c>
      <c r="N116" s="99" t="s">
        <v>4893</v>
      </c>
      <c r="O116" s="76" t="s">
        <v>586</v>
      </c>
      <c r="P116" s="37" t="s">
        <v>4402</v>
      </c>
      <c r="Q116" s="37" t="s">
        <v>51</v>
      </c>
      <c r="R116" s="48" t="s">
        <v>4415</v>
      </c>
      <c r="S116" s="37" t="s">
        <v>52</v>
      </c>
      <c r="T116" s="37" t="s">
        <v>4531</v>
      </c>
      <c r="U116" s="37" t="s">
        <v>4532</v>
      </c>
      <c r="V116" s="45"/>
      <c r="W116" s="45"/>
      <c r="X116" s="45"/>
      <c r="Y116" s="45"/>
      <c r="Z116" s="37" t="s">
        <v>1728</v>
      </c>
      <c r="AA116" s="37" t="s">
        <v>88</v>
      </c>
      <c r="AB116" s="37" t="s">
        <v>57</v>
      </c>
      <c r="AD116" s="37">
        <v>15.625</v>
      </c>
      <c r="AE116" s="37">
        <v>15.625</v>
      </c>
      <c r="AG116" s="47" t="s">
        <v>4417</v>
      </c>
      <c r="AH116" s="47" t="s">
        <v>4420</v>
      </c>
      <c r="AK116" s="37" t="s">
        <v>58</v>
      </c>
      <c r="AL116" s="37">
        <v>56.9</v>
      </c>
      <c r="AM116" t="s">
        <v>5520</v>
      </c>
      <c r="AN116" s="74" t="s">
        <v>5644</v>
      </c>
    </row>
    <row r="117" spans="1:40" s="37" customFormat="1" ht="14.25" customHeight="1" x14ac:dyDescent="0.3">
      <c r="A117" s="37" t="s">
        <v>4862</v>
      </c>
      <c r="B117" s="37" t="s">
        <v>4774</v>
      </c>
      <c r="C117" s="37" t="s">
        <v>4859</v>
      </c>
      <c r="D117" s="37" t="s">
        <v>4844</v>
      </c>
      <c r="E117" s="39" t="s">
        <v>4865</v>
      </c>
      <c r="F117" s="37" t="s">
        <v>1725</v>
      </c>
      <c r="G117" s="44" t="s">
        <v>42</v>
      </c>
      <c r="H117" s="44" t="s">
        <v>43</v>
      </c>
      <c r="I117" s="44" t="s">
        <v>44</v>
      </c>
      <c r="J117" s="37" t="s">
        <v>4400</v>
      </c>
      <c r="K117" s="37" t="s">
        <v>85</v>
      </c>
      <c r="L117" s="37" t="s">
        <v>1008</v>
      </c>
      <c r="M117" s="37" t="s">
        <v>48</v>
      </c>
      <c r="N117" s="99" t="s">
        <v>4894</v>
      </c>
      <c r="O117" s="76" t="s">
        <v>61</v>
      </c>
      <c r="P117" s="37" t="s">
        <v>4402</v>
      </c>
      <c r="Q117" s="37" t="s">
        <v>51</v>
      </c>
      <c r="R117" s="48" t="s">
        <v>4415</v>
      </c>
      <c r="S117" s="37" t="s">
        <v>52</v>
      </c>
      <c r="T117" s="37" t="s">
        <v>4531</v>
      </c>
      <c r="U117" s="37" t="s">
        <v>4532</v>
      </c>
      <c r="V117" s="45"/>
      <c r="W117" s="45"/>
      <c r="X117" s="45"/>
      <c r="Y117" s="45"/>
      <c r="Z117" s="37" t="s">
        <v>1728</v>
      </c>
      <c r="AA117" s="37" t="s">
        <v>88</v>
      </c>
      <c r="AB117" s="37" t="s">
        <v>57</v>
      </c>
      <c r="AD117" s="37">
        <v>15.625</v>
      </c>
      <c r="AE117" s="37">
        <v>15.625</v>
      </c>
      <c r="AG117" s="47" t="s">
        <v>4417</v>
      </c>
      <c r="AH117" s="47" t="s">
        <v>4420</v>
      </c>
      <c r="AK117" s="37" t="s">
        <v>58</v>
      </c>
      <c r="AL117" s="37">
        <v>56.9</v>
      </c>
      <c r="AM117" t="s">
        <v>5520</v>
      </c>
      <c r="AN117" s="74" t="s">
        <v>5644</v>
      </c>
    </row>
    <row r="118" spans="1:40" s="37" customFormat="1" ht="14.25" customHeight="1" x14ac:dyDescent="0.3">
      <c r="A118" s="37" t="s">
        <v>4862</v>
      </c>
      <c r="B118" s="37" t="s">
        <v>4775</v>
      </c>
      <c r="C118" s="37" t="s">
        <v>4859</v>
      </c>
      <c r="D118" s="37" t="s">
        <v>4845</v>
      </c>
      <c r="E118" s="39" t="s">
        <v>4865</v>
      </c>
      <c r="F118" s="37" t="s">
        <v>1725</v>
      </c>
      <c r="G118" s="44" t="s">
        <v>42</v>
      </c>
      <c r="H118" s="44" t="s">
        <v>43</v>
      </c>
      <c r="I118" s="44" t="s">
        <v>44</v>
      </c>
      <c r="J118" s="37" t="s">
        <v>4400</v>
      </c>
      <c r="K118" s="37" t="s">
        <v>85</v>
      </c>
      <c r="L118" s="37" t="s">
        <v>1008</v>
      </c>
      <c r="M118" s="37" t="s">
        <v>48</v>
      </c>
      <c r="N118" s="99" t="s">
        <v>4895</v>
      </c>
      <c r="O118" s="76" t="s">
        <v>3268</v>
      </c>
      <c r="P118" s="37" t="s">
        <v>4402</v>
      </c>
      <c r="Q118" s="37" t="s">
        <v>51</v>
      </c>
      <c r="R118" s="48" t="s">
        <v>4415</v>
      </c>
      <c r="S118" s="37" t="s">
        <v>52</v>
      </c>
      <c r="T118" s="37" t="s">
        <v>4531</v>
      </c>
      <c r="U118" s="37" t="s">
        <v>4532</v>
      </c>
      <c r="V118" s="45"/>
      <c r="W118" s="45"/>
      <c r="X118" s="45"/>
      <c r="Y118" s="45"/>
      <c r="Z118" s="37" t="s">
        <v>1728</v>
      </c>
      <c r="AA118" s="37" t="s">
        <v>88</v>
      </c>
      <c r="AB118" s="37" t="s">
        <v>57</v>
      </c>
      <c r="AD118" s="37">
        <v>15.217000000000001</v>
      </c>
      <c r="AE118" s="37">
        <v>15.217000000000001</v>
      </c>
      <c r="AG118" s="47" t="s">
        <v>4417</v>
      </c>
      <c r="AH118" s="47" t="s">
        <v>4420</v>
      </c>
      <c r="AK118" s="37" t="s">
        <v>58</v>
      </c>
      <c r="AL118" s="37">
        <v>56.9</v>
      </c>
      <c r="AM118" t="s">
        <v>5520</v>
      </c>
      <c r="AN118" s="74" t="s">
        <v>5644</v>
      </c>
    </row>
    <row r="119" spans="1:40" s="37" customFormat="1" ht="14.25" customHeight="1" x14ac:dyDescent="0.3">
      <c r="A119" s="37" t="s">
        <v>1207</v>
      </c>
      <c r="B119" s="37" t="s">
        <v>4776</v>
      </c>
      <c r="C119" s="37" t="s">
        <v>4860</v>
      </c>
      <c r="D119" s="37" t="s">
        <v>4846</v>
      </c>
      <c r="E119" s="39" t="s">
        <v>4866</v>
      </c>
      <c r="F119" s="37" t="s">
        <v>1725</v>
      </c>
      <c r="G119" s="44" t="s">
        <v>42</v>
      </c>
      <c r="H119" s="44" t="s">
        <v>43</v>
      </c>
      <c r="I119" s="44" t="s">
        <v>44</v>
      </c>
      <c r="J119" s="37" t="s">
        <v>4400</v>
      </c>
      <c r="K119" s="37" t="s">
        <v>85</v>
      </c>
      <c r="L119" s="37" t="s">
        <v>1008</v>
      </c>
      <c r="M119" s="37" t="s">
        <v>48</v>
      </c>
      <c r="N119" s="99" t="s">
        <v>4896</v>
      </c>
      <c r="O119" s="76" t="s">
        <v>586</v>
      </c>
      <c r="P119" s="37" t="s">
        <v>4402</v>
      </c>
      <c r="Q119" s="37" t="s">
        <v>51</v>
      </c>
      <c r="R119" s="48" t="s">
        <v>4415</v>
      </c>
      <c r="S119" s="37" t="s">
        <v>52</v>
      </c>
      <c r="T119" s="37" t="s">
        <v>4531</v>
      </c>
      <c r="U119" s="37" t="s">
        <v>4532</v>
      </c>
      <c r="V119" s="45"/>
      <c r="W119" s="45"/>
      <c r="X119" s="45"/>
      <c r="Y119" s="45"/>
      <c r="Z119" s="37" t="s">
        <v>1728</v>
      </c>
      <c r="AA119" s="37" t="s">
        <v>88</v>
      </c>
      <c r="AB119" s="37" t="s">
        <v>57</v>
      </c>
      <c r="AD119" s="37">
        <v>15.625</v>
      </c>
      <c r="AE119" s="37">
        <v>15.625</v>
      </c>
      <c r="AG119" s="47" t="s">
        <v>4417</v>
      </c>
      <c r="AH119" s="47" t="s">
        <v>4420</v>
      </c>
      <c r="AK119" s="37" t="s">
        <v>58</v>
      </c>
      <c r="AL119" s="37">
        <v>56.9</v>
      </c>
      <c r="AM119" t="s">
        <v>5520</v>
      </c>
      <c r="AN119" s="74" t="s">
        <v>5645</v>
      </c>
    </row>
    <row r="120" spans="1:40" s="37" customFormat="1" ht="14.25" customHeight="1" x14ac:dyDescent="0.3">
      <c r="A120" s="37" t="s">
        <v>1207</v>
      </c>
      <c r="B120" s="37" t="s">
        <v>4777</v>
      </c>
      <c r="C120" s="37" t="s">
        <v>4860</v>
      </c>
      <c r="D120" s="37" t="s">
        <v>4847</v>
      </c>
      <c r="E120" s="39" t="s">
        <v>4866</v>
      </c>
      <c r="F120" s="37" t="s">
        <v>1725</v>
      </c>
      <c r="G120" s="44" t="s">
        <v>42</v>
      </c>
      <c r="H120" s="44" t="s">
        <v>43</v>
      </c>
      <c r="I120" s="44" t="s">
        <v>44</v>
      </c>
      <c r="J120" s="37" t="s">
        <v>4400</v>
      </c>
      <c r="K120" s="37" t="s">
        <v>85</v>
      </c>
      <c r="L120" s="37" t="s">
        <v>1008</v>
      </c>
      <c r="M120" s="37" t="s">
        <v>48</v>
      </c>
      <c r="N120" s="99" t="s">
        <v>4897</v>
      </c>
      <c r="O120" s="76" t="s">
        <v>586</v>
      </c>
      <c r="P120" s="37" t="s">
        <v>4402</v>
      </c>
      <c r="Q120" s="37" t="s">
        <v>51</v>
      </c>
      <c r="R120" s="48" t="s">
        <v>4415</v>
      </c>
      <c r="S120" s="37" t="s">
        <v>52</v>
      </c>
      <c r="T120" s="37" t="s">
        <v>4531</v>
      </c>
      <c r="U120" s="37" t="s">
        <v>4532</v>
      </c>
      <c r="V120" s="45"/>
      <c r="W120" s="45"/>
      <c r="X120" s="45"/>
      <c r="Y120" s="45"/>
      <c r="Z120" s="37" t="s">
        <v>1728</v>
      </c>
      <c r="AA120" s="37" t="s">
        <v>88</v>
      </c>
      <c r="AB120" s="37" t="s">
        <v>57</v>
      </c>
      <c r="AD120" s="37">
        <v>15.625</v>
      </c>
      <c r="AE120" s="37">
        <v>15.625</v>
      </c>
      <c r="AG120" s="47" t="s">
        <v>4417</v>
      </c>
      <c r="AH120" s="47" t="s">
        <v>4420</v>
      </c>
      <c r="AK120" s="37" t="s">
        <v>58</v>
      </c>
      <c r="AL120" s="37">
        <v>56.9</v>
      </c>
      <c r="AM120" t="s">
        <v>5520</v>
      </c>
      <c r="AN120" s="74" t="s">
        <v>5645</v>
      </c>
    </row>
    <row r="121" spans="1:40" s="37" customFormat="1" ht="14.25" customHeight="1" x14ac:dyDescent="0.3">
      <c r="A121" s="37" t="s">
        <v>1207</v>
      </c>
      <c r="B121" s="37" t="s">
        <v>4778</v>
      </c>
      <c r="C121" s="37" t="s">
        <v>4860</v>
      </c>
      <c r="D121" s="37" t="s">
        <v>4848</v>
      </c>
      <c r="E121" s="39" t="s">
        <v>4866</v>
      </c>
      <c r="F121" s="37" t="s">
        <v>1725</v>
      </c>
      <c r="G121" s="44" t="s">
        <v>42</v>
      </c>
      <c r="H121" s="44" t="s">
        <v>43</v>
      </c>
      <c r="I121" s="44" t="s">
        <v>44</v>
      </c>
      <c r="J121" s="37" t="s">
        <v>4400</v>
      </c>
      <c r="K121" s="37" t="s">
        <v>85</v>
      </c>
      <c r="L121" s="37" t="s">
        <v>1008</v>
      </c>
      <c r="M121" s="37" t="s">
        <v>48</v>
      </c>
      <c r="N121" s="99" t="s">
        <v>4898</v>
      </c>
      <c r="O121" s="76" t="s">
        <v>586</v>
      </c>
      <c r="P121" s="37" t="s">
        <v>4402</v>
      </c>
      <c r="Q121" s="37" t="s">
        <v>51</v>
      </c>
      <c r="R121" s="48" t="s">
        <v>4415</v>
      </c>
      <c r="S121" s="37" t="s">
        <v>52</v>
      </c>
      <c r="T121" s="37" t="s">
        <v>4531</v>
      </c>
      <c r="U121" s="37" t="s">
        <v>4532</v>
      </c>
      <c r="V121" s="45"/>
      <c r="W121" s="45"/>
      <c r="X121" s="45"/>
      <c r="Y121" s="45"/>
      <c r="Z121" s="37" t="s">
        <v>1728</v>
      </c>
      <c r="AA121" s="37" t="s">
        <v>88</v>
      </c>
      <c r="AB121" s="37" t="s">
        <v>57</v>
      </c>
      <c r="AD121" s="37">
        <v>15.625</v>
      </c>
      <c r="AE121" s="37">
        <v>15.625</v>
      </c>
      <c r="AG121" s="47" t="s">
        <v>4417</v>
      </c>
      <c r="AH121" s="47" t="s">
        <v>4420</v>
      </c>
      <c r="AK121" s="37" t="s">
        <v>58</v>
      </c>
      <c r="AL121" s="37">
        <v>56.9</v>
      </c>
      <c r="AM121" t="s">
        <v>5520</v>
      </c>
      <c r="AN121" s="74" t="s">
        <v>5645</v>
      </c>
    </row>
    <row r="122" spans="1:40" s="37" customFormat="1" ht="14.25" customHeight="1" x14ac:dyDescent="0.3">
      <c r="A122" s="37" t="s">
        <v>1207</v>
      </c>
      <c r="B122" s="37" t="s">
        <v>4779</v>
      </c>
      <c r="C122" s="37" t="s">
        <v>4860</v>
      </c>
      <c r="D122" s="37" t="s">
        <v>4849</v>
      </c>
      <c r="E122" s="39" t="s">
        <v>4866</v>
      </c>
      <c r="F122" s="37" t="s">
        <v>1725</v>
      </c>
      <c r="G122" s="44" t="s">
        <v>42</v>
      </c>
      <c r="H122" s="44" t="s">
        <v>43</v>
      </c>
      <c r="I122" s="44" t="s">
        <v>44</v>
      </c>
      <c r="J122" s="37" t="s">
        <v>4400</v>
      </c>
      <c r="K122" s="37" t="s">
        <v>85</v>
      </c>
      <c r="L122" s="37" t="s">
        <v>1008</v>
      </c>
      <c r="M122" s="37" t="s">
        <v>48</v>
      </c>
      <c r="N122" s="99" t="s">
        <v>4899</v>
      </c>
      <c r="O122" s="76" t="s">
        <v>586</v>
      </c>
      <c r="P122" s="37" t="s">
        <v>4402</v>
      </c>
      <c r="Q122" s="37" t="s">
        <v>51</v>
      </c>
      <c r="R122" s="48" t="s">
        <v>4415</v>
      </c>
      <c r="S122" s="37" t="s">
        <v>52</v>
      </c>
      <c r="T122" s="37" t="s">
        <v>4531</v>
      </c>
      <c r="U122" s="37" t="s">
        <v>4532</v>
      </c>
      <c r="V122" s="45"/>
      <c r="W122" s="45"/>
      <c r="X122" s="45"/>
      <c r="Y122" s="45"/>
      <c r="Z122" s="37" t="s">
        <v>1728</v>
      </c>
      <c r="AA122" s="37" t="s">
        <v>88</v>
      </c>
      <c r="AB122" s="37" t="s">
        <v>57</v>
      </c>
      <c r="AD122" s="37">
        <v>15.625</v>
      </c>
      <c r="AE122" s="37">
        <v>15.625</v>
      </c>
      <c r="AG122" s="47" t="s">
        <v>4417</v>
      </c>
      <c r="AH122" s="47" t="s">
        <v>4420</v>
      </c>
      <c r="AK122" s="37" t="s">
        <v>58</v>
      </c>
      <c r="AL122" s="37">
        <v>56.9</v>
      </c>
      <c r="AM122" t="s">
        <v>5520</v>
      </c>
      <c r="AN122" s="74" t="s">
        <v>5645</v>
      </c>
    </row>
    <row r="123" spans="1:40" s="37" customFormat="1" ht="14.25" customHeight="1" x14ac:dyDescent="0.3">
      <c r="A123" s="37" t="s">
        <v>1207</v>
      </c>
      <c r="B123" s="37" t="s">
        <v>4780</v>
      </c>
      <c r="C123" s="37" t="s">
        <v>4860</v>
      </c>
      <c r="D123" s="37" t="s">
        <v>4850</v>
      </c>
      <c r="E123" s="39" t="s">
        <v>4866</v>
      </c>
      <c r="F123" s="37" t="s">
        <v>1725</v>
      </c>
      <c r="G123" s="44" t="s">
        <v>42</v>
      </c>
      <c r="H123" s="44" t="s">
        <v>43</v>
      </c>
      <c r="I123" s="44" t="s">
        <v>44</v>
      </c>
      <c r="J123" s="37" t="s">
        <v>4400</v>
      </c>
      <c r="K123" s="37" t="s">
        <v>85</v>
      </c>
      <c r="L123" s="37" t="s">
        <v>1008</v>
      </c>
      <c r="M123" s="37" t="s">
        <v>48</v>
      </c>
      <c r="N123" s="99" t="s">
        <v>4900</v>
      </c>
      <c r="O123" s="76" t="s">
        <v>3268</v>
      </c>
      <c r="P123" s="37" t="s">
        <v>4402</v>
      </c>
      <c r="Q123" s="37" t="s">
        <v>51</v>
      </c>
      <c r="R123" s="48" t="s">
        <v>4415</v>
      </c>
      <c r="S123" s="37" t="s">
        <v>52</v>
      </c>
      <c r="T123" s="37" t="s">
        <v>4531</v>
      </c>
      <c r="U123" s="37" t="s">
        <v>4532</v>
      </c>
      <c r="V123" s="45"/>
      <c r="W123" s="45"/>
      <c r="X123" s="45"/>
      <c r="Y123" s="45"/>
      <c r="Z123" s="37" t="s">
        <v>1728</v>
      </c>
      <c r="AA123" s="37" t="s">
        <v>88</v>
      </c>
      <c r="AB123" s="37" t="s">
        <v>57</v>
      </c>
      <c r="AD123" s="37">
        <v>15.265000000000001</v>
      </c>
      <c r="AE123" s="37">
        <v>15.265000000000001</v>
      </c>
      <c r="AG123" s="47" t="s">
        <v>4417</v>
      </c>
      <c r="AH123" s="47" t="s">
        <v>4420</v>
      </c>
      <c r="AK123" s="37" t="s">
        <v>58</v>
      </c>
      <c r="AL123" s="37">
        <v>56.9</v>
      </c>
      <c r="AM123" t="s">
        <v>5520</v>
      </c>
      <c r="AN123" s="74" t="s">
        <v>5645</v>
      </c>
    </row>
    <row r="124" spans="1:40" s="37" customFormat="1" ht="14.25" customHeight="1" x14ac:dyDescent="0.3">
      <c r="A124" s="37" t="s">
        <v>1207</v>
      </c>
      <c r="B124" s="37" t="s">
        <v>4781</v>
      </c>
      <c r="C124" s="37" t="s">
        <v>4860</v>
      </c>
      <c r="D124" s="37" t="s">
        <v>4851</v>
      </c>
      <c r="E124" s="39" t="s">
        <v>4866</v>
      </c>
      <c r="F124" s="37" t="s">
        <v>1725</v>
      </c>
      <c r="G124" s="44" t="s">
        <v>42</v>
      </c>
      <c r="H124" s="44" t="s">
        <v>43</v>
      </c>
      <c r="I124" s="44" t="s">
        <v>44</v>
      </c>
      <c r="J124" s="37" t="s">
        <v>4400</v>
      </c>
      <c r="K124" s="37" t="s">
        <v>85</v>
      </c>
      <c r="L124" s="37" t="s">
        <v>1008</v>
      </c>
      <c r="M124" s="37" t="s">
        <v>48</v>
      </c>
      <c r="N124" s="99" t="s">
        <v>4901</v>
      </c>
      <c r="O124" s="76" t="s">
        <v>3268</v>
      </c>
      <c r="P124" s="37" t="s">
        <v>4402</v>
      </c>
      <c r="Q124" s="37" t="s">
        <v>51</v>
      </c>
      <c r="R124" s="48" t="s">
        <v>4415</v>
      </c>
      <c r="S124" s="37" t="s">
        <v>52</v>
      </c>
      <c r="T124" s="37" t="s">
        <v>4531</v>
      </c>
      <c r="U124" s="37" t="s">
        <v>4532</v>
      </c>
      <c r="V124" s="45"/>
      <c r="W124" s="45"/>
      <c r="X124" s="45"/>
      <c r="Y124" s="45"/>
      <c r="Z124" s="37" t="s">
        <v>1728</v>
      </c>
      <c r="AA124" s="37" t="s">
        <v>88</v>
      </c>
      <c r="AB124" s="37" t="s">
        <v>57</v>
      </c>
      <c r="AD124" s="37">
        <v>15.625</v>
      </c>
      <c r="AE124" s="37">
        <v>15.625</v>
      </c>
      <c r="AG124" s="47" t="s">
        <v>4417</v>
      </c>
      <c r="AH124" s="47" t="s">
        <v>4420</v>
      </c>
      <c r="AK124" s="37" t="s">
        <v>58</v>
      </c>
      <c r="AL124" s="37">
        <v>56.9</v>
      </c>
      <c r="AM124" t="s">
        <v>5520</v>
      </c>
      <c r="AN124" s="74" t="s">
        <v>5645</v>
      </c>
    </row>
    <row r="125" spans="1:40" s="37" customFormat="1" ht="14.25" customHeight="1" x14ac:dyDescent="0.3">
      <c r="A125" s="37" t="s">
        <v>1207</v>
      </c>
      <c r="B125" s="37" t="s">
        <v>4782</v>
      </c>
      <c r="C125" s="37" t="s">
        <v>4860</v>
      </c>
      <c r="D125" s="37" t="s">
        <v>4852</v>
      </c>
      <c r="E125" s="39" t="s">
        <v>4866</v>
      </c>
      <c r="F125" s="37" t="s">
        <v>1725</v>
      </c>
      <c r="G125" s="44" t="s">
        <v>42</v>
      </c>
      <c r="H125" s="44" t="s">
        <v>43</v>
      </c>
      <c r="I125" s="44" t="s">
        <v>44</v>
      </c>
      <c r="J125" s="37" t="s">
        <v>4400</v>
      </c>
      <c r="K125" s="37" t="s">
        <v>85</v>
      </c>
      <c r="L125" s="37" t="s">
        <v>1008</v>
      </c>
      <c r="M125" s="37" t="s">
        <v>48</v>
      </c>
      <c r="N125" s="99" t="s">
        <v>4902</v>
      </c>
      <c r="O125" s="76" t="s">
        <v>3268</v>
      </c>
      <c r="P125" s="37" t="s">
        <v>4402</v>
      </c>
      <c r="Q125" s="37" t="s">
        <v>51</v>
      </c>
      <c r="R125" s="48" t="s">
        <v>4415</v>
      </c>
      <c r="S125" s="37" t="s">
        <v>52</v>
      </c>
      <c r="T125" s="37" t="s">
        <v>4531</v>
      </c>
      <c r="U125" s="37" t="s">
        <v>4532</v>
      </c>
      <c r="V125" s="45"/>
      <c r="W125" s="45"/>
      <c r="X125" s="45"/>
      <c r="Y125" s="45"/>
      <c r="Z125" s="37" t="s">
        <v>1728</v>
      </c>
      <c r="AA125" s="37" t="s">
        <v>88</v>
      </c>
      <c r="AB125" s="37" t="s">
        <v>57</v>
      </c>
      <c r="AD125" s="37">
        <v>15.625</v>
      </c>
      <c r="AE125" s="37">
        <v>15.625</v>
      </c>
      <c r="AG125" s="47" t="s">
        <v>4417</v>
      </c>
      <c r="AH125" s="47" t="s">
        <v>4420</v>
      </c>
      <c r="AK125" s="37" t="s">
        <v>58</v>
      </c>
      <c r="AL125" s="37">
        <v>56.9</v>
      </c>
      <c r="AM125" t="s">
        <v>5520</v>
      </c>
      <c r="AN125" s="74" t="s">
        <v>5645</v>
      </c>
    </row>
    <row r="126" spans="1:40" s="37" customFormat="1" ht="14.25" customHeight="1" x14ac:dyDescent="0.3">
      <c r="A126" s="37" t="s">
        <v>5037</v>
      </c>
      <c r="B126" s="37" t="s">
        <v>5032</v>
      </c>
      <c r="C126" s="94" t="s">
        <v>5031</v>
      </c>
      <c r="D126" s="37" t="s">
        <v>5027</v>
      </c>
      <c r="E126" s="39" t="s">
        <v>5036</v>
      </c>
      <c r="F126" s="37" t="s">
        <v>1725</v>
      </c>
      <c r="G126" s="44" t="s">
        <v>42</v>
      </c>
      <c r="H126" s="44" t="s">
        <v>43</v>
      </c>
      <c r="I126" s="44" t="s">
        <v>44</v>
      </c>
      <c r="J126" s="37" t="s">
        <v>4400</v>
      </c>
      <c r="K126" s="37" t="s">
        <v>106</v>
      </c>
      <c r="L126" s="37" t="s">
        <v>386</v>
      </c>
      <c r="M126" s="37" t="s">
        <v>48</v>
      </c>
      <c r="N126" s="49" t="s">
        <v>5038</v>
      </c>
      <c r="O126" s="78" t="s">
        <v>61</v>
      </c>
      <c r="P126" s="37" t="s">
        <v>4402</v>
      </c>
      <c r="Q126" s="37" t="s">
        <v>51</v>
      </c>
      <c r="R126" s="96">
        <v>2</v>
      </c>
      <c r="S126" s="37" t="s">
        <v>52</v>
      </c>
      <c r="T126" s="37" t="s">
        <v>4531</v>
      </c>
      <c r="U126" s="37" t="s">
        <v>4532</v>
      </c>
      <c r="V126" s="45"/>
      <c r="W126" s="45"/>
      <c r="X126" s="45"/>
      <c r="Y126" s="45"/>
      <c r="Z126" s="37" t="s">
        <v>1728</v>
      </c>
      <c r="AA126" s="37" t="s">
        <v>88</v>
      </c>
      <c r="AB126" s="37" t="s">
        <v>57</v>
      </c>
      <c r="AD126" s="37">
        <v>42.46</v>
      </c>
      <c r="AE126" s="37">
        <v>42.46</v>
      </c>
      <c r="AF126" s="106">
        <v>1019.04</v>
      </c>
      <c r="AG126" s="37">
        <v>0.96</v>
      </c>
      <c r="AH126" s="106">
        <v>23.04</v>
      </c>
      <c r="AK126" s="37" t="s">
        <v>58</v>
      </c>
      <c r="AL126" s="37">
        <v>49.9</v>
      </c>
      <c r="AM126" t="s">
        <v>5520</v>
      </c>
      <c r="AN126" s="74" t="s">
        <v>5635</v>
      </c>
    </row>
    <row r="127" spans="1:40" s="37" customFormat="1" ht="14.25" customHeight="1" x14ac:dyDescent="0.3">
      <c r="A127" s="37" t="s">
        <v>5037</v>
      </c>
      <c r="B127" s="37" t="s">
        <v>5033</v>
      </c>
      <c r="C127" s="94" t="s">
        <v>5031</v>
      </c>
      <c r="D127" s="37" t="s">
        <v>5028</v>
      </c>
      <c r="E127" s="39" t="s">
        <v>5036</v>
      </c>
      <c r="F127" s="37" t="s">
        <v>1725</v>
      </c>
      <c r="G127" s="44" t="s">
        <v>42</v>
      </c>
      <c r="H127" s="44" t="s">
        <v>43</v>
      </c>
      <c r="I127" s="44" t="s">
        <v>44</v>
      </c>
      <c r="J127" s="37" t="s">
        <v>4400</v>
      </c>
      <c r="K127" s="37" t="s">
        <v>106</v>
      </c>
      <c r="L127" s="37" t="s">
        <v>386</v>
      </c>
      <c r="M127" s="37" t="s">
        <v>48</v>
      </c>
      <c r="N127" s="49" t="s">
        <v>5039</v>
      </c>
      <c r="O127" s="78" t="s">
        <v>64</v>
      </c>
      <c r="P127" s="37" t="s">
        <v>4402</v>
      </c>
      <c r="Q127" s="37" t="s">
        <v>51</v>
      </c>
      <c r="R127" s="96">
        <v>2</v>
      </c>
      <c r="S127" s="37" t="s">
        <v>52</v>
      </c>
      <c r="T127" s="37" t="s">
        <v>4531</v>
      </c>
      <c r="U127" s="37" t="s">
        <v>4532</v>
      </c>
      <c r="V127" s="45"/>
      <c r="W127" s="45"/>
      <c r="X127" s="45"/>
      <c r="Y127" s="45"/>
      <c r="Z127" s="37" t="s">
        <v>1728</v>
      </c>
      <c r="AA127" s="37" t="s">
        <v>88</v>
      </c>
      <c r="AB127" s="37" t="s">
        <v>57</v>
      </c>
      <c r="AD127" s="37">
        <v>43.008000000000003</v>
      </c>
      <c r="AE127" s="37">
        <v>43.008000000000003</v>
      </c>
      <c r="AF127" s="106">
        <v>1032.19</v>
      </c>
      <c r="AG127" s="37">
        <v>0.96</v>
      </c>
      <c r="AH127" s="106">
        <v>23.04</v>
      </c>
      <c r="AK127" s="37" t="s">
        <v>58</v>
      </c>
      <c r="AL127" s="37">
        <v>49.9</v>
      </c>
      <c r="AM127" t="s">
        <v>5520</v>
      </c>
      <c r="AN127" s="74" t="s">
        <v>5635</v>
      </c>
    </row>
    <row r="128" spans="1:40" s="37" customFormat="1" ht="14.25" customHeight="1" x14ac:dyDescent="0.3">
      <c r="A128" s="37" t="s">
        <v>5037</v>
      </c>
      <c r="B128" s="37" t="s">
        <v>5034</v>
      </c>
      <c r="C128" s="94" t="s">
        <v>5031</v>
      </c>
      <c r="D128" s="37" t="s">
        <v>5029</v>
      </c>
      <c r="E128" s="39" t="s">
        <v>5036</v>
      </c>
      <c r="F128" s="37" t="s">
        <v>1725</v>
      </c>
      <c r="G128" s="44" t="s">
        <v>42</v>
      </c>
      <c r="H128" s="44" t="s">
        <v>43</v>
      </c>
      <c r="I128" s="44" t="s">
        <v>44</v>
      </c>
      <c r="J128" s="37" t="s">
        <v>4400</v>
      </c>
      <c r="K128" s="37" t="s">
        <v>106</v>
      </c>
      <c r="L128" s="37" t="s">
        <v>386</v>
      </c>
      <c r="M128" s="37" t="s">
        <v>48</v>
      </c>
      <c r="N128" s="49" t="s">
        <v>5026</v>
      </c>
      <c r="O128" s="78" t="s">
        <v>586</v>
      </c>
      <c r="P128" s="37" t="s">
        <v>4402</v>
      </c>
      <c r="Q128" s="37" t="s">
        <v>51</v>
      </c>
      <c r="R128" s="96">
        <v>2</v>
      </c>
      <c r="S128" s="37" t="s">
        <v>52</v>
      </c>
      <c r="T128" s="37" t="s">
        <v>4531</v>
      </c>
      <c r="U128" s="37" t="s">
        <v>4532</v>
      </c>
      <c r="V128" s="45"/>
      <c r="W128" s="45"/>
      <c r="X128" s="45"/>
      <c r="Y128" s="45"/>
      <c r="Z128" s="37" t="s">
        <v>1728</v>
      </c>
      <c r="AA128" s="37" t="s">
        <v>88</v>
      </c>
      <c r="AB128" s="37" t="s">
        <v>57</v>
      </c>
      <c r="AD128" s="37">
        <v>43.008000000000003</v>
      </c>
      <c r="AE128" s="37">
        <v>43.008000000000003</v>
      </c>
      <c r="AF128" s="106">
        <v>1032.19</v>
      </c>
      <c r="AG128" s="37">
        <v>0.96</v>
      </c>
      <c r="AH128" s="106">
        <v>23.04</v>
      </c>
      <c r="AK128" s="37" t="s">
        <v>58</v>
      </c>
      <c r="AL128" s="37">
        <v>49.9</v>
      </c>
      <c r="AM128" t="s">
        <v>5520</v>
      </c>
      <c r="AN128" s="74" t="s">
        <v>5635</v>
      </c>
    </row>
    <row r="129" spans="1:40" s="37" customFormat="1" ht="14.25" customHeight="1" x14ac:dyDescent="0.3">
      <c r="A129" s="37" t="s">
        <v>5037</v>
      </c>
      <c r="B129" s="37" t="s">
        <v>5035</v>
      </c>
      <c r="C129" s="94" t="s">
        <v>5031</v>
      </c>
      <c r="D129" s="37" t="s">
        <v>5030</v>
      </c>
      <c r="E129" s="39" t="s">
        <v>5036</v>
      </c>
      <c r="F129" s="37" t="s">
        <v>1725</v>
      </c>
      <c r="G129" s="44" t="s">
        <v>42</v>
      </c>
      <c r="H129" s="44" t="s">
        <v>43</v>
      </c>
      <c r="I129" s="44" t="s">
        <v>44</v>
      </c>
      <c r="J129" s="37" t="s">
        <v>4400</v>
      </c>
      <c r="K129" s="37" t="s">
        <v>106</v>
      </c>
      <c r="L129" s="37" t="s">
        <v>386</v>
      </c>
      <c r="M129" s="37" t="s">
        <v>48</v>
      </c>
      <c r="N129" s="49" t="s">
        <v>4987</v>
      </c>
      <c r="O129" s="78" t="s">
        <v>586</v>
      </c>
      <c r="P129" s="37" t="s">
        <v>4402</v>
      </c>
      <c r="Q129" s="37" t="s">
        <v>51</v>
      </c>
      <c r="R129" s="96">
        <v>2</v>
      </c>
      <c r="S129" s="37" t="s">
        <v>52</v>
      </c>
      <c r="T129" s="37" t="s">
        <v>4531</v>
      </c>
      <c r="U129" s="37" t="s">
        <v>4532</v>
      </c>
      <c r="V129" s="45"/>
      <c r="W129" s="45"/>
      <c r="X129" s="45"/>
      <c r="Y129" s="45"/>
      <c r="Z129" s="37" t="s">
        <v>1728</v>
      </c>
      <c r="AA129" s="37" t="s">
        <v>88</v>
      </c>
      <c r="AB129" s="37" t="s">
        <v>57</v>
      </c>
      <c r="AD129" s="37">
        <v>43.008000000000003</v>
      </c>
      <c r="AE129" s="37">
        <v>43.008000000000003</v>
      </c>
      <c r="AF129" s="106">
        <v>1032.19</v>
      </c>
      <c r="AG129" s="37">
        <v>0.96</v>
      </c>
      <c r="AH129" s="106">
        <v>23.04</v>
      </c>
      <c r="AK129" s="37" t="s">
        <v>58</v>
      </c>
      <c r="AL129" s="37">
        <v>49.9</v>
      </c>
      <c r="AM129" t="s">
        <v>5520</v>
      </c>
      <c r="AN129" s="74" t="s">
        <v>5635</v>
      </c>
    </row>
    <row r="130" spans="1:40" s="37" customFormat="1" ht="14.25" customHeight="1" x14ac:dyDescent="0.3">
      <c r="A130" s="37" t="s">
        <v>4929</v>
      </c>
      <c r="B130" s="37" t="s">
        <v>4867</v>
      </c>
      <c r="C130" s="37" t="s">
        <v>4868</v>
      </c>
      <c r="D130" s="95" t="s">
        <v>4924</v>
      </c>
      <c r="E130" s="39" t="s">
        <v>4870</v>
      </c>
      <c r="F130" s="37" t="s">
        <v>1725</v>
      </c>
      <c r="G130" s="44" t="s">
        <v>42</v>
      </c>
      <c r="H130" s="44" t="s">
        <v>43</v>
      </c>
      <c r="I130" s="44" t="s">
        <v>44</v>
      </c>
      <c r="J130" s="37" t="s">
        <v>4400</v>
      </c>
      <c r="K130" s="37" t="s">
        <v>106</v>
      </c>
      <c r="L130" s="37" t="s">
        <v>1897</v>
      </c>
      <c r="M130" s="37" t="s">
        <v>48</v>
      </c>
      <c r="N130" s="43" t="s">
        <v>61</v>
      </c>
      <c r="O130" s="77" t="s">
        <v>61</v>
      </c>
      <c r="P130" s="37" t="s">
        <v>4533</v>
      </c>
      <c r="Q130" s="37" t="s">
        <v>51</v>
      </c>
      <c r="R130" s="96">
        <v>7</v>
      </c>
      <c r="S130" s="37" t="s">
        <v>52</v>
      </c>
      <c r="T130" s="37" t="s">
        <v>4531</v>
      </c>
      <c r="U130" s="37" t="s">
        <v>4532</v>
      </c>
      <c r="V130" s="45"/>
      <c r="W130" s="45"/>
      <c r="X130" s="45"/>
      <c r="Y130" s="45"/>
      <c r="Z130" s="37" t="s">
        <v>1728</v>
      </c>
      <c r="AA130" s="37" t="s">
        <v>1771</v>
      </c>
      <c r="AB130" s="37" t="s">
        <v>57</v>
      </c>
      <c r="AD130" s="37">
        <v>25.99</v>
      </c>
      <c r="AE130" s="37">
        <v>25.99</v>
      </c>
      <c r="AG130" s="37">
        <v>1.26</v>
      </c>
      <c r="AH130" s="37">
        <v>50.4</v>
      </c>
      <c r="AK130" s="37" t="s">
        <v>58</v>
      </c>
      <c r="AL130" s="37">
        <v>43.9</v>
      </c>
      <c r="AM130" t="s">
        <v>5520</v>
      </c>
      <c r="AN130" s="74" t="s">
        <v>5643</v>
      </c>
    </row>
    <row r="131" spans="1:40" s="37" customFormat="1" ht="14.25" customHeight="1" x14ac:dyDescent="0.3">
      <c r="A131" s="37" t="s">
        <v>4929</v>
      </c>
      <c r="B131" s="37" t="s">
        <v>4869</v>
      </c>
      <c r="C131" s="37" t="s">
        <v>4868</v>
      </c>
      <c r="D131" s="95" t="s">
        <v>4925</v>
      </c>
      <c r="E131" s="39" t="s">
        <v>4870</v>
      </c>
      <c r="F131" s="37" t="s">
        <v>1725</v>
      </c>
      <c r="G131" s="44" t="s">
        <v>42</v>
      </c>
      <c r="H131" s="44" t="s">
        <v>43</v>
      </c>
      <c r="I131" s="44" t="s">
        <v>44</v>
      </c>
      <c r="J131" s="37" t="s">
        <v>4400</v>
      </c>
      <c r="K131" s="37" t="s">
        <v>106</v>
      </c>
      <c r="L131" s="37" t="s">
        <v>67</v>
      </c>
      <c r="M131" s="37" t="s">
        <v>48</v>
      </c>
      <c r="N131" s="43" t="s">
        <v>61</v>
      </c>
      <c r="O131" s="77" t="s">
        <v>61</v>
      </c>
      <c r="P131" s="37" t="s">
        <v>4533</v>
      </c>
      <c r="Q131" s="94" t="s">
        <v>68</v>
      </c>
      <c r="R131" s="96">
        <v>4</v>
      </c>
      <c r="S131" s="37" t="s">
        <v>52</v>
      </c>
      <c r="T131" s="37" t="s">
        <v>4531</v>
      </c>
      <c r="U131" s="37" t="s">
        <v>4532</v>
      </c>
      <c r="V131" s="45"/>
      <c r="W131" s="45"/>
      <c r="X131" s="45"/>
      <c r="Y131" s="45"/>
      <c r="Z131" s="37" t="s">
        <v>1728</v>
      </c>
      <c r="AA131" s="37" t="s">
        <v>1771</v>
      </c>
      <c r="AB131" s="37" t="s">
        <v>57</v>
      </c>
      <c r="AD131" s="37">
        <v>25.99</v>
      </c>
      <c r="AE131" s="37">
        <v>25.99</v>
      </c>
      <c r="AG131" s="37">
        <v>1.44</v>
      </c>
      <c r="AH131" s="37">
        <v>46.08</v>
      </c>
      <c r="AK131" s="37" t="s">
        <v>58</v>
      </c>
      <c r="AL131" s="37">
        <v>49.9</v>
      </c>
      <c r="AM131" t="s">
        <v>5520</v>
      </c>
      <c r="AN131" s="74" t="s">
        <v>5643</v>
      </c>
    </row>
    <row r="132" spans="1:40" s="37" customFormat="1" ht="14.25" customHeight="1" x14ac:dyDescent="0.3">
      <c r="A132" s="37" t="s">
        <v>4929</v>
      </c>
      <c r="B132" s="37" t="s">
        <v>4867</v>
      </c>
      <c r="C132" s="37" t="s">
        <v>4868</v>
      </c>
      <c r="D132" s="95" t="s">
        <v>4926</v>
      </c>
      <c r="E132" s="39" t="s">
        <v>4870</v>
      </c>
      <c r="F132" s="37" t="s">
        <v>1725</v>
      </c>
      <c r="G132" s="44" t="s">
        <v>42</v>
      </c>
      <c r="H132" s="44" t="s">
        <v>43</v>
      </c>
      <c r="I132" s="44" t="s">
        <v>44</v>
      </c>
      <c r="J132" s="37" t="s">
        <v>4400</v>
      </c>
      <c r="K132" s="37" t="s">
        <v>106</v>
      </c>
      <c r="L132" s="37" t="s">
        <v>1897</v>
      </c>
      <c r="M132" s="37" t="s">
        <v>48</v>
      </c>
      <c r="N132" s="43" t="s">
        <v>3263</v>
      </c>
      <c r="O132" s="77" t="s">
        <v>586</v>
      </c>
      <c r="P132" s="37" t="s">
        <v>4533</v>
      </c>
      <c r="Q132" s="37" t="s">
        <v>51</v>
      </c>
      <c r="R132" s="96">
        <v>7</v>
      </c>
      <c r="S132" s="37" t="s">
        <v>52</v>
      </c>
      <c r="T132" s="37" t="s">
        <v>4531</v>
      </c>
      <c r="U132" s="37" t="s">
        <v>4532</v>
      </c>
      <c r="V132" s="45"/>
      <c r="W132" s="45"/>
      <c r="X132" s="45"/>
      <c r="Y132" s="45"/>
      <c r="Z132" s="37" t="s">
        <v>1728</v>
      </c>
      <c r="AA132" s="37" t="s">
        <v>1771</v>
      </c>
      <c r="AB132" s="37" t="s">
        <v>57</v>
      </c>
      <c r="AD132" s="37">
        <v>25.99</v>
      </c>
      <c r="AE132" s="37">
        <v>25.99</v>
      </c>
      <c r="AG132" s="37">
        <v>1.26</v>
      </c>
      <c r="AH132" s="37">
        <v>50.4</v>
      </c>
      <c r="AK132" s="37" t="s">
        <v>58</v>
      </c>
      <c r="AL132" s="37">
        <v>43.9</v>
      </c>
      <c r="AM132" t="s">
        <v>5520</v>
      </c>
      <c r="AN132" s="74" t="s">
        <v>5643</v>
      </c>
    </row>
    <row r="133" spans="1:40" s="37" customFormat="1" ht="14.25" customHeight="1" x14ac:dyDescent="0.3">
      <c r="A133" s="37" t="s">
        <v>4929</v>
      </c>
      <c r="B133" s="37" t="s">
        <v>4869</v>
      </c>
      <c r="C133" s="37" t="s">
        <v>4868</v>
      </c>
      <c r="D133" s="95" t="s">
        <v>4927</v>
      </c>
      <c r="E133" s="39" t="s">
        <v>4870</v>
      </c>
      <c r="F133" s="37" t="s">
        <v>1725</v>
      </c>
      <c r="G133" s="44" t="s">
        <v>42</v>
      </c>
      <c r="H133" s="44" t="s">
        <v>43</v>
      </c>
      <c r="I133" s="44" t="s">
        <v>44</v>
      </c>
      <c r="J133" s="37" t="s">
        <v>4400</v>
      </c>
      <c r="K133" s="37" t="s">
        <v>106</v>
      </c>
      <c r="L133" s="37" t="s">
        <v>67</v>
      </c>
      <c r="M133" s="37" t="s">
        <v>48</v>
      </c>
      <c r="N133" s="43" t="s">
        <v>3263</v>
      </c>
      <c r="O133" s="77" t="s">
        <v>586</v>
      </c>
      <c r="P133" s="37" t="s">
        <v>4533</v>
      </c>
      <c r="Q133" s="94" t="s">
        <v>68</v>
      </c>
      <c r="R133" s="96">
        <v>4</v>
      </c>
      <c r="S133" s="37" t="s">
        <v>52</v>
      </c>
      <c r="T133" s="37" t="s">
        <v>4531</v>
      </c>
      <c r="U133" s="37" t="s">
        <v>4532</v>
      </c>
      <c r="V133" s="45"/>
      <c r="W133" s="45"/>
      <c r="X133" s="45"/>
      <c r="Y133" s="45"/>
      <c r="Z133" s="37" t="s">
        <v>1728</v>
      </c>
      <c r="AA133" s="37" t="s">
        <v>1771</v>
      </c>
      <c r="AB133" s="37" t="s">
        <v>57</v>
      </c>
      <c r="AD133" s="37">
        <v>25.99</v>
      </c>
      <c r="AE133" s="37">
        <v>25.99</v>
      </c>
      <c r="AG133" s="37">
        <v>1.44</v>
      </c>
      <c r="AH133" s="37">
        <v>46.08</v>
      </c>
      <c r="AK133" s="37" t="s">
        <v>58</v>
      </c>
      <c r="AL133" s="37">
        <v>49.9</v>
      </c>
      <c r="AM133" t="s">
        <v>5520</v>
      </c>
      <c r="AN133" s="74" t="s">
        <v>5643</v>
      </c>
    </row>
    <row r="134" spans="1:40" s="37" customFormat="1" ht="14.25" customHeight="1" x14ac:dyDescent="0.3">
      <c r="A134" s="37" t="s">
        <v>4397</v>
      </c>
      <c r="B134" s="37" t="s">
        <v>1721</v>
      </c>
      <c r="C134" s="37" t="s">
        <v>4398</v>
      </c>
      <c r="D134" s="37" t="s">
        <v>4399</v>
      </c>
      <c r="E134" s="39" t="s">
        <v>4403</v>
      </c>
      <c r="F134" s="37" t="s">
        <v>1725</v>
      </c>
      <c r="G134" s="44" t="s">
        <v>42</v>
      </c>
      <c r="H134" s="44" t="s">
        <v>43</v>
      </c>
      <c r="I134" s="44" t="s">
        <v>44</v>
      </c>
      <c r="J134" s="37" t="s">
        <v>4400</v>
      </c>
      <c r="K134" s="37" t="s">
        <v>106</v>
      </c>
      <c r="L134" s="37" t="s">
        <v>67</v>
      </c>
      <c r="M134" s="37" t="s">
        <v>48</v>
      </c>
      <c r="N134" s="99" t="s">
        <v>4534</v>
      </c>
      <c r="O134" s="76" t="s">
        <v>586</v>
      </c>
      <c r="P134" s="37" t="s">
        <v>4402</v>
      </c>
      <c r="Q134" s="37" t="s">
        <v>68</v>
      </c>
      <c r="R134" s="105" t="s">
        <v>4415</v>
      </c>
      <c r="S134" s="37" t="s">
        <v>52</v>
      </c>
      <c r="T134" s="37" t="s">
        <v>4531</v>
      </c>
      <c r="U134" s="37" t="s">
        <v>4532</v>
      </c>
      <c r="V134" s="45"/>
      <c r="W134" s="45"/>
      <c r="X134" s="45"/>
      <c r="Y134" s="45"/>
      <c r="Z134" s="37" t="s">
        <v>1728</v>
      </c>
      <c r="AA134" s="37" t="s">
        <v>88</v>
      </c>
      <c r="AB134" s="37" t="s">
        <v>57</v>
      </c>
      <c r="AD134" s="37">
        <v>16.27</v>
      </c>
      <c r="AE134" s="37">
        <v>16.27</v>
      </c>
      <c r="AG134" s="47" t="s">
        <v>4417</v>
      </c>
      <c r="AH134" s="47" t="s">
        <v>4419</v>
      </c>
      <c r="AK134" s="37" t="s">
        <v>58</v>
      </c>
      <c r="AL134" s="37">
        <v>49.9</v>
      </c>
      <c r="AM134" t="s">
        <v>5520</v>
      </c>
      <c r="AN134" s="74" t="s">
        <v>5636</v>
      </c>
    </row>
    <row r="135" spans="1:40" s="37" customFormat="1" ht="14.25" customHeight="1" x14ac:dyDescent="0.3">
      <c r="A135" s="37" t="s">
        <v>4397</v>
      </c>
      <c r="B135" s="37" t="s">
        <v>1729</v>
      </c>
      <c r="C135" s="37" t="s">
        <v>4398</v>
      </c>
      <c r="D135" s="37" t="s">
        <v>4404</v>
      </c>
      <c r="E135" s="39" t="s">
        <v>4403</v>
      </c>
      <c r="F135" s="37" t="s">
        <v>1725</v>
      </c>
      <c r="G135" s="44" t="s">
        <v>42</v>
      </c>
      <c r="H135" s="44" t="s">
        <v>43</v>
      </c>
      <c r="I135" s="44" t="s">
        <v>44</v>
      </c>
      <c r="J135" s="37" t="s">
        <v>4400</v>
      </c>
      <c r="K135" s="37" t="s">
        <v>106</v>
      </c>
      <c r="L135" s="37" t="s">
        <v>67</v>
      </c>
      <c r="M135" s="37" t="s">
        <v>48</v>
      </c>
      <c r="N135" s="99" t="s">
        <v>4535</v>
      </c>
      <c r="O135" s="76" t="s">
        <v>61</v>
      </c>
      <c r="P135" s="37" t="s">
        <v>4402</v>
      </c>
      <c r="Q135" s="37" t="s">
        <v>68</v>
      </c>
      <c r="R135" s="105" t="s">
        <v>4415</v>
      </c>
      <c r="S135" s="37" t="s">
        <v>52</v>
      </c>
      <c r="T135" s="37" t="s">
        <v>4531</v>
      </c>
      <c r="U135" s="37" t="s">
        <v>4532</v>
      </c>
      <c r="V135" s="45"/>
      <c r="W135" s="45"/>
      <c r="X135" s="45"/>
      <c r="Y135" s="45"/>
      <c r="Z135" s="37" t="s">
        <v>1728</v>
      </c>
      <c r="AA135" s="37" t="s">
        <v>88</v>
      </c>
      <c r="AB135" s="37" t="s">
        <v>57</v>
      </c>
      <c r="AD135" s="37">
        <v>15.574999999999999</v>
      </c>
      <c r="AE135" s="37">
        <v>15.574999999999999</v>
      </c>
      <c r="AG135" s="47" t="s">
        <v>4417</v>
      </c>
      <c r="AH135" s="47" t="s">
        <v>4419</v>
      </c>
      <c r="AK135" s="37" t="s">
        <v>58</v>
      </c>
      <c r="AL135" s="37">
        <v>49.9</v>
      </c>
      <c r="AM135" t="s">
        <v>5520</v>
      </c>
      <c r="AN135" s="74" t="s">
        <v>5636</v>
      </c>
    </row>
    <row r="136" spans="1:40" s="37" customFormat="1" ht="14.25" customHeight="1" x14ac:dyDescent="0.3">
      <c r="A136" s="37" t="s">
        <v>4397</v>
      </c>
      <c r="B136" s="37" t="s">
        <v>1731</v>
      </c>
      <c r="C136" s="37" t="s">
        <v>4398</v>
      </c>
      <c r="D136" s="37" t="s">
        <v>4405</v>
      </c>
      <c r="E136" s="39" t="s">
        <v>4403</v>
      </c>
      <c r="F136" s="37" t="s">
        <v>1725</v>
      </c>
      <c r="G136" s="44" t="s">
        <v>42</v>
      </c>
      <c r="H136" s="44" t="s">
        <v>43</v>
      </c>
      <c r="I136" s="44" t="s">
        <v>44</v>
      </c>
      <c r="J136" s="37" t="s">
        <v>4400</v>
      </c>
      <c r="K136" s="37" t="s">
        <v>106</v>
      </c>
      <c r="L136" s="37" t="s">
        <v>67</v>
      </c>
      <c r="M136" s="37" t="s">
        <v>48</v>
      </c>
      <c r="N136" s="99" t="s">
        <v>4536</v>
      </c>
      <c r="O136" s="76" t="s">
        <v>586</v>
      </c>
      <c r="P136" s="37" t="s">
        <v>4402</v>
      </c>
      <c r="Q136" s="37" t="s">
        <v>68</v>
      </c>
      <c r="R136" s="105" t="s">
        <v>4415</v>
      </c>
      <c r="S136" s="37" t="s">
        <v>52</v>
      </c>
      <c r="T136" s="37" t="s">
        <v>4531</v>
      </c>
      <c r="U136" s="37" t="s">
        <v>4532</v>
      </c>
      <c r="V136" s="45"/>
      <c r="W136" s="45"/>
      <c r="X136" s="45"/>
      <c r="Y136" s="45"/>
      <c r="Z136" s="37" t="s">
        <v>1728</v>
      </c>
      <c r="AA136" s="37" t="s">
        <v>88</v>
      </c>
      <c r="AB136" s="37" t="s">
        <v>57</v>
      </c>
      <c r="AD136" s="37">
        <v>15.574999999999999</v>
      </c>
      <c r="AE136" s="37">
        <v>15.574999999999999</v>
      </c>
      <c r="AG136" s="47" t="s">
        <v>4417</v>
      </c>
      <c r="AH136" s="47" t="s">
        <v>4419</v>
      </c>
      <c r="AK136" s="37" t="s">
        <v>58</v>
      </c>
      <c r="AL136" s="37">
        <v>49.9</v>
      </c>
      <c r="AM136" t="s">
        <v>5520</v>
      </c>
      <c r="AN136" s="74" t="s">
        <v>5636</v>
      </c>
    </row>
    <row r="137" spans="1:40" s="37" customFormat="1" ht="14.25" customHeight="1" x14ac:dyDescent="0.3">
      <c r="A137" s="37" t="s">
        <v>4397</v>
      </c>
      <c r="B137" s="37" t="s">
        <v>1733</v>
      </c>
      <c r="C137" s="37" t="s">
        <v>4398</v>
      </c>
      <c r="D137" s="37" t="s">
        <v>4406</v>
      </c>
      <c r="E137" s="39" t="s">
        <v>4403</v>
      </c>
      <c r="F137" s="37" t="s">
        <v>1725</v>
      </c>
      <c r="G137" s="44" t="s">
        <v>42</v>
      </c>
      <c r="H137" s="44" t="s">
        <v>43</v>
      </c>
      <c r="I137" s="44" t="s">
        <v>44</v>
      </c>
      <c r="J137" s="37" t="s">
        <v>4400</v>
      </c>
      <c r="K137" s="37" t="s">
        <v>106</v>
      </c>
      <c r="L137" s="37" t="s">
        <v>67</v>
      </c>
      <c r="M137" s="37" t="s">
        <v>48</v>
      </c>
      <c r="N137" s="99" t="s">
        <v>4537</v>
      </c>
      <c r="O137" s="76" t="s">
        <v>61</v>
      </c>
      <c r="P137" s="37" t="s">
        <v>4402</v>
      </c>
      <c r="Q137" s="37" t="s">
        <v>68</v>
      </c>
      <c r="R137" s="105" t="s">
        <v>4415</v>
      </c>
      <c r="S137" s="37" t="s">
        <v>52</v>
      </c>
      <c r="T137" s="37" t="s">
        <v>4531</v>
      </c>
      <c r="U137" s="37" t="s">
        <v>4532</v>
      </c>
      <c r="V137" s="45"/>
      <c r="W137" s="45"/>
      <c r="X137" s="45"/>
      <c r="Y137" s="45"/>
      <c r="Z137" s="37" t="s">
        <v>1728</v>
      </c>
      <c r="AA137" s="37" t="s">
        <v>88</v>
      </c>
      <c r="AB137" s="37" t="s">
        <v>57</v>
      </c>
      <c r="AD137" s="37">
        <v>15.574999999999999</v>
      </c>
      <c r="AE137" s="37">
        <v>15.574999999999999</v>
      </c>
      <c r="AG137" s="47" t="s">
        <v>4417</v>
      </c>
      <c r="AH137" s="47" t="s">
        <v>4419</v>
      </c>
      <c r="AK137" s="37" t="s">
        <v>58</v>
      </c>
      <c r="AL137" s="37">
        <v>49.9</v>
      </c>
      <c r="AM137" t="s">
        <v>5520</v>
      </c>
      <c r="AN137" s="74" t="s">
        <v>5636</v>
      </c>
    </row>
    <row r="138" spans="1:40" s="37" customFormat="1" ht="14.25" customHeight="1" x14ac:dyDescent="0.3">
      <c r="A138" s="37" t="s">
        <v>4397</v>
      </c>
      <c r="B138" s="37" t="s">
        <v>1735</v>
      </c>
      <c r="C138" s="37" t="s">
        <v>4398</v>
      </c>
      <c r="D138" s="37" t="s">
        <v>4407</v>
      </c>
      <c r="E138" s="39" t="s">
        <v>4403</v>
      </c>
      <c r="F138" s="37" t="s">
        <v>1725</v>
      </c>
      <c r="G138" s="44" t="s">
        <v>42</v>
      </c>
      <c r="H138" s="44" t="s">
        <v>43</v>
      </c>
      <c r="I138" s="44" t="s">
        <v>44</v>
      </c>
      <c r="J138" s="37" t="s">
        <v>4400</v>
      </c>
      <c r="K138" s="37" t="s">
        <v>106</v>
      </c>
      <c r="L138" s="37" t="s">
        <v>4401</v>
      </c>
      <c r="M138" s="37" t="s">
        <v>48</v>
      </c>
      <c r="N138" s="99" t="s">
        <v>4534</v>
      </c>
      <c r="O138" s="76" t="s">
        <v>586</v>
      </c>
      <c r="P138" s="37" t="s">
        <v>4402</v>
      </c>
      <c r="Q138" s="37" t="s">
        <v>51</v>
      </c>
      <c r="R138" s="105" t="s">
        <v>4415</v>
      </c>
      <c r="S138" s="37" t="s">
        <v>52</v>
      </c>
      <c r="T138" s="37" t="s">
        <v>4531</v>
      </c>
      <c r="U138" s="37" t="s">
        <v>4532</v>
      </c>
      <c r="V138" s="45"/>
      <c r="W138" s="45"/>
      <c r="X138" s="45"/>
      <c r="Y138" s="45"/>
      <c r="Z138" s="37" t="s">
        <v>1728</v>
      </c>
      <c r="AA138" s="37" t="s">
        <v>88</v>
      </c>
      <c r="AB138" s="37" t="s">
        <v>57</v>
      </c>
      <c r="AD138" s="37">
        <v>23.5</v>
      </c>
      <c r="AE138" s="37">
        <v>23.5</v>
      </c>
      <c r="AG138" s="47" t="s">
        <v>4418</v>
      </c>
      <c r="AH138" s="47" t="s">
        <v>4420</v>
      </c>
      <c r="AK138" s="37" t="s">
        <v>58</v>
      </c>
      <c r="AL138" s="37">
        <v>54.9</v>
      </c>
      <c r="AM138" t="s">
        <v>5520</v>
      </c>
      <c r="AN138" s="74" t="s">
        <v>5636</v>
      </c>
    </row>
    <row r="139" spans="1:40" s="37" customFormat="1" ht="14.25" customHeight="1" x14ac:dyDescent="0.3">
      <c r="A139" s="37" t="s">
        <v>4397</v>
      </c>
      <c r="B139" s="37" t="s">
        <v>1737</v>
      </c>
      <c r="C139" s="37" t="s">
        <v>4398</v>
      </c>
      <c r="D139" s="37" t="s">
        <v>4408</v>
      </c>
      <c r="E139" s="39" t="s">
        <v>4403</v>
      </c>
      <c r="F139" s="37" t="s">
        <v>1725</v>
      </c>
      <c r="G139" s="44" t="s">
        <v>42</v>
      </c>
      <c r="H139" s="44" t="s">
        <v>43</v>
      </c>
      <c r="I139" s="44" t="s">
        <v>44</v>
      </c>
      <c r="J139" s="37" t="s">
        <v>4400</v>
      </c>
      <c r="K139" s="37" t="s">
        <v>106</v>
      </c>
      <c r="L139" s="37" t="s">
        <v>4401</v>
      </c>
      <c r="M139" s="37" t="s">
        <v>48</v>
      </c>
      <c r="N139" s="99" t="s">
        <v>4535</v>
      </c>
      <c r="O139" s="76" t="s">
        <v>61</v>
      </c>
      <c r="P139" s="37" t="s">
        <v>4402</v>
      </c>
      <c r="Q139" s="37" t="s">
        <v>51</v>
      </c>
      <c r="R139" s="105" t="s">
        <v>4415</v>
      </c>
      <c r="S139" s="37" t="s">
        <v>52</v>
      </c>
      <c r="T139" s="37" t="s">
        <v>4531</v>
      </c>
      <c r="U139" s="37" t="s">
        <v>4532</v>
      </c>
      <c r="V139" s="45"/>
      <c r="W139" s="45"/>
      <c r="X139" s="45"/>
      <c r="Y139" s="45"/>
      <c r="Z139" s="37" t="s">
        <v>1728</v>
      </c>
      <c r="AA139" s="37" t="s">
        <v>88</v>
      </c>
      <c r="AB139" s="37" t="s">
        <v>57</v>
      </c>
      <c r="AD139" s="37">
        <v>23.5</v>
      </c>
      <c r="AE139" s="37">
        <v>23.5</v>
      </c>
      <c r="AG139" s="47" t="s">
        <v>4418</v>
      </c>
      <c r="AH139" s="47" t="s">
        <v>4420</v>
      </c>
      <c r="AK139" s="37" t="s">
        <v>58</v>
      </c>
      <c r="AL139" s="37">
        <v>54.9</v>
      </c>
      <c r="AM139" t="s">
        <v>5520</v>
      </c>
      <c r="AN139" s="74" t="s">
        <v>5636</v>
      </c>
    </row>
    <row r="140" spans="1:40" s="37" customFormat="1" ht="14.25" customHeight="1" x14ac:dyDescent="0.3">
      <c r="A140" s="37" t="s">
        <v>4397</v>
      </c>
      <c r="B140" s="37" t="s">
        <v>1739</v>
      </c>
      <c r="C140" s="37" t="s">
        <v>4398</v>
      </c>
      <c r="D140" s="37" t="s">
        <v>4409</v>
      </c>
      <c r="E140" s="39" t="s">
        <v>4403</v>
      </c>
      <c r="F140" s="37" t="s">
        <v>1725</v>
      </c>
      <c r="G140" s="44" t="s">
        <v>42</v>
      </c>
      <c r="H140" s="44" t="s">
        <v>43</v>
      </c>
      <c r="I140" s="44" t="s">
        <v>44</v>
      </c>
      <c r="J140" s="37" t="s">
        <v>4400</v>
      </c>
      <c r="K140" s="37" t="s">
        <v>106</v>
      </c>
      <c r="L140" s="37" t="s">
        <v>4401</v>
      </c>
      <c r="M140" s="37" t="s">
        <v>48</v>
      </c>
      <c r="N140" s="99" t="s">
        <v>4536</v>
      </c>
      <c r="O140" s="76" t="s">
        <v>586</v>
      </c>
      <c r="P140" s="37" t="s">
        <v>4402</v>
      </c>
      <c r="Q140" s="37" t="s">
        <v>51</v>
      </c>
      <c r="R140" s="105" t="s">
        <v>4415</v>
      </c>
      <c r="S140" s="37" t="s">
        <v>52</v>
      </c>
      <c r="T140" s="37" t="s">
        <v>4531</v>
      </c>
      <c r="U140" s="37" t="s">
        <v>4532</v>
      </c>
      <c r="V140" s="45"/>
      <c r="W140" s="45"/>
      <c r="X140" s="45"/>
      <c r="Y140" s="45"/>
      <c r="Z140" s="37" t="s">
        <v>1728</v>
      </c>
      <c r="AA140" s="37" t="s">
        <v>88</v>
      </c>
      <c r="AB140" s="37" t="s">
        <v>57</v>
      </c>
      <c r="AD140" s="37">
        <v>23.5</v>
      </c>
      <c r="AE140" s="37">
        <v>23.5</v>
      </c>
      <c r="AG140" s="47" t="s">
        <v>4418</v>
      </c>
      <c r="AH140" s="47" t="s">
        <v>4420</v>
      </c>
      <c r="AK140" s="37" t="s">
        <v>58</v>
      </c>
      <c r="AL140" s="37">
        <v>54.9</v>
      </c>
      <c r="AM140" t="s">
        <v>5520</v>
      </c>
      <c r="AN140" s="74" t="s">
        <v>5636</v>
      </c>
    </row>
    <row r="141" spans="1:40" s="37" customFormat="1" ht="14.25" customHeight="1" x14ac:dyDescent="0.3">
      <c r="A141" s="37" t="s">
        <v>4397</v>
      </c>
      <c r="B141" s="37" t="s">
        <v>1741</v>
      </c>
      <c r="C141" s="37" t="s">
        <v>4398</v>
      </c>
      <c r="D141" s="37" t="s">
        <v>4410</v>
      </c>
      <c r="E141" s="39" t="s">
        <v>4403</v>
      </c>
      <c r="F141" s="37" t="s">
        <v>1725</v>
      </c>
      <c r="G141" s="44" t="s">
        <v>42</v>
      </c>
      <c r="H141" s="44" t="s">
        <v>43</v>
      </c>
      <c r="I141" s="44" t="s">
        <v>44</v>
      </c>
      <c r="J141" s="37" t="s">
        <v>4400</v>
      </c>
      <c r="K141" s="37" t="s">
        <v>106</v>
      </c>
      <c r="L141" s="37" t="s">
        <v>4401</v>
      </c>
      <c r="M141" s="37" t="s">
        <v>48</v>
      </c>
      <c r="N141" s="99" t="s">
        <v>4537</v>
      </c>
      <c r="O141" s="76" t="s">
        <v>61</v>
      </c>
      <c r="P141" s="37" t="s">
        <v>4402</v>
      </c>
      <c r="Q141" s="37" t="s">
        <v>51</v>
      </c>
      <c r="R141" s="105" t="s">
        <v>4415</v>
      </c>
      <c r="S141" s="37" t="s">
        <v>52</v>
      </c>
      <c r="T141" s="37" t="s">
        <v>4531</v>
      </c>
      <c r="U141" s="37" t="s">
        <v>4532</v>
      </c>
      <c r="V141" s="45"/>
      <c r="W141" s="45"/>
      <c r="X141" s="45"/>
      <c r="Y141" s="45"/>
      <c r="Z141" s="37" t="s">
        <v>1728</v>
      </c>
      <c r="AA141" s="37" t="s">
        <v>88</v>
      </c>
      <c r="AB141" s="37" t="s">
        <v>57</v>
      </c>
      <c r="AD141" s="37">
        <v>23.5</v>
      </c>
      <c r="AE141" s="37">
        <v>23.5</v>
      </c>
      <c r="AG141" s="47" t="s">
        <v>4418</v>
      </c>
      <c r="AH141" s="47" t="s">
        <v>4420</v>
      </c>
      <c r="AK141" s="37" t="s">
        <v>58</v>
      </c>
      <c r="AL141" s="37">
        <v>54.9</v>
      </c>
      <c r="AM141" t="s">
        <v>5520</v>
      </c>
      <c r="AN141" s="74" t="s">
        <v>5636</v>
      </c>
    </row>
    <row r="142" spans="1:40" s="37" customFormat="1" ht="14.25" customHeight="1" x14ac:dyDescent="0.3">
      <c r="A142" s="37" t="s">
        <v>4397</v>
      </c>
      <c r="B142" s="37" t="s">
        <v>1743</v>
      </c>
      <c r="C142" s="37" t="s">
        <v>4398</v>
      </c>
      <c r="D142" s="37" t="s">
        <v>4411</v>
      </c>
      <c r="E142" s="39" t="s">
        <v>4403</v>
      </c>
      <c r="F142" s="37" t="s">
        <v>1725</v>
      </c>
      <c r="G142" s="44" t="s">
        <v>42</v>
      </c>
      <c r="H142" s="44" t="s">
        <v>43</v>
      </c>
      <c r="I142" s="44" t="s">
        <v>44</v>
      </c>
      <c r="J142" s="37" t="s">
        <v>4400</v>
      </c>
      <c r="K142" s="37" t="s">
        <v>106</v>
      </c>
      <c r="L142" s="37" t="s">
        <v>47</v>
      </c>
      <c r="M142" s="37" t="s">
        <v>48</v>
      </c>
      <c r="N142" s="99" t="s">
        <v>4534</v>
      </c>
      <c r="O142" s="76" t="s">
        <v>586</v>
      </c>
      <c r="P142" s="37" t="s">
        <v>4402</v>
      </c>
      <c r="Q142" s="37" t="s">
        <v>51</v>
      </c>
      <c r="R142" s="105" t="s">
        <v>4416</v>
      </c>
      <c r="S142" s="37" t="s">
        <v>52</v>
      </c>
      <c r="T142" s="37" t="s">
        <v>4531</v>
      </c>
      <c r="U142" s="37" t="s">
        <v>4532</v>
      </c>
      <c r="V142" s="45"/>
      <c r="W142" s="45"/>
      <c r="X142" s="45"/>
      <c r="Y142" s="45"/>
      <c r="Z142" s="37" t="s">
        <v>1728</v>
      </c>
      <c r="AA142" s="37" t="s">
        <v>88</v>
      </c>
      <c r="AB142" s="37" t="s">
        <v>57</v>
      </c>
      <c r="AD142" s="37">
        <v>31.68</v>
      </c>
      <c r="AE142" s="37">
        <v>31.68</v>
      </c>
      <c r="AG142" s="47" t="s">
        <v>4417</v>
      </c>
      <c r="AH142" s="47" t="s">
        <v>4421</v>
      </c>
      <c r="AK142" s="37" t="s">
        <v>58</v>
      </c>
      <c r="AL142" s="37">
        <v>59.9</v>
      </c>
      <c r="AM142" t="s">
        <v>5520</v>
      </c>
      <c r="AN142" s="74" t="s">
        <v>5636</v>
      </c>
    </row>
    <row r="143" spans="1:40" s="37" customFormat="1" ht="14.25" customHeight="1" x14ac:dyDescent="0.3">
      <c r="A143" s="37" t="s">
        <v>4397</v>
      </c>
      <c r="B143" s="37" t="s">
        <v>1745</v>
      </c>
      <c r="C143" s="37" t="s">
        <v>4398</v>
      </c>
      <c r="D143" s="37" t="s">
        <v>4412</v>
      </c>
      <c r="E143" s="39" t="s">
        <v>4403</v>
      </c>
      <c r="F143" s="37" t="s">
        <v>1725</v>
      </c>
      <c r="G143" s="44" t="s">
        <v>42</v>
      </c>
      <c r="H143" s="44" t="s">
        <v>43</v>
      </c>
      <c r="I143" s="44" t="s">
        <v>44</v>
      </c>
      <c r="J143" s="37" t="s">
        <v>4400</v>
      </c>
      <c r="K143" s="37" t="s">
        <v>106</v>
      </c>
      <c r="L143" s="37" t="s">
        <v>47</v>
      </c>
      <c r="M143" s="37" t="s">
        <v>48</v>
      </c>
      <c r="N143" s="99" t="s">
        <v>4535</v>
      </c>
      <c r="O143" s="76" t="s">
        <v>61</v>
      </c>
      <c r="P143" s="37" t="s">
        <v>4402</v>
      </c>
      <c r="Q143" s="37" t="s">
        <v>51</v>
      </c>
      <c r="R143" s="105" t="s">
        <v>4416</v>
      </c>
      <c r="S143" s="37" t="s">
        <v>52</v>
      </c>
      <c r="T143" s="37" t="s">
        <v>4531</v>
      </c>
      <c r="U143" s="37" t="s">
        <v>4532</v>
      </c>
      <c r="V143" s="45"/>
      <c r="W143" s="45"/>
      <c r="X143" s="45"/>
      <c r="Y143" s="45"/>
      <c r="Z143" s="37" t="s">
        <v>1728</v>
      </c>
      <c r="AA143" s="37" t="s">
        <v>88</v>
      </c>
      <c r="AB143" s="37" t="s">
        <v>57</v>
      </c>
      <c r="AD143" s="37">
        <v>32</v>
      </c>
      <c r="AE143" s="37">
        <v>32</v>
      </c>
      <c r="AG143" s="47" t="s">
        <v>4417</v>
      </c>
      <c r="AH143" s="47" t="s">
        <v>4421</v>
      </c>
      <c r="AK143" s="37" t="s">
        <v>58</v>
      </c>
      <c r="AL143" s="37">
        <v>59.9</v>
      </c>
      <c r="AM143" t="s">
        <v>5520</v>
      </c>
      <c r="AN143" s="74" t="s">
        <v>5636</v>
      </c>
    </row>
    <row r="144" spans="1:40" s="37" customFormat="1" ht="14.25" customHeight="1" x14ac:dyDescent="0.3">
      <c r="A144" s="37" t="s">
        <v>4397</v>
      </c>
      <c r="B144" s="37" t="s">
        <v>1747</v>
      </c>
      <c r="C144" s="37" t="s">
        <v>4398</v>
      </c>
      <c r="D144" s="37" t="s">
        <v>4413</v>
      </c>
      <c r="E144" s="39" t="s">
        <v>4403</v>
      </c>
      <c r="F144" s="37" t="s">
        <v>1725</v>
      </c>
      <c r="G144" s="44" t="s">
        <v>42</v>
      </c>
      <c r="H144" s="44" t="s">
        <v>43</v>
      </c>
      <c r="I144" s="44" t="s">
        <v>44</v>
      </c>
      <c r="J144" s="37" t="s">
        <v>4400</v>
      </c>
      <c r="K144" s="37" t="s">
        <v>106</v>
      </c>
      <c r="L144" s="37" t="s">
        <v>47</v>
      </c>
      <c r="M144" s="37" t="s">
        <v>48</v>
      </c>
      <c r="N144" s="99" t="s">
        <v>4536</v>
      </c>
      <c r="O144" s="76" t="s">
        <v>586</v>
      </c>
      <c r="P144" s="37" t="s">
        <v>4402</v>
      </c>
      <c r="Q144" s="37" t="s">
        <v>51</v>
      </c>
      <c r="R144" s="105" t="s">
        <v>4416</v>
      </c>
      <c r="S144" s="37" t="s">
        <v>52</v>
      </c>
      <c r="T144" s="37" t="s">
        <v>4531</v>
      </c>
      <c r="U144" s="37" t="s">
        <v>4532</v>
      </c>
      <c r="V144" s="45"/>
      <c r="W144" s="45"/>
      <c r="X144" s="45"/>
      <c r="Y144" s="45"/>
      <c r="Z144" s="37" t="s">
        <v>1728</v>
      </c>
      <c r="AA144" s="37" t="s">
        <v>88</v>
      </c>
      <c r="AB144" s="37" t="s">
        <v>57</v>
      </c>
      <c r="AD144" s="37">
        <v>31.48</v>
      </c>
      <c r="AE144" s="37">
        <v>31.48</v>
      </c>
      <c r="AG144" s="47" t="s">
        <v>4417</v>
      </c>
      <c r="AH144" s="47" t="s">
        <v>4421</v>
      </c>
      <c r="AK144" s="37" t="s">
        <v>58</v>
      </c>
      <c r="AL144" s="37">
        <v>59.9</v>
      </c>
      <c r="AM144" t="s">
        <v>5520</v>
      </c>
      <c r="AN144" s="74" t="s">
        <v>5636</v>
      </c>
    </row>
    <row r="145" spans="1:40" s="37" customFormat="1" ht="14.25" customHeight="1" x14ac:dyDescent="0.3">
      <c r="A145" s="37" t="s">
        <v>4397</v>
      </c>
      <c r="B145" s="37" t="s">
        <v>1749</v>
      </c>
      <c r="C145" s="37" t="s">
        <v>4398</v>
      </c>
      <c r="D145" s="37" t="s">
        <v>4414</v>
      </c>
      <c r="E145" s="39" t="s">
        <v>4403</v>
      </c>
      <c r="F145" s="37" t="s">
        <v>1725</v>
      </c>
      <c r="G145" s="44" t="s">
        <v>42</v>
      </c>
      <c r="H145" s="44" t="s">
        <v>43</v>
      </c>
      <c r="I145" s="44" t="s">
        <v>44</v>
      </c>
      <c r="J145" s="37" t="s">
        <v>4400</v>
      </c>
      <c r="K145" s="37" t="s">
        <v>106</v>
      </c>
      <c r="L145" s="37" t="s">
        <v>47</v>
      </c>
      <c r="M145" s="37" t="s">
        <v>48</v>
      </c>
      <c r="N145" s="99" t="s">
        <v>4537</v>
      </c>
      <c r="O145" s="76" t="s">
        <v>61</v>
      </c>
      <c r="P145" s="37" t="s">
        <v>4402</v>
      </c>
      <c r="Q145" s="37" t="s">
        <v>51</v>
      </c>
      <c r="R145" s="105" t="s">
        <v>4416</v>
      </c>
      <c r="S145" s="37" t="s">
        <v>52</v>
      </c>
      <c r="T145" s="37" t="s">
        <v>4531</v>
      </c>
      <c r="U145" s="37" t="s">
        <v>4532</v>
      </c>
      <c r="V145" s="45"/>
      <c r="W145" s="45"/>
      <c r="X145" s="45"/>
      <c r="Y145" s="45"/>
      <c r="Z145" s="37" t="s">
        <v>1728</v>
      </c>
      <c r="AA145" s="37" t="s">
        <v>88</v>
      </c>
      <c r="AB145" s="37" t="s">
        <v>57</v>
      </c>
      <c r="AD145" s="37">
        <v>31.29</v>
      </c>
      <c r="AE145" s="37">
        <v>31.29</v>
      </c>
      <c r="AG145" s="47" t="s">
        <v>4417</v>
      </c>
      <c r="AH145" s="47" t="s">
        <v>4421</v>
      </c>
      <c r="AK145" s="37" t="s">
        <v>58</v>
      </c>
      <c r="AL145" s="37">
        <v>59.9</v>
      </c>
      <c r="AM145" t="s">
        <v>5520</v>
      </c>
      <c r="AN145" s="74" t="s">
        <v>5636</v>
      </c>
    </row>
    <row r="146" spans="1:40" s="37" customFormat="1" ht="14.25" customHeight="1" x14ac:dyDescent="0.3">
      <c r="A146" s="37" t="s">
        <v>958</v>
      </c>
      <c r="B146" s="37" t="s">
        <v>4713</v>
      </c>
      <c r="C146" s="37" t="s">
        <v>960</v>
      </c>
      <c r="D146" s="37" t="s">
        <v>4783</v>
      </c>
      <c r="E146" s="39" t="s">
        <v>4853</v>
      </c>
      <c r="F146" s="37" t="s">
        <v>1725</v>
      </c>
      <c r="G146" s="44" t="s">
        <v>42</v>
      </c>
      <c r="H146" s="44" t="s">
        <v>43</v>
      </c>
      <c r="I146" s="44" t="s">
        <v>44</v>
      </c>
      <c r="J146" s="37" t="s">
        <v>4400</v>
      </c>
      <c r="K146" s="37" t="s">
        <v>106</v>
      </c>
      <c r="L146" s="37" t="s">
        <v>67</v>
      </c>
      <c r="M146" s="37" t="s">
        <v>48</v>
      </c>
      <c r="N146" s="99" t="s">
        <v>4872</v>
      </c>
      <c r="O146" s="76" t="s">
        <v>64</v>
      </c>
      <c r="P146" s="37" t="s">
        <v>4533</v>
      </c>
      <c r="Q146" s="37" t="s">
        <v>68</v>
      </c>
      <c r="R146" s="48" t="s">
        <v>4695</v>
      </c>
      <c r="S146" s="37" t="s">
        <v>52</v>
      </c>
      <c r="T146" s="37" t="s">
        <v>4531</v>
      </c>
      <c r="U146" s="37" t="s">
        <v>4532</v>
      </c>
      <c r="V146" s="45"/>
      <c r="W146" s="45"/>
      <c r="X146" s="45"/>
      <c r="Y146" s="45"/>
      <c r="Z146" s="37" t="s">
        <v>1728</v>
      </c>
      <c r="AA146" s="37" t="s">
        <v>88</v>
      </c>
      <c r="AB146" s="37" t="s">
        <v>57</v>
      </c>
      <c r="AD146" s="37">
        <v>7.09</v>
      </c>
      <c r="AE146" s="37">
        <v>7.09</v>
      </c>
      <c r="AG146" s="47" t="s">
        <v>4418</v>
      </c>
      <c r="AH146" s="47" t="s">
        <v>4712</v>
      </c>
      <c r="AK146" s="37" t="s">
        <v>58</v>
      </c>
      <c r="AL146" s="37">
        <v>49.9</v>
      </c>
      <c r="AM146" t="s">
        <v>5520</v>
      </c>
      <c r="AN146" s="74" t="s">
        <v>5632</v>
      </c>
    </row>
    <row r="147" spans="1:40" s="37" customFormat="1" ht="14.25" customHeight="1" x14ac:dyDescent="0.3">
      <c r="A147" s="37" t="s">
        <v>958</v>
      </c>
      <c r="B147" s="37" t="s">
        <v>4714</v>
      </c>
      <c r="C147" s="37" t="s">
        <v>960</v>
      </c>
      <c r="D147" s="37" t="s">
        <v>4784</v>
      </c>
      <c r="E147" s="39" t="s">
        <v>4853</v>
      </c>
      <c r="F147" s="37" t="s">
        <v>1725</v>
      </c>
      <c r="G147" s="44" t="s">
        <v>42</v>
      </c>
      <c r="H147" s="44" t="s">
        <v>43</v>
      </c>
      <c r="I147" s="44" t="s">
        <v>44</v>
      </c>
      <c r="J147" s="37" t="s">
        <v>4400</v>
      </c>
      <c r="K147" s="37" t="s">
        <v>106</v>
      </c>
      <c r="L147" s="37" t="s">
        <v>67</v>
      </c>
      <c r="M147" s="37" t="s">
        <v>48</v>
      </c>
      <c r="N147" s="80" t="s">
        <v>4873</v>
      </c>
      <c r="O147" s="76" t="s">
        <v>599</v>
      </c>
      <c r="P147" s="37" t="s">
        <v>4533</v>
      </c>
      <c r="Q147" s="37" t="s">
        <v>68</v>
      </c>
      <c r="R147" s="48" t="s">
        <v>4695</v>
      </c>
      <c r="S147" s="37" t="s">
        <v>52</v>
      </c>
      <c r="T147" s="37" t="s">
        <v>4531</v>
      </c>
      <c r="U147" s="37" t="s">
        <v>4532</v>
      </c>
      <c r="V147" s="45"/>
      <c r="W147" s="45"/>
      <c r="X147" s="45"/>
      <c r="Y147" s="45"/>
      <c r="Z147" s="37" t="s">
        <v>1728</v>
      </c>
      <c r="AA147" s="37" t="s">
        <v>88</v>
      </c>
      <c r="AB147" s="37" t="s">
        <v>57</v>
      </c>
      <c r="AD147" s="37">
        <v>7.06</v>
      </c>
      <c r="AE147" s="37">
        <v>7.06</v>
      </c>
      <c r="AG147" s="47" t="s">
        <v>4418</v>
      </c>
      <c r="AH147" s="47" t="s">
        <v>4712</v>
      </c>
      <c r="AK147" s="37" t="s">
        <v>58</v>
      </c>
      <c r="AL147" s="37">
        <v>49.9</v>
      </c>
      <c r="AM147" t="s">
        <v>5520</v>
      </c>
      <c r="AN147" s="74" t="s">
        <v>5632</v>
      </c>
    </row>
    <row r="148" spans="1:40" s="37" customFormat="1" ht="14.25" customHeight="1" x14ac:dyDescent="0.3">
      <c r="A148" s="37" t="s">
        <v>958</v>
      </c>
      <c r="B148" s="37" t="s">
        <v>4715</v>
      </c>
      <c r="C148" s="37" t="s">
        <v>960</v>
      </c>
      <c r="D148" s="37" t="s">
        <v>4785</v>
      </c>
      <c r="E148" s="39" t="s">
        <v>4853</v>
      </c>
      <c r="F148" s="37" t="s">
        <v>1725</v>
      </c>
      <c r="G148" s="44" t="s">
        <v>42</v>
      </c>
      <c r="H148" s="44" t="s">
        <v>43</v>
      </c>
      <c r="I148" s="44" t="s">
        <v>44</v>
      </c>
      <c r="J148" s="37" t="s">
        <v>4400</v>
      </c>
      <c r="K148" s="37" t="s">
        <v>106</v>
      </c>
      <c r="L148" s="37" t="s">
        <v>67</v>
      </c>
      <c r="M148" s="37" t="s">
        <v>48</v>
      </c>
      <c r="N148" s="46" t="s">
        <v>4874</v>
      </c>
      <c r="O148" s="76" t="s">
        <v>61</v>
      </c>
      <c r="P148" s="37" t="s">
        <v>4533</v>
      </c>
      <c r="Q148" s="37" t="s">
        <v>68</v>
      </c>
      <c r="R148" s="48" t="s">
        <v>4695</v>
      </c>
      <c r="S148" s="37" t="s">
        <v>52</v>
      </c>
      <c r="T148" s="37" t="s">
        <v>4531</v>
      </c>
      <c r="U148" s="37" t="s">
        <v>4532</v>
      </c>
      <c r="V148" s="45"/>
      <c r="W148" s="45"/>
      <c r="X148" s="45"/>
      <c r="Y148" s="45"/>
      <c r="Z148" s="37" t="s">
        <v>1728</v>
      </c>
      <c r="AA148" s="37" t="s">
        <v>88</v>
      </c>
      <c r="AB148" s="37" t="s">
        <v>57</v>
      </c>
      <c r="AD148" s="37">
        <v>7.375</v>
      </c>
      <c r="AE148" s="37">
        <v>7.375</v>
      </c>
      <c r="AG148" s="47" t="s">
        <v>4418</v>
      </c>
      <c r="AH148" s="47" t="s">
        <v>4712</v>
      </c>
      <c r="AK148" s="37" t="s">
        <v>58</v>
      </c>
      <c r="AL148" s="37">
        <v>49.9</v>
      </c>
      <c r="AM148" t="s">
        <v>5520</v>
      </c>
      <c r="AN148" s="74" t="s">
        <v>5632</v>
      </c>
    </row>
    <row r="149" spans="1:40" s="37" customFormat="1" ht="14.25" customHeight="1" x14ac:dyDescent="0.3">
      <c r="A149" s="37" t="s">
        <v>958</v>
      </c>
      <c r="B149" s="37" t="s">
        <v>4716</v>
      </c>
      <c r="C149" s="37" t="s">
        <v>960</v>
      </c>
      <c r="D149" s="37" t="s">
        <v>4786</v>
      </c>
      <c r="E149" s="39" t="s">
        <v>4853</v>
      </c>
      <c r="F149" s="37" t="s">
        <v>1725</v>
      </c>
      <c r="G149" s="44" t="s">
        <v>42</v>
      </c>
      <c r="H149" s="44" t="s">
        <v>43</v>
      </c>
      <c r="I149" s="44" t="s">
        <v>44</v>
      </c>
      <c r="J149" s="37" t="s">
        <v>4400</v>
      </c>
      <c r="K149" s="37" t="s">
        <v>106</v>
      </c>
      <c r="L149" s="37" t="s">
        <v>67</v>
      </c>
      <c r="M149" s="37" t="s">
        <v>48</v>
      </c>
      <c r="N149" s="46" t="s">
        <v>4875</v>
      </c>
      <c r="O149" s="76" t="s">
        <v>61</v>
      </c>
      <c r="P149" s="37" t="s">
        <v>4533</v>
      </c>
      <c r="Q149" s="37" t="s">
        <v>68</v>
      </c>
      <c r="R149" s="48" t="s">
        <v>4695</v>
      </c>
      <c r="S149" s="37" t="s">
        <v>52</v>
      </c>
      <c r="T149" s="37" t="s">
        <v>4531</v>
      </c>
      <c r="U149" s="37" t="s">
        <v>4532</v>
      </c>
      <c r="V149" s="45"/>
      <c r="W149" s="45"/>
      <c r="X149" s="45"/>
      <c r="Y149" s="45"/>
      <c r="Z149" s="37" t="s">
        <v>1728</v>
      </c>
      <c r="AA149" s="37" t="s">
        <v>88</v>
      </c>
      <c r="AB149" s="37" t="s">
        <v>57</v>
      </c>
      <c r="AD149" s="37">
        <v>6.92</v>
      </c>
      <c r="AE149" s="37">
        <v>6.92</v>
      </c>
      <c r="AG149" s="47" t="s">
        <v>4418</v>
      </c>
      <c r="AH149" s="47" t="s">
        <v>4712</v>
      </c>
      <c r="AK149" s="37" t="s">
        <v>58</v>
      </c>
      <c r="AL149" s="37">
        <v>49.9</v>
      </c>
      <c r="AM149" t="s">
        <v>5520</v>
      </c>
      <c r="AN149" s="74" t="s">
        <v>5632</v>
      </c>
    </row>
    <row r="150" spans="1:40" s="37" customFormat="1" ht="14.25" customHeight="1" x14ac:dyDescent="0.3">
      <c r="A150" s="37" t="s">
        <v>958</v>
      </c>
      <c r="B150" s="37" t="s">
        <v>4717</v>
      </c>
      <c r="C150" s="37" t="s">
        <v>960</v>
      </c>
      <c r="D150" s="37" t="s">
        <v>4787</v>
      </c>
      <c r="E150" s="39" t="s">
        <v>4853</v>
      </c>
      <c r="F150" s="37" t="s">
        <v>1725</v>
      </c>
      <c r="G150" s="44" t="s">
        <v>42</v>
      </c>
      <c r="H150" s="44" t="s">
        <v>43</v>
      </c>
      <c r="I150" s="44" t="s">
        <v>44</v>
      </c>
      <c r="J150" s="37" t="s">
        <v>4400</v>
      </c>
      <c r="K150" s="37" t="s">
        <v>106</v>
      </c>
      <c r="L150" s="37" t="s">
        <v>67</v>
      </c>
      <c r="M150" s="37" t="s">
        <v>48</v>
      </c>
      <c r="N150" s="46" t="s">
        <v>4876</v>
      </c>
      <c r="O150" s="76" t="s">
        <v>64</v>
      </c>
      <c r="P150" s="37" t="s">
        <v>4533</v>
      </c>
      <c r="Q150" s="37" t="s">
        <v>68</v>
      </c>
      <c r="R150" s="48" t="s">
        <v>4695</v>
      </c>
      <c r="S150" s="37" t="s">
        <v>52</v>
      </c>
      <c r="T150" s="37" t="s">
        <v>4531</v>
      </c>
      <c r="U150" s="37" t="s">
        <v>4532</v>
      </c>
      <c r="V150" s="45"/>
      <c r="W150" s="45"/>
      <c r="X150" s="45"/>
      <c r="Y150" s="45"/>
      <c r="Z150" s="37" t="s">
        <v>1728</v>
      </c>
      <c r="AA150" s="37" t="s">
        <v>88</v>
      </c>
      <c r="AB150" s="37" t="s">
        <v>57</v>
      </c>
      <c r="AD150" s="37">
        <v>7.375</v>
      </c>
      <c r="AE150" s="37">
        <v>7.375</v>
      </c>
      <c r="AG150" s="47" t="s">
        <v>4418</v>
      </c>
      <c r="AH150" s="47" t="s">
        <v>4712</v>
      </c>
      <c r="AK150" s="37" t="s">
        <v>58</v>
      </c>
      <c r="AL150" s="37">
        <v>49.9</v>
      </c>
      <c r="AM150" t="s">
        <v>5520</v>
      </c>
      <c r="AN150" s="74" t="s">
        <v>5632</v>
      </c>
    </row>
    <row r="151" spans="1:40" s="37" customFormat="1" ht="14.25" customHeight="1" x14ac:dyDescent="0.3">
      <c r="A151" s="37" t="s">
        <v>958</v>
      </c>
      <c r="B151" s="37" t="s">
        <v>4718</v>
      </c>
      <c r="C151" s="37" t="s">
        <v>960</v>
      </c>
      <c r="D151" s="37" t="s">
        <v>4788</v>
      </c>
      <c r="E151" s="39" t="s">
        <v>4853</v>
      </c>
      <c r="F151" s="37" t="s">
        <v>1725</v>
      </c>
      <c r="G151" s="44" t="s">
        <v>42</v>
      </c>
      <c r="H151" s="44" t="s">
        <v>43</v>
      </c>
      <c r="I151" s="44" t="s">
        <v>44</v>
      </c>
      <c r="J151" s="37" t="s">
        <v>4400</v>
      </c>
      <c r="K151" s="37" t="s">
        <v>106</v>
      </c>
      <c r="L151" s="37" t="s">
        <v>67</v>
      </c>
      <c r="M151" s="37" t="s">
        <v>48</v>
      </c>
      <c r="N151" s="46" t="s">
        <v>4877</v>
      </c>
      <c r="O151" s="76" t="s">
        <v>61</v>
      </c>
      <c r="P151" s="37" t="s">
        <v>4533</v>
      </c>
      <c r="Q151" s="37" t="s">
        <v>68</v>
      </c>
      <c r="R151" s="48" t="s">
        <v>4695</v>
      </c>
      <c r="S151" s="37" t="s">
        <v>52</v>
      </c>
      <c r="T151" s="37" t="s">
        <v>4531</v>
      </c>
      <c r="U151" s="37" t="s">
        <v>4532</v>
      </c>
      <c r="V151" s="45"/>
      <c r="W151" s="45"/>
      <c r="X151" s="45"/>
      <c r="Y151" s="45"/>
      <c r="Z151" s="37" t="s">
        <v>1728</v>
      </c>
      <c r="AA151" s="37" t="s">
        <v>88</v>
      </c>
      <c r="AB151" s="37" t="s">
        <v>57</v>
      </c>
      <c r="AD151" s="37">
        <v>7.19</v>
      </c>
      <c r="AE151" s="37">
        <v>7.19</v>
      </c>
      <c r="AG151" s="47" t="s">
        <v>4418</v>
      </c>
      <c r="AH151" s="47" t="s">
        <v>4712</v>
      </c>
      <c r="AK151" s="37" t="s">
        <v>58</v>
      </c>
      <c r="AL151" s="37">
        <v>49.9</v>
      </c>
      <c r="AM151" t="s">
        <v>5520</v>
      </c>
      <c r="AN151" s="74" t="s">
        <v>5632</v>
      </c>
    </row>
    <row r="152" spans="1:40" s="37" customFormat="1" ht="14.25" customHeight="1" x14ac:dyDescent="0.3">
      <c r="A152" s="37" t="s">
        <v>958</v>
      </c>
      <c r="B152" s="37" t="s">
        <v>4719</v>
      </c>
      <c r="C152" s="37" t="s">
        <v>960</v>
      </c>
      <c r="D152" s="37" t="s">
        <v>4789</v>
      </c>
      <c r="E152" s="39" t="s">
        <v>4853</v>
      </c>
      <c r="F152" s="37" t="s">
        <v>1725</v>
      </c>
      <c r="G152" s="44" t="s">
        <v>42</v>
      </c>
      <c r="H152" s="44" t="s">
        <v>43</v>
      </c>
      <c r="I152" s="44" t="s">
        <v>44</v>
      </c>
      <c r="J152" s="37" t="s">
        <v>4400</v>
      </c>
      <c r="K152" s="37" t="s">
        <v>106</v>
      </c>
      <c r="L152" s="37" t="s">
        <v>67</v>
      </c>
      <c r="M152" s="37" t="s">
        <v>48</v>
      </c>
      <c r="N152" s="46" t="s">
        <v>4875</v>
      </c>
      <c r="O152" s="76" t="s">
        <v>61</v>
      </c>
      <c r="P152" s="37" t="s">
        <v>4402</v>
      </c>
      <c r="Q152" s="37" t="s">
        <v>68</v>
      </c>
      <c r="R152" s="48" t="s">
        <v>4415</v>
      </c>
      <c r="S152" s="37" t="s">
        <v>52</v>
      </c>
      <c r="T152" s="37" t="s">
        <v>4531</v>
      </c>
      <c r="U152" s="37" t="s">
        <v>4532</v>
      </c>
      <c r="V152" s="45"/>
      <c r="W152" s="45"/>
      <c r="X152" s="45"/>
      <c r="Y152" s="45"/>
      <c r="Z152" s="37" t="s">
        <v>1728</v>
      </c>
      <c r="AA152" s="37" t="s">
        <v>88</v>
      </c>
      <c r="AB152" s="37" t="s">
        <v>57</v>
      </c>
      <c r="AD152" s="37">
        <v>15.574999999999999</v>
      </c>
      <c r="AE152" s="37">
        <v>15.574999999999999</v>
      </c>
      <c r="AG152" s="47" t="s">
        <v>4417</v>
      </c>
      <c r="AH152" s="47" t="s">
        <v>4419</v>
      </c>
      <c r="AK152" s="37" t="s">
        <v>58</v>
      </c>
      <c r="AL152" s="37">
        <v>49.9</v>
      </c>
      <c r="AM152" t="s">
        <v>5520</v>
      </c>
      <c r="AN152" s="74" t="s">
        <v>5632</v>
      </c>
    </row>
    <row r="153" spans="1:40" s="37" customFormat="1" ht="14.25" customHeight="1" x14ac:dyDescent="0.3">
      <c r="A153" s="37" t="s">
        <v>958</v>
      </c>
      <c r="B153" s="37" t="s">
        <v>4720</v>
      </c>
      <c r="C153" s="37" t="s">
        <v>960</v>
      </c>
      <c r="D153" s="37" t="s">
        <v>4790</v>
      </c>
      <c r="E153" s="39" t="s">
        <v>4853</v>
      </c>
      <c r="F153" s="37" t="s">
        <v>1725</v>
      </c>
      <c r="G153" s="44" t="s">
        <v>42</v>
      </c>
      <c r="H153" s="44" t="s">
        <v>43</v>
      </c>
      <c r="I153" s="44" t="s">
        <v>44</v>
      </c>
      <c r="J153" s="37" t="s">
        <v>4400</v>
      </c>
      <c r="K153" s="37" t="s">
        <v>106</v>
      </c>
      <c r="L153" s="37" t="s">
        <v>67</v>
      </c>
      <c r="M153" s="37" t="s">
        <v>48</v>
      </c>
      <c r="N153" s="46" t="s">
        <v>4873</v>
      </c>
      <c r="O153" s="76" t="s">
        <v>599</v>
      </c>
      <c r="P153" s="37" t="s">
        <v>4402</v>
      </c>
      <c r="Q153" s="37" t="s">
        <v>68</v>
      </c>
      <c r="R153" s="48" t="s">
        <v>4415</v>
      </c>
      <c r="S153" s="37" t="s">
        <v>52</v>
      </c>
      <c r="T153" s="37" t="s">
        <v>4531</v>
      </c>
      <c r="U153" s="37" t="s">
        <v>4532</v>
      </c>
      <c r="V153" s="45"/>
      <c r="W153" s="45"/>
      <c r="X153" s="45"/>
      <c r="Y153" s="45"/>
      <c r="Z153" s="37" t="s">
        <v>1728</v>
      </c>
      <c r="AA153" s="37" t="s">
        <v>88</v>
      </c>
      <c r="AB153" s="37" t="s">
        <v>57</v>
      </c>
      <c r="AD153" s="37">
        <v>15.7</v>
      </c>
      <c r="AE153" s="37">
        <v>15.7</v>
      </c>
      <c r="AG153" s="47" t="s">
        <v>4417</v>
      </c>
      <c r="AH153" s="47" t="s">
        <v>4419</v>
      </c>
      <c r="AK153" s="37" t="s">
        <v>58</v>
      </c>
      <c r="AL153" s="37">
        <v>49.9</v>
      </c>
      <c r="AM153" t="s">
        <v>5520</v>
      </c>
      <c r="AN153" s="74" t="s">
        <v>5632</v>
      </c>
    </row>
    <row r="154" spans="1:40" s="37" customFormat="1" ht="14.25" customHeight="1" x14ac:dyDescent="0.3">
      <c r="A154" s="37" t="s">
        <v>958</v>
      </c>
      <c r="B154" s="37" t="s">
        <v>4721</v>
      </c>
      <c r="C154" s="37" t="s">
        <v>960</v>
      </c>
      <c r="D154" s="37" t="s">
        <v>4791</v>
      </c>
      <c r="E154" s="39" t="s">
        <v>4853</v>
      </c>
      <c r="F154" s="37" t="s">
        <v>1725</v>
      </c>
      <c r="G154" s="44" t="s">
        <v>42</v>
      </c>
      <c r="H154" s="44" t="s">
        <v>43</v>
      </c>
      <c r="I154" s="44" t="s">
        <v>44</v>
      </c>
      <c r="J154" s="37" t="s">
        <v>4400</v>
      </c>
      <c r="K154" s="37" t="s">
        <v>106</v>
      </c>
      <c r="L154" s="37" t="s">
        <v>67</v>
      </c>
      <c r="M154" s="37" t="s">
        <v>48</v>
      </c>
      <c r="N154" s="46" t="s">
        <v>4872</v>
      </c>
      <c r="O154" s="76" t="s">
        <v>64</v>
      </c>
      <c r="P154" s="37" t="s">
        <v>4402</v>
      </c>
      <c r="Q154" s="37" t="s">
        <v>68</v>
      </c>
      <c r="R154" s="48" t="s">
        <v>4415</v>
      </c>
      <c r="S154" s="37" t="s">
        <v>52</v>
      </c>
      <c r="T154" s="37" t="s">
        <v>4531</v>
      </c>
      <c r="U154" s="37" t="s">
        <v>4532</v>
      </c>
      <c r="V154" s="45"/>
      <c r="W154" s="45"/>
      <c r="X154" s="45"/>
      <c r="Y154" s="45"/>
      <c r="Z154" s="37" t="s">
        <v>1728</v>
      </c>
      <c r="AA154" s="37" t="s">
        <v>88</v>
      </c>
      <c r="AB154" s="37" t="s">
        <v>57</v>
      </c>
      <c r="AD154" s="37">
        <v>15.78</v>
      </c>
      <c r="AE154" s="37">
        <v>15.78</v>
      </c>
      <c r="AG154" s="47" t="s">
        <v>4417</v>
      </c>
      <c r="AH154" s="47" t="s">
        <v>4419</v>
      </c>
      <c r="AK154" s="37" t="s">
        <v>58</v>
      </c>
      <c r="AL154" s="37">
        <v>49.9</v>
      </c>
      <c r="AM154" t="s">
        <v>5520</v>
      </c>
      <c r="AN154" s="74" t="s">
        <v>5632</v>
      </c>
    </row>
    <row r="155" spans="1:40" s="37" customFormat="1" ht="14.25" customHeight="1" x14ac:dyDescent="0.3">
      <c r="A155" s="37" t="s">
        <v>958</v>
      </c>
      <c r="B155" s="37" t="s">
        <v>4722</v>
      </c>
      <c r="C155" s="37" t="s">
        <v>960</v>
      </c>
      <c r="D155" s="37" t="s">
        <v>4792</v>
      </c>
      <c r="E155" s="39" t="s">
        <v>4853</v>
      </c>
      <c r="F155" s="37" t="s">
        <v>1725</v>
      </c>
      <c r="G155" s="44" t="s">
        <v>42</v>
      </c>
      <c r="H155" s="44" t="s">
        <v>43</v>
      </c>
      <c r="I155" s="44" t="s">
        <v>44</v>
      </c>
      <c r="J155" s="37" t="s">
        <v>4400</v>
      </c>
      <c r="K155" s="37" t="s">
        <v>106</v>
      </c>
      <c r="L155" s="37" t="s">
        <v>67</v>
      </c>
      <c r="M155" s="37" t="s">
        <v>48</v>
      </c>
      <c r="N155" s="46" t="s">
        <v>4877</v>
      </c>
      <c r="O155" s="76" t="s">
        <v>61</v>
      </c>
      <c r="P155" s="37" t="s">
        <v>4402</v>
      </c>
      <c r="Q155" s="37" t="s">
        <v>68</v>
      </c>
      <c r="R155" s="48" t="s">
        <v>4415</v>
      </c>
      <c r="S155" s="37" t="s">
        <v>52</v>
      </c>
      <c r="T155" s="37" t="s">
        <v>4531</v>
      </c>
      <c r="U155" s="37" t="s">
        <v>4532</v>
      </c>
      <c r="V155" s="45"/>
      <c r="W155" s="45"/>
      <c r="X155" s="45"/>
      <c r="Y155" s="45"/>
      <c r="Z155" s="37" t="s">
        <v>1728</v>
      </c>
      <c r="AA155" s="37" t="s">
        <v>88</v>
      </c>
      <c r="AB155" s="37" t="s">
        <v>57</v>
      </c>
      <c r="AD155" s="37">
        <v>15.6</v>
      </c>
      <c r="AE155" s="37">
        <v>15.6</v>
      </c>
      <c r="AG155" s="47" t="s">
        <v>4417</v>
      </c>
      <c r="AH155" s="47" t="s">
        <v>4419</v>
      </c>
      <c r="AK155" s="37" t="s">
        <v>58</v>
      </c>
      <c r="AL155" s="37">
        <v>49.9</v>
      </c>
      <c r="AM155" t="s">
        <v>5520</v>
      </c>
      <c r="AN155" s="74" t="s">
        <v>5632</v>
      </c>
    </row>
    <row r="156" spans="1:40" s="37" customFormat="1" ht="14.25" customHeight="1" x14ac:dyDescent="0.3">
      <c r="A156" s="37" t="s">
        <v>958</v>
      </c>
      <c r="B156" s="37" t="s">
        <v>4723</v>
      </c>
      <c r="C156" s="37" t="s">
        <v>960</v>
      </c>
      <c r="D156" s="37" t="s">
        <v>4793</v>
      </c>
      <c r="E156" s="39" t="s">
        <v>4853</v>
      </c>
      <c r="F156" s="37" t="s">
        <v>1725</v>
      </c>
      <c r="G156" s="44" t="s">
        <v>42</v>
      </c>
      <c r="H156" s="44" t="s">
        <v>43</v>
      </c>
      <c r="I156" s="44" t="s">
        <v>44</v>
      </c>
      <c r="J156" s="37" t="s">
        <v>4400</v>
      </c>
      <c r="K156" s="37" t="s">
        <v>106</v>
      </c>
      <c r="L156" s="37" t="s">
        <v>67</v>
      </c>
      <c r="M156" s="37" t="s">
        <v>48</v>
      </c>
      <c r="N156" s="46" t="s">
        <v>4874</v>
      </c>
      <c r="O156" s="76" t="s">
        <v>61</v>
      </c>
      <c r="P156" s="37" t="s">
        <v>4402</v>
      </c>
      <c r="Q156" s="37" t="s">
        <v>68</v>
      </c>
      <c r="R156" s="48" t="s">
        <v>4415</v>
      </c>
      <c r="S156" s="37" t="s">
        <v>52</v>
      </c>
      <c r="T156" s="37" t="s">
        <v>4531</v>
      </c>
      <c r="U156" s="37" t="s">
        <v>4532</v>
      </c>
      <c r="V156" s="45"/>
      <c r="W156" s="45"/>
      <c r="X156" s="45"/>
      <c r="Y156" s="45"/>
      <c r="Z156" s="37" t="s">
        <v>1728</v>
      </c>
      <c r="AA156" s="37" t="s">
        <v>88</v>
      </c>
      <c r="AB156" s="37" t="s">
        <v>57</v>
      </c>
      <c r="AD156" s="37">
        <v>15.58</v>
      </c>
      <c r="AE156" s="37">
        <v>15.58</v>
      </c>
      <c r="AG156" s="47" t="s">
        <v>4417</v>
      </c>
      <c r="AH156" s="47" t="s">
        <v>4419</v>
      </c>
      <c r="AK156" s="37" t="s">
        <v>58</v>
      </c>
      <c r="AL156" s="37">
        <v>49.9</v>
      </c>
      <c r="AM156" t="s">
        <v>5520</v>
      </c>
      <c r="AN156" s="74" t="s">
        <v>5632</v>
      </c>
    </row>
    <row r="157" spans="1:40" s="37" customFormat="1" ht="14.25" customHeight="1" x14ac:dyDescent="0.3">
      <c r="A157" s="37" t="s">
        <v>958</v>
      </c>
      <c r="B157" s="37" t="s">
        <v>4724</v>
      </c>
      <c r="C157" s="37" t="s">
        <v>960</v>
      </c>
      <c r="D157" s="37" t="s">
        <v>4794</v>
      </c>
      <c r="E157" s="39" t="s">
        <v>4853</v>
      </c>
      <c r="F157" s="37" t="s">
        <v>1725</v>
      </c>
      <c r="G157" s="44" t="s">
        <v>42</v>
      </c>
      <c r="H157" s="44" t="s">
        <v>43</v>
      </c>
      <c r="I157" s="44" t="s">
        <v>44</v>
      </c>
      <c r="J157" s="37" t="s">
        <v>4400</v>
      </c>
      <c r="K157" s="37" t="s">
        <v>106</v>
      </c>
      <c r="L157" s="37" t="s">
        <v>47</v>
      </c>
      <c r="M157" s="37" t="s">
        <v>48</v>
      </c>
      <c r="N157" s="46" t="s">
        <v>4872</v>
      </c>
      <c r="O157" s="76" t="s">
        <v>64</v>
      </c>
      <c r="P157" s="37" t="s">
        <v>4402</v>
      </c>
      <c r="Q157" s="37" t="s">
        <v>51</v>
      </c>
      <c r="R157" s="48" t="s">
        <v>4416</v>
      </c>
      <c r="S157" s="37" t="s">
        <v>52</v>
      </c>
      <c r="T157" s="37" t="s">
        <v>4531</v>
      </c>
      <c r="U157" s="37" t="s">
        <v>4532</v>
      </c>
      <c r="V157" s="45"/>
      <c r="W157" s="45"/>
      <c r="X157" s="45"/>
      <c r="Y157" s="45"/>
      <c r="Z157" s="37" t="s">
        <v>1728</v>
      </c>
      <c r="AA157" s="37" t="s">
        <v>88</v>
      </c>
      <c r="AB157" s="37" t="s">
        <v>57</v>
      </c>
      <c r="AD157" s="37">
        <v>31.28</v>
      </c>
      <c r="AE157" s="37">
        <v>31.28</v>
      </c>
      <c r="AG157" s="47" t="s">
        <v>4417</v>
      </c>
      <c r="AH157" s="47" t="s">
        <v>4421</v>
      </c>
      <c r="AK157" s="37" t="s">
        <v>58</v>
      </c>
      <c r="AL157" s="37">
        <v>59.9</v>
      </c>
      <c r="AM157" t="s">
        <v>5520</v>
      </c>
      <c r="AN157" s="74" t="s">
        <v>5632</v>
      </c>
    </row>
    <row r="158" spans="1:40" s="37" customFormat="1" ht="14.25" customHeight="1" x14ac:dyDescent="0.3">
      <c r="A158" s="37" t="s">
        <v>958</v>
      </c>
      <c r="B158" s="37" t="s">
        <v>4725</v>
      </c>
      <c r="C158" s="37" t="s">
        <v>960</v>
      </c>
      <c r="D158" s="37" t="s">
        <v>4795</v>
      </c>
      <c r="E158" s="39" t="s">
        <v>4853</v>
      </c>
      <c r="F158" s="37" t="s">
        <v>1725</v>
      </c>
      <c r="G158" s="44" t="s">
        <v>42</v>
      </c>
      <c r="H158" s="44" t="s">
        <v>43</v>
      </c>
      <c r="I158" s="44" t="s">
        <v>44</v>
      </c>
      <c r="J158" s="37" t="s">
        <v>4400</v>
      </c>
      <c r="K158" s="37" t="s">
        <v>106</v>
      </c>
      <c r="L158" s="37" t="s">
        <v>47</v>
      </c>
      <c r="M158" s="37" t="s">
        <v>48</v>
      </c>
      <c r="N158" s="46" t="s">
        <v>4874</v>
      </c>
      <c r="O158" s="76" t="s">
        <v>61</v>
      </c>
      <c r="P158" s="37" t="s">
        <v>4402</v>
      </c>
      <c r="Q158" s="37" t="s">
        <v>51</v>
      </c>
      <c r="R158" s="48" t="s">
        <v>4416</v>
      </c>
      <c r="S158" s="37" t="s">
        <v>52</v>
      </c>
      <c r="T158" s="37" t="s">
        <v>4531</v>
      </c>
      <c r="U158" s="37" t="s">
        <v>4532</v>
      </c>
      <c r="V158" s="45"/>
      <c r="W158" s="45"/>
      <c r="X158" s="45"/>
      <c r="Y158" s="45"/>
      <c r="Z158" s="37" t="s">
        <v>1728</v>
      </c>
      <c r="AA158" s="37" t="s">
        <v>88</v>
      </c>
      <c r="AB158" s="37" t="s">
        <v>57</v>
      </c>
      <c r="AD158" s="37">
        <v>31.12</v>
      </c>
      <c r="AE158" s="37">
        <v>31.12</v>
      </c>
      <c r="AG158" s="47" t="s">
        <v>4417</v>
      </c>
      <c r="AH158" s="47" t="s">
        <v>4421</v>
      </c>
      <c r="AK158" s="37" t="s">
        <v>58</v>
      </c>
      <c r="AL158" s="37">
        <v>59.9</v>
      </c>
      <c r="AM158" t="s">
        <v>5520</v>
      </c>
      <c r="AN158" s="74" t="s">
        <v>5632</v>
      </c>
    </row>
    <row r="159" spans="1:40" s="37" customFormat="1" ht="14.25" customHeight="1" x14ac:dyDescent="0.3">
      <c r="A159" s="37" t="s">
        <v>958</v>
      </c>
      <c r="B159" s="37" t="s">
        <v>4726</v>
      </c>
      <c r="C159" s="37" t="s">
        <v>960</v>
      </c>
      <c r="D159" s="37" t="s">
        <v>4796</v>
      </c>
      <c r="E159" s="39" t="s">
        <v>4853</v>
      </c>
      <c r="F159" s="37" t="s">
        <v>1725</v>
      </c>
      <c r="G159" s="44" t="s">
        <v>42</v>
      </c>
      <c r="H159" s="44" t="s">
        <v>43</v>
      </c>
      <c r="I159" s="44" t="s">
        <v>44</v>
      </c>
      <c r="J159" s="37" t="s">
        <v>4400</v>
      </c>
      <c r="K159" s="37" t="s">
        <v>106</v>
      </c>
      <c r="L159" s="37" t="s">
        <v>47</v>
      </c>
      <c r="M159" s="37" t="s">
        <v>48</v>
      </c>
      <c r="N159" s="46" t="s">
        <v>4875</v>
      </c>
      <c r="O159" s="76" t="s">
        <v>61</v>
      </c>
      <c r="P159" s="37" t="s">
        <v>4402</v>
      </c>
      <c r="Q159" s="37" t="s">
        <v>51</v>
      </c>
      <c r="R159" s="48" t="s">
        <v>4416</v>
      </c>
      <c r="S159" s="37" t="s">
        <v>52</v>
      </c>
      <c r="T159" s="37" t="s">
        <v>4531</v>
      </c>
      <c r="U159" s="37" t="s">
        <v>4532</v>
      </c>
      <c r="V159" s="45"/>
      <c r="W159" s="45"/>
      <c r="X159" s="45"/>
      <c r="Y159" s="45"/>
      <c r="Z159" s="37" t="s">
        <v>1728</v>
      </c>
      <c r="AA159" s="37" t="s">
        <v>88</v>
      </c>
      <c r="AB159" s="37" t="s">
        <v>57</v>
      </c>
      <c r="AD159" s="37">
        <v>31.08</v>
      </c>
      <c r="AE159" s="37">
        <v>31.08</v>
      </c>
      <c r="AG159" s="47" t="s">
        <v>4417</v>
      </c>
      <c r="AH159" s="47" t="s">
        <v>4421</v>
      </c>
      <c r="AK159" s="37" t="s">
        <v>58</v>
      </c>
      <c r="AL159" s="37">
        <v>59.9</v>
      </c>
      <c r="AM159" t="s">
        <v>5520</v>
      </c>
      <c r="AN159" s="74" t="s">
        <v>5632</v>
      </c>
    </row>
    <row r="160" spans="1:40" s="37" customFormat="1" ht="14.25" customHeight="1" x14ac:dyDescent="0.3">
      <c r="A160" s="37" t="s">
        <v>958</v>
      </c>
      <c r="B160" s="37" t="s">
        <v>4727</v>
      </c>
      <c r="C160" s="37" t="s">
        <v>960</v>
      </c>
      <c r="D160" s="37" t="s">
        <v>4797</v>
      </c>
      <c r="E160" s="39" t="s">
        <v>4853</v>
      </c>
      <c r="F160" s="37" t="s">
        <v>1725</v>
      </c>
      <c r="G160" s="44" t="s">
        <v>42</v>
      </c>
      <c r="H160" s="44" t="s">
        <v>43</v>
      </c>
      <c r="I160" s="44" t="s">
        <v>44</v>
      </c>
      <c r="J160" s="37" t="s">
        <v>4400</v>
      </c>
      <c r="K160" s="37" t="s">
        <v>106</v>
      </c>
      <c r="L160" s="37" t="s">
        <v>47</v>
      </c>
      <c r="M160" s="37" t="s">
        <v>48</v>
      </c>
      <c r="N160" s="46" t="s">
        <v>4873</v>
      </c>
      <c r="O160" s="76" t="s">
        <v>599</v>
      </c>
      <c r="P160" s="37" t="s">
        <v>4402</v>
      </c>
      <c r="Q160" s="37" t="s">
        <v>51</v>
      </c>
      <c r="R160" s="48" t="s">
        <v>4416</v>
      </c>
      <c r="S160" s="37" t="s">
        <v>52</v>
      </c>
      <c r="T160" s="37" t="s">
        <v>4531</v>
      </c>
      <c r="U160" s="37" t="s">
        <v>4532</v>
      </c>
      <c r="V160" s="45"/>
      <c r="W160" s="45"/>
      <c r="X160" s="45"/>
      <c r="Y160" s="45"/>
      <c r="Z160" s="37" t="s">
        <v>1728</v>
      </c>
      <c r="AA160" s="37" t="s">
        <v>88</v>
      </c>
      <c r="AB160" s="37" t="s">
        <v>57</v>
      </c>
      <c r="AD160" s="37">
        <v>31.16</v>
      </c>
      <c r="AE160" s="37">
        <v>31.16</v>
      </c>
      <c r="AG160" s="47" t="s">
        <v>4417</v>
      </c>
      <c r="AH160" s="47" t="s">
        <v>4421</v>
      </c>
      <c r="AK160" s="37" t="s">
        <v>58</v>
      </c>
      <c r="AL160" s="37">
        <v>59.9</v>
      </c>
      <c r="AM160" t="s">
        <v>5520</v>
      </c>
      <c r="AN160" s="74" t="s">
        <v>5632</v>
      </c>
    </row>
    <row r="161" spans="1:40" s="37" customFormat="1" ht="14.25" customHeight="1" x14ac:dyDescent="0.3">
      <c r="A161" s="37" t="s">
        <v>958</v>
      </c>
      <c r="B161" s="37" t="s">
        <v>4728</v>
      </c>
      <c r="C161" s="37" t="s">
        <v>960</v>
      </c>
      <c r="D161" s="37" t="s">
        <v>4798</v>
      </c>
      <c r="E161" s="39" t="s">
        <v>4853</v>
      </c>
      <c r="F161" s="37" t="s">
        <v>1725</v>
      </c>
      <c r="G161" s="44" t="s">
        <v>42</v>
      </c>
      <c r="H161" s="44" t="s">
        <v>43</v>
      </c>
      <c r="I161" s="44" t="s">
        <v>44</v>
      </c>
      <c r="J161" s="37" t="s">
        <v>4400</v>
      </c>
      <c r="K161" s="37" t="s">
        <v>106</v>
      </c>
      <c r="L161" s="37" t="s">
        <v>47</v>
      </c>
      <c r="M161" s="37" t="s">
        <v>48</v>
      </c>
      <c r="N161" s="46" t="s">
        <v>4877</v>
      </c>
      <c r="O161" s="76" t="s">
        <v>61</v>
      </c>
      <c r="P161" s="37" t="s">
        <v>4402</v>
      </c>
      <c r="Q161" s="37" t="s">
        <v>51</v>
      </c>
      <c r="R161" s="48" t="s">
        <v>4416</v>
      </c>
      <c r="S161" s="37" t="s">
        <v>52</v>
      </c>
      <c r="T161" s="37" t="s">
        <v>4531</v>
      </c>
      <c r="U161" s="37" t="s">
        <v>4532</v>
      </c>
      <c r="V161" s="45"/>
      <c r="W161" s="45"/>
      <c r="X161" s="45"/>
      <c r="Y161" s="45"/>
      <c r="Z161" s="37" t="s">
        <v>1728</v>
      </c>
      <c r="AA161" s="37" t="s">
        <v>88</v>
      </c>
      <c r="AB161" s="37" t="s">
        <v>57</v>
      </c>
      <c r="AD161" s="37">
        <v>31.19</v>
      </c>
      <c r="AE161" s="37">
        <v>31.19</v>
      </c>
      <c r="AG161" s="47" t="s">
        <v>4417</v>
      </c>
      <c r="AH161" s="47" t="s">
        <v>4421</v>
      </c>
      <c r="AK161" s="37" t="s">
        <v>58</v>
      </c>
      <c r="AL161" s="37">
        <v>59.9</v>
      </c>
      <c r="AM161" t="s">
        <v>5520</v>
      </c>
      <c r="AN161" s="74" t="s">
        <v>5632</v>
      </c>
    </row>
    <row r="162" spans="1:40" s="37" customFormat="1" ht="14.25" customHeight="1" x14ac:dyDescent="0.3">
      <c r="A162" s="37" t="s">
        <v>958</v>
      </c>
      <c r="B162" s="37" t="s">
        <v>4729</v>
      </c>
      <c r="C162" s="37" t="s">
        <v>960</v>
      </c>
      <c r="D162" s="37" t="s">
        <v>4799</v>
      </c>
      <c r="E162" s="39" t="s">
        <v>4853</v>
      </c>
      <c r="F162" s="37" t="s">
        <v>1725</v>
      </c>
      <c r="G162" s="44" t="s">
        <v>42</v>
      </c>
      <c r="H162" s="44" t="s">
        <v>43</v>
      </c>
      <c r="I162" s="44" t="s">
        <v>44</v>
      </c>
      <c r="J162" s="37" t="s">
        <v>4400</v>
      </c>
      <c r="K162" s="37" t="s">
        <v>106</v>
      </c>
      <c r="L162" s="37" t="s">
        <v>47</v>
      </c>
      <c r="M162" s="37" t="s">
        <v>48</v>
      </c>
      <c r="N162" s="46" t="s">
        <v>4872</v>
      </c>
      <c r="O162" s="76" t="s">
        <v>64</v>
      </c>
      <c r="P162" s="37" t="s">
        <v>4533</v>
      </c>
      <c r="Q162" s="37" t="s">
        <v>51</v>
      </c>
      <c r="R162" s="48" t="s">
        <v>4415</v>
      </c>
      <c r="S162" s="37" t="s">
        <v>52</v>
      </c>
      <c r="T162" s="37" t="s">
        <v>4531</v>
      </c>
      <c r="U162" s="37" t="s">
        <v>4532</v>
      </c>
      <c r="V162" s="45"/>
      <c r="W162" s="45"/>
      <c r="X162" s="45"/>
      <c r="Y162" s="45"/>
      <c r="Z162" s="37" t="s">
        <v>1728</v>
      </c>
      <c r="AA162" s="37" t="s">
        <v>88</v>
      </c>
      <c r="AB162" s="37" t="s">
        <v>57</v>
      </c>
      <c r="AD162" s="37">
        <v>14.42</v>
      </c>
      <c r="AE162" s="37">
        <v>14.42</v>
      </c>
      <c r="AG162" s="47" t="s">
        <v>4556</v>
      </c>
      <c r="AH162" s="47" t="s">
        <v>4552</v>
      </c>
      <c r="AK162" s="37" t="s">
        <v>58</v>
      </c>
      <c r="AL162" s="37">
        <v>59.9</v>
      </c>
      <c r="AM162" t="s">
        <v>5520</v>
      </c>
      <c r="AN162" s="74" t="s">
        <v>5632</v>
      </c>
    </row>
    <row r="163" spans="1:40" s="37" customFormat="1" ht="14.25" customHeight="1" x14ac:dyDescent="0.3">
      <c r="A163" s="37" t="s">
        <v>958</v>
      </c>
      <c r="B163" s="37" t="s">
        <v>4730</v>
      </c>
      <c r="C163" s="37" t="s">
        <v>960</v>
      </c>
      <c r="D163" s="37" t="s">
        <v>4800</v>
      </c>
      <c r="E163" s="39" t="s">
        <v>4853</v>
      </c>
      <c r="F163" s="37" t="s">
        <v>1725</v>
      </c>
      <c r="G163" s="44" t="s">
        <v>42</v>
      </c>
      <c r="H163" s="44" t="s">
        <v>43</v>
      </c>
      <c r="I163" s="44" t="s">
        <v>44</v>
      </c>
      <c r="J163" s="37" t="s">
        <v>4400</v>
      </c>
      <c r="K163" s="37" t="s">
        <v>106</v>
      </c>
      <c r="L163" s="37" t="s">
        <v>47</v>
      </c>
      <c r="M163" s="37" t="s">
        <v>48</v>
      </c>
      <c r="N163" s="46" t="s">
        <v>4873</v>
      </c>
      <c r="O163" s="76" t="s">
        <v>599</v>
      </c>
      <c r="P163" s="37" t="s">
        <v>4533</v>
      </c>
      <c r="Q163" s="37" t="s">
        <v>51</v>
      </c>
      <c r="R163" s="48" t="s">
        <v>4415</v>
      </c>
      <c r="S163" s="37" t="s">
        <v>52</v>
      </c>
      <c r="T163" s="37" t="s">
        <v>4531</v>
      </c>
      <c r="U163" s="37" t="s">
        <v>4532</v>
      </c>
      <c r="V163" s="45"/>
      <c r="W163" s="45"/>
      <c r="X163" s="45"/>
      <c r="Y163" s="45"/>
      <c r="Z163" s="37" t="s">
        <v>1728</v>
      </c>
      <c r="AA163" s="37" t="s">
        <v>88</v>
      </c>
      <c r="AB163" s="37" t="s">
        <v>57</v>
      </c>
      <c r="AD163" s="37">
        <v>14.82</v>
      </c>
      <c r="AE163" s="37">
        <v>14.82</v>
      </c>
      <c r="AG163" s="47" t="s">
        <v>4556</v>
      </c>
      <c r="AH163" s="47" t="s">
        <v>4552</v>
      </c>
      <c r="AK163" s="37" t="s">
        <v>58</v>
      </c>
      <c r="AL163" s="37">
        <v>59.9</v>
      </c>
      <c r="AM163" t="s">
        <v>5520</v>
      </c>
      <c r="AN163" s="74" t="s">
        <v>5632</v>
      </c>
    </row>
    <row r="164" spans="1:40" s="37" customFormat="1" ht="14.25" customHeight="1" x14ac:dyDescent="0.3">
      <c r="A164" s="37" t="s">
        <v>958</v>
      </c>
      <c r="B164" s="37" t="s">
        <v>4731</v>
      </c>
      <c r="C164" s="37" t="s">
        <v>960</v>
      </c>
      <c r="D164" s="37" t="s">
        <v>4801</v>
      </c>
      <c r="E164" s="39" t="s">
        <v>4853</v>
      </c>
      <c r="F164" s="37" t="s">
        <v>1725</v>
      </c>
      <c r="G164" s="44" t="s">
        <v>42</v>
      </c>
      <c r="H164" s="44" t="s">
        <v>43</v>
      </c>
      <c r="I164" s="44" t="s">
        <v>44</v>
      </c>
      <c r="J164" s="37" t="s">
        <v>4400</v>
      </c>
      <c r="K164" s="37" t="s">
        <v>106</v>
      </c>
      <c r="L164" s="37" t="s">
        <v>47</v>
      </c>
      <c r="M164" s="37" t="s">
        <v>48</v>
      </c>
      <c r="N164" s="46" t="s">
        <v>4874</v>
      </c>
      <c r="O164" s="76" t="s">
        <v>61</v>
      </c>
      <c r="P164" s="37" t="s">
        <v>4533</v>
      </c>
      <c r="Q164" s="37" t="s">
        <v>51</v>
      </c>
      <c r="R164" s="48" t="s">
        <v>4415</v>
      </c>
      <c r="S164" s="37" t="s">
        <v>52</v>
      </c>
      <c r="T164" s="37" t="s">
        <v>4531</v>
      </c>
      <c r="U164" s="37" t="s">
        <v>4532</v>
      </c>
      <c r="V164" s="45"/>
      <c r="W164" s="45"/>
      <c r="X164" s="45"/>
      <c r="Y164" s="45"/>
      <c r="Z164" s="37" t="s">
        <v>1728</v>
      </c>
      <c r="AA164" s="37" t="s">
        <v>88</v>
      </c>
      <c r="AB164" s="37" t="s">
        <v>57</v>
      </c>
      <c r="AD164" s="37">
        <v>15</v>
      </c>
      <c r="AE164" s="37">
        <v>15</v>
      </c>
      <c r="AG164" s="47" t="s">
        <v>4556</v>
      </c>
      <c r="AH164" s="47" t="s">
        <v>4552</v>
      </c>
      <c r="AK164" s="37" t="s">
        <v>58</v>
      </c>
      <c r="AL164" s="37">
        <v>59.9</v>
      </c>
      <c r="AM164" t="s">
        <v>5520</v>
      </c>
      <c r="AN164" s="74" t="s">
        <v>5632</v>
      </c>
    </row>
    <row r="165" spans="1:40" s="37" customFormat="1" ht="14.25" customHeight="1" x14ac:dyDescent="0.3">
      <c r="A165" s="37" t="s">
        <v>958</v>
      </c>
      <c r="B165" s="37" t="s">
        <v>4732</v>
      </c>
      <c r="C165" s="37" t="s">
        <v>960</v>
      </c>
      <c r="D165" s="37" t="s">
        <v>4802</v>
      </c>
      <c r="E165" s="39" t="s">
        <v>4853</v>
      </c>
      <c r="F165" s="37" t="s">
        <v>1725</v>
      </c>
      <c r="G165" s="44" t="s">
        <v>42</v>
      </c>
      <c r="H165" s="44" t="s">
        <v>43</v>
      </c>
      <c r="I165" s="44" t="s">
        <v>44</v>
      </c>
      <c r="J165" s="37" t="s">
        <v>4400</v>
      </c>
      <c r="K165" s="37" t="s">
        <v>106</v>
      </c>
      <c r="L165" s="37" t="s">
        <v>47</v>
      </c>
      <c r="M165" s="37" t="s">
        <v>48</v>
      </c>
      <c r="N165" s="46" t="s">
        <v>4875</v>
      </c>
      <c r="O165" s="76" t="s">
        <v>61</v>
      </c>
      <c r="P165" s="37" t="s">
        <v>4533</v>
      </c>
      <c r="Q165" s="37" t="s">
        <v>51</v>
      </c>
      <c r="R165" s="48" t="s">
        <v>4415</v>
      </c>
      <c r="S165" s="37" t="s">
        <v>52</v>
      </c>
      <c r="T165" s="37" t="s">
        <v>4531</v>
      </c>
      <c r="U165" s="37" t="s">
        <v>4532</v>
      </c>
      <c r="V165" s="45"/>
      <c r="W165" s="45"/>
      <c r="X165" s="45"/>
      <c r="Y165" s="45"/>
      <c r="Z165" s="37" t="s">
        <v>1728</v>
      </c>
      <c r="AA165" s="37" t="s">
        <v>88</v>
      </c>
      <c r="AB165" s="37" t="s">
        <v>57</v>
      </c>
      <c r="AD165" s="37">
        <v>14.78</v>
      </c>
      <c r="AE165" s="37">
        <v>14.78</v>
      </c>
      <c r="AG165" s="47" t="s">
        <v>4556</v>
      </c>
      <c r="AH165" s="47" t="s">
        <v>4552</v>
      </c>
      <c r="AK165" s="37" t="s">
        <v>58</v>
      </c>
      <c r="AL165" s="37">
        <v>59.9</v>
      </c>
      <c r="AM165" t="s">
        <v>5520</v>
      </c>
      <c r="AN165" s="74" t="s">
        <v>5632</v>
      </c>
    </row>
    <row r="166" spans="1:40" s="37" customFormat="1" ht="14.25" customHeight="1" x14ac:dyDescent="0.3">
      <c r="A166" s="37" t="s">
        <v>958</v>
      </c>
      <c r="B166" s="37" t="s">
        <v>4733</v>
      </c>
      <c r="C166" s="37" t="s">
        <v>960</v>
      </c>
      <c r="D166" s="37" t="s">
        <v>4803</v>
      </c>
      <c r="E166" s="39" t="s">
        <v>4853</v>
      </c>
      <c r="F166" s="37" t="s">
        <v>1725</v>
      </c>
      <c r="G166" s="44" t="s">
        <v>42</v>
      </c>
      <c r="H166" s="44" t="s">
        <v>43</v>
      </c>
      <c r="I166" s="44" t="s">
        <v>44</v>
      </c>
      <c r="J166" s="37" t="s">
        <v>4400</v>
      </c>
      <c r="K166" s="37" t="s">
        <v>106</v>
      </c>
      <c r="L166" s="37" t="s">
        <v>47</v>
      </c>
      <c r="M166" s="37" t="s">
        <v>48</v>
      </c>
      <c r="N166" s="46" t="s">
        <v>4876</v>
      </c>
      <c r="O166" s="76" t="s">
        <v>64</v>
      </c>
      <c r="P166" s="37" t="s">
        <v>4533</v>
      </c>
      <c r="Q166" s="37" t="s">
        <v>51</v>
      </c>
      <c r="R166" s="48" t="s">
        <v>4415</v>
      </c>
      <c r="S166" s="37" t="s">
        <v>52</v>
      </c>
      <c r="T166" s="37" t="s">
        <v>4531</v>
      </c>
      <c r="U166" s="37" t="s">
        <v>4532</v>
      </c>
      <c r="V166" s="45"/>
      <c r="W166" s="45"/>
      <c r="X166" s="45"/>
      <c r="Y166" s="45"/>
      <c r="Z166" s="37" t="s">
        <v>1728</v>
      </c>
      <c r="AA166" s="37" t="s">
        <v>88</v>
      </c>
      <c r="AB166" s="37" t="s">
        <v>57</v>
      </c>
      <c r="AD166" s="37">
        <v>14.41</v>
      </c>
      <c r="AE166" s="37">
        <v>14.41</v>
      </c>
      <c r="AG166" s="47" t="s">
        <v>4556</v>
      </c>
      <c r="AH166" s="47" t="s">
        <v>4552</v>
      </c>
      <c r="AK166" s="37" t="s">
        <v>58</v>
      </c>
      <c r="AL166" s="37">
        <v>59.9</v>
      </c>
      <c r="AM166" t="s">
        <v>5520</v>
      </c>
      <c r="AN166" s="74" t="s">
        <v>5632</v>
      </c>
    </row>
    <row r="167" spans="1:40" s="37" customFormat="1" ht="14.25" customHeight="1" x14ac:dyDescent="0.3">
      <c r="A167" s="37" t="s">
        <v>958</v>
      </c>
      <c r="B167" s="37" t="s">
        <v>4734</v>
      </c>
      <c r="C167" s="37" t="s">
        <v>960</v>
      </c>
      <c r="D167" s="37" t="s">
        <v>4804</v>
      </c>
      <c r="E167" s="39" t="s">
        <v>4853</v>
      </c>
      <c r="F167" s="37" t="s">
        <v>1725</v>
      </c>
      <c r="G167" s="44" t="s">
        <v>42</v>
      </c>
      <c r="H167" s="44" t="s">
        <v>43</v>
      </c>
      <c r="I167" s="44" t="s">
        <v>44</v>
      </c>
      <c r="J167" s="37" t="s">
        <v>4400</v>
      </c>
      <c r="K167" s="37" t="s">
        <v>106</v>
      </c>
      <c r="L167" s="37" t="s">
        <v>47</v>
      </c>
      <c r="M167" s="37" t="s">
        <v>48</v>
      </c>
      <c r="N167" s="46" t="s">
        <v>4877</v>
      </c>
      <c r="O167" s="76" t="s">
        <v>61</v>
      </c>
      <c r="P167" s="37" t="s">
        <v>4533</v>
      </c>
      <c r="Q167" s="37" t="s">
        <v>51</v>
      </c>
      <c r="R167" s="48" t="s">
        <v>4415</v>
      </c>
      <c r="S167" s="37" t="s">
        <v>52</v>
      </c>
      <c r="T167" s="37" t="s">
        <v>4531</v>
      </c>
      <c r="U167" s="37" t="s">
        <v>4532</v>
      </c>
      <c r="V167" s="45"/>
      <c r="W167" s="45"/>
      <c r="X167" s="45"/>
      <c r="Y167" s="45"/>
      <c r="Z167" s="37" t="s">
        <v>1728</v>
      </c>
      <c r="AA167" s="37" t="s">
        <v>88</v>
      </c>
      <c r="AB167" s="37" t="s">
        <v>57</v>
      </c>
      <c r="AD167" s="37">
        <v>14.77</v>
      </c>
      <c r="AE167" s="37">
        <v>14.77</v>
      </c>
      <c r="AG167" s="47" t="s">
        <v>4556</v>
      </c>
      <c r="AH167" s="47" t="s">
        <v>4552</v>
      </c>
      <c r="AK167" s="37" t="s">
        <v>58</v>
      </c>
      <c r="AL167" s="37">
        <v>59.9</v>
      </c>
      <c r="AM167" t="s">
        <v>5520</v>
      </c>
      <c r="AN167" s="74" t="s">
        <v>5632</v>
      </c>
    </row>
    <row r="168" spans="1:40" s="37" customFormat="1" ht="14.25" customHeight="1" x14ac:dyDescent="0.3">
      <c r="A168" s="37" t="s">
        <v>958</v>
      </c>
      <c r="B168" s="37" t="s">
        <v>4735</v>
      </c>
      <c r="C168" s="37" t="s">
        <v>960</v>
      </c>
      <c r="D168" s="37" t="s">
        <v>4805</v>
      </c>
      <c r="E168" s="39" t="s">
        <v>4853</v>
      </c>
      <c r="F168" s="37" t="s">
        <v>1725</v>
      </c>
      <c r="G168" s="44" t="s">
        <v>42</v>
      </c>
      <c r="H168" s="44" t="s">
        <v>43</v>
      </c>
      <c r="I168" s="44" t="s">
        <v>44</v>
      </c>
      <c r="J168" s="37" t="s">
        <v>4400</v>
      </c>
      <c r="K168" s="37" t="s">
        <v>106</v>
      </c>
      <c r="L168" s="37" t="s">
        <v>132</v>
      </c>
      <c r="M168" s="37" t="s">
        <v>48</v>
      </c>
      <c r="N168" s="46" t="s">
        <v>4876</v>
      </c>
      <c r="O168" s="76" t="s">
        <v>64</v>
      </c>
      <c r="P168" s="37" t="s">
        <v>4533</v>
      </c>
      <c r="Q168" s="37" t="s">
        <v>68</v>
      </c>
      <c r="R168" s="48" t="s">
        <v>4415</v>
      </c>
      <c r="S168" s="37" t="s">
        <v>52</v>
      </c>
      <c r="T168" s="37" t="s">
        <v>4531</v>
      </c>
      <c r="U168" s="37" t="s">
        <v>4532</v>
      </c>
      <c r="V168" s="45"/>
      <c r="W168" s="45"/>
      <c r="X168" s="45"/>
      <c r="Y168" s="45"/>
      <c r="Z168" s="37" t="s">
        <v>1728</v>
      </c>
      <c r="AA168" s="37" t="s">
        <v>88</v>
      </c>
      <c r="AB168" s="37" t="s">
        <v>57</v>
      </c>
      <c r="AD168" s="37">
        <v>30.78</v>
      </c>
      <c r="AE168" s="37">
        <v>30.78</v>
      </c>
      <c r="AG168" s="47" t="s">
        <v>4557</v>
      </c>
      <c r="AH168" s="47" t="s">
        <v>4554</v>
      </c>
      <c r="AK168" s="37" t="s">
        <v>58</v>
      </c>
      <c r="AL168" s="37">
        <v>79.900000000000006</v>
      </c>
      <c r="AM168" t="s">
        <v>5520</v>
      </c>
      <c r="AN168" s="74" t="s">
        <v>5632</v>
      </c>
    </row>
    <row r="169" spans="1:40" s="37" customFormat="1" ht="14.25" customHeight="1" x14ac:dyDescent="0.3">
      <c r="A169" s="37" t="s">
        <v>958</v>
      </c>
      <c r="B169" s="37" t="s">
        <v>4736</v>
      </c>
      <c r="C169" s="37" t="s">
        <v>960</v>
      </c>
      <c r="D169" s="37" t="s">
        <v>4806</v>
      </c>
      <c r="E169" s="39" t="s">
        <v>4853</v>
      </c>
      <c r="F169" s="37" t="s">
        <v>1725</v>
      </c>
      <c r="G169" s="44" t="s">
        <v>42</v>
      </c>
      <c r="H169" s="44" t="s">
        <v>43</v>
      </c>
      <c r="I169" s="44" t="s">
        <v>44</v>
      </c>
      <c r="J169" s="37" t="s">
        <v>4400</v>
      </c>
      <c r="K169" s="37" t="s">
        <v>106</v>
      </c>
      <c r="L169" s="37" t="s">
        <v>132</v>
      </c>
      <c r="M169" s="37" t="s">
        <v>48</v>
      </c>
      <c r="N169" s="46" t="s">
        <v>4872</v>
      </c>
      <c r="O169" s="76" t="s">
        <v>64</v>
      </c>
      <c r="P169" s="37" t="s">
        <v>4533</v>
      </c>
      <c r="Q169" s="37" t="s">
        <v>68</v>
      </c>
      <c r="R169" s="48" t="s">
        <v>4415</v>
      </c>
      <c r="S169" s="37" t="s">
        <v>52</v>
      </c>
      <c r="T169" s="37" t="s">
        <v>4531</v>
      </c>
      <c r="U169" s="37" t="s">
        <v>4532</v>
      </c>
      <c r="V169" s="45"/>
      <c r="W169" s="45"/>
      <c r="X169" s="45"/>
      <c r="Y169" s="45"/>
      <c r="Z169" s="37" t="s">
        <v>1728</v>
      </c>
      <c r="AA169" s="37" t="s">
        <v>88</v>
      </c>
      <c r="AB169" s="37" t="s">
        <v>57</v>
      </c>
      <c r="AD169" s="37">
        <v>30.78</v>
      </c>
      <c r="AE169" s="37">
        <v>30.78</v>
      </c>
      <c r="AG169" s="47" t="s">
        <v>4557</v>
      </c>
      <c r="AH169" s="47" t="s">
        <v>4554</v>
      </c>
      <c r="AK169" s="37" t="s">
        <v>58</v>
      </c>
      <c r="AL169" s="37">
        <v>79.900000000000006</v>
      </c>
      <c r="AM169" t="s">
        <v>5520</v>
      </c>
      <c r="AN169" s="74" t="s">
        <v>5632</v>
      </c>
    </row>
    <row r="170" spans="1:40" s="37" customFormat="1" ht="14.25" customHeight="1" x14ac:dyDescent="0.3">
      <c r="A170" s="37" t="s">
        <v>958</v>
      </c>
      <c r="B170" s="37" t="s">
        <v>4737</v>
      </c>
      <c r="C170" s="37" t="s">
        <v>960</v>
      </c>
      <c r="D170" s="37" t="s">
        <v>4807</v>
      </c>
      <c r="E170" s="39" t="s">
        <v>4853</v>
      </c>
      <c r="F170" s="37" t="s">
        <v>1725</v>
      </c>
      <c r="G170" s="44" t="s">
        <v>42</v>
      </c>
      <c r="H170" s="44" t="s">
        <v>43</v>
      </c>
      <c r="I170" s="44" t="s">
        <v>44</v>
      </c>
      <c r="J170" s="37" t="s">
        <v>4400</v>
      </c>
      <c r="K170" s="37" t="s">
        <v>106</v>
      </c>
      <c r="L170" s="37" t="s">
        <v>132</v>
      </c>
      <c r="M170" s="37" t="s">
        <v>48</v>
      </c>
      <c r="N170" s="46" t="s">
        <v>4874</v>
      </c>
      <c r="O170" s="76" t="s">
        <v>61</v>
      </c>
      <c r="P170" s="37" t="s">
        <v>4533</v>
      </c>
      <c r="Q170" s="37" t="s">
        <v>68</v>
      </c>
      <c r="R170" s="48" t="s">
        <v>4415</v>
      </c>
      <c r="S170" s="37" t="s">
        <v>52</v>
      </c>
      <c r="T170" s="37" t="s">
        <v>4531</v>
      </c>
      <c r="U170" s="37" t="s">
        <v>4532</v>
      </c>
      <c r="V170" s="45"/>
      <c r="W170" s="45"/>
      <c r="X170" s="45"/>
      <c r="Y170" s="45"/>
      <c r="Z170" s="37" t="s">
        <v>1728</v>
      </c>
      <c r="AA170" s="37" t="s">
        <v>88</v>
      </c>
      <c r="AB170" s="37" t="s">
        <v>57</v>
      </c>
      <c r="AD170" s="37">
        <v>30.78</v>
      </c>
      <c r="AE170" s="37">
        <v>30.78</v>
      </c>
      <c r="AG170" s="47" t="s">
        <v>4557</v>
      </c>
      <c r="AH170" s="47" t="s">
        <v>4554</v>
      </c>
      <c r="AK170" s="37" t="s">
        <v>58</v>
      </c>
      <c r="AL170" s="37">
        <v>79.900000000000006</v>
      </c>
      <c r="AM170" t="s">
        <v>5520</v>
      </c>
      <c r="AN170" s="74" t="s">
        <v>5632</v>
      </c>
    </row>
    <row r="171" spans="1:40" s="37" customFormat="1" ht="14.25" customHeight="1" x14ac:dyDescent="0.3">
      <c r="A171" s="37" t="s">
        <v>4955</v>
      </c>
      <c r="B171" s="37" t="s">
        <v>4931</v>
      </c>
      <c r="C171" s="94" t="s">
        <v>4956</v>
      </c>
      <c r="D171" s="37" t="s">
        <v>4957</v>
      </c>
      <c r="E171" s="39" t="s">
        <v>4928</v>
      </c>
      <c r="F171" s="37" t="s">
        <v>1725</v>
      </c>
      <c r="G171" s="44" t="s">
        <v>42</v>
      </c>
      <c r="H171" s="44" t="s">
        <v>43</v>
      </c>
      <c r="I171" s="44" t="s">
        <v>44</v>
      </c>
      <c r="J171" s="37" t="s">
        <v>4400</v>
      </c>
      <c r="K171" s="37" t="s">
        <v>106</v>
      </c>
      <c r="L171" s="97" t="s">
        <v>4981</v>
      </c>
      <c r="M171" s="37" t="s">
        <v>48</v>
      </c>
      <c r="N171" s="96" t="s">
        <v>4985</v>
      </c>
      <c r="O171" s="77" t="s">
        <v>64</v>
      </c>
      <c r="P171" s="94" t="s">
        <v>4533</v>
      </c>
      <c r="Q171" s="94" t="s">
        <v>68</v>
      </c>
      <c r="R171" s="96">
        <v>26</v>
      </c>
      <c r="S171" s="37" t="s">
        <v>52</v>
      </c>
      <c r="T171" s="37" t="s">
        <v>4531</v>
      </c>
      <c r="U171" s="37" t="s">
        <v>4532</v>
      </c>
      <c r="V171" s="45"/>
      <c r="W171" s="45"/>
      <c r="X171" s="45"/>
      <c r="Y171" s="45"/>
      <c r="Z171" s="37" t="s">
        <v>1728</v>
      </c>
      <c r="AA171" s="37" t="s">
        <v>88</v>
      </c>
      <c r="AB171" s="37" t="s">
        <v>57</v>
      </c>
      <c r="AD171" s="37">
        <v>20.5</v>
      </c>
      <c r="AE171" s="37">
        <v>20.5</v>
      </c>
      <c r="AG171" s="37">
        <v>1.04</v>
      </c>
      <c r="AH171" s="37">
        <v>62.4</v>
      </c>
      <c r="AK171" s="37" t="s">
        <v>58</v>
      </c>
      <c r="AL171" s="37">
        <v>49.9</v>
      </c>
      <c r="AM171" t="s">
        <v>5520</v>
      </c>
      <c r="AN171" s="74" t="s">
        <v>5628</v>
      </c>
    </row>
    <row r="172" spans="1:40" s="37" customFormat="1" ht="14.25" customHeight="1" x14ac:dyDescent="0.3">
      <c r="A172" s="37" t="s">
        <v>4955</v>
      </c>
      <c r="B172" s="37" t="s">
        <v>4932</v>
      </c>
      <c r="C172" s="94" t="s">
        <v>4956</v>
      </c>
      <c r="D172" s="37" t="s">
        <v>4958</v>
      </c>
      <c r="E172" s="39" t="s">
        <v>4928</v>
      </c>
      <c r="F172" s="37" t="s">
        <v>1725</v>
      </c>
      <c r="G172" s="44" t="s">
        <v>42</v>
      </c>
      <c r="H172" s="44" t="s">
        <v>43</v>
      </c>
      <c r="I172" s="44" t="s">
        <v>44</v>
      </c>
      <c r="J172" s="37" t="s">
        <v>4400</v>
      </c>
      <c r="K172" s="37" t="s">
        <v>106</v>
      </c>
      <c r="L172" s="97" t="s">
        <v>4981</v>
      </c>
      <c r="M172" s="37" t="s">
        <v>48</v>
      </c>
      <c r="N172" s="96" t="s">
        <v>4986</v>
      </c>
      <c r="O172" s="77" t="s">
        <v>61</v>
      </c>
      <c r="P172" s="94" t="s">
        <v>4533</v>
      </c>
      <c r="Q172" s="94" t="s">
        <v>68</v>
      </c>
      <c r="R172" s="96">
        <v>26</v>
      </c>
      <c r="S172" s="37" t="s">
        <v>52</v>
      </c>
      <c r="T172" s="37" t="s">
        <v>4531</v>
      </c>
      <c r="U172" s="37" t="s">
        <v>4532</v>
      </c>
      <c r="V172" s="45"/>
      <c r="W172" s="45"/>
      <c r="X172" s="45"/>
      <c r="Y172" s="45"/>
      <c r="Z172" s="37" t="s">
        <v>1728</v>
      </c>
      <c r="AA172" s="37" t="s">
        <v>88</v>
      </c>
      <c r="AB172" s="37" t="s">
        <v>57</v>
      </c>
      <c r="AD172" s="37">
        <v>20.5</v>
      </c>
      <c r="AE172" s="37">
        <v>20.5</v>
      </c>
      <c r="AG172" s="37">
        <v>1.04</v>
      </c>
      <c r="AH172" s="37">
        <v>62.4</v>
      </c>
      <c r="AK172" s="37" t="s">
        <v>58</v>
      </c>
      <c r="AL172" s="37">
        <v>49.9</v>
      </c>
      <c r="AM172" t="s">
        <v>5520</v>
      </c>
      <c r="AN172" s="74" t="s">
        <v>5628</v>
      </c>
    </row>
    <row r="173" spans="1:40" s="37" customFormat="1" ht="14.25" customHeight="1" x14ac:dyDescent="0.3">
      <c r="A173" s="37" t="s">
        <v>4955</v>
      </c>
      <c r="B173" s="37" t="s">
        <v>4933</v>
      </c>
      <c r="C173" s="94" t="s">
        <v>4956</v>
      </c>
      <c r="D173" s="37" t="s">
        <v>4959</v>
      </c>
      <c r="E173" s="39" t="s">
        <v>4928</v>
      </c>
      <c r="F173" s="37" t="s">
        <v>1725</v>
      </c>
      <c r="G173" s="44" t="s">
        <v>42</v>
      </c>
      <c r="H173" s="44" t="s">
        <v>43</v>
      </c>
      <c r="I173" s="44" t="s">
        <v>44</v>
      </c>
      <c r="J173" s="37" t="s">
        <v>4400</v>
      </c>
      <c r="K173" s="37" t="s">
        <v>106</v>
      </c>
      <c r="L173" s="97" t="s">
        <v>4981</v>
      </c>
      <c r="M173" s="37" t="s">
        <v>48</v>
      </c>
      <c r="N173" s="96" t="s">
        <v>4987</v>
      </c>
      <c r="O173" s="77" t="s">
        <v>586</v>
      </c>
      <c r="P173" s="94" t="s">
        <v>4533</v>
      </c>
      <c r="Q173" s="94" t="s">
        <v>68</v>
      </c>
      <c r="R173" s="96">
        <v>26</v>
      </c>
      <c r="S173" s="37" t="s">
        <v>52</v>
      </c>
      <c r="T173" s="37" t="s">
        <v>4531</v>
      </c>
      <c r="U173" s="37" t="s">
        <v>4532</v>
      </c>
      <c r="V173" s="45"/>
      <c r="W173" s="45"/>
      <c r="X173" s="45"/>
      <c r="Y173" s="45"/>
      <c r="Z173" s="37" t="s">
        <v>1728</v>
      </c>
      <c r="AA173" s="37" t="s">
        <v>88</v>
      </c>
      <c r="AB173" s="37" t="s">
        <v>57</v>
      </c>
      <c r="AD173" s="37">
        <v>19</v>
      </c>
      <c r="AE173" s="37">
        <v>19</v>
      </c>
      <c r="AG173" s="37">
        <v>1.04</v>
      </c>
      <c r="AH173" s="37">
        <v>62.4</v>
      </c>
      <c r="AK173" s="37" t="s">
        <v>58</v>
      </c>
      <c r="AL173" s="37">
        <v>49.9</v>
      </c>
      <c r="AM173" t="s">
        <v>5520</v>
      </c>
      <c r="AN173" s="74" t="s">
        <v>5628</v>
      </c>
    </row>
    <row r="174" spans="1:40" s="37" customFormat="1" ht="14.25" customHeight="1" x14ac:dyDescent="0.3">
      <c r="A174" s="37" t="s">
        <v>4955</v>
      </c>
      <c r="B174" s="37" t="s">
        <v>4934</v>
      </c>
      <c r="C174" s="94" t="s">
        <v>4956</v>
      </c>
      <c r="D174" s="37" t="s">
        <v>4960</v>
      </c>
      <c r="E174" s="39" t="s">
        <v>4928</v>
      </c>
      <c r="F174" s="37" t="s">
        <v>1725</v>
      </c>
      <c r="G174" s="44" t="s">
        <v>42</v>
      </c>
      <c r="H174" s="44" t="s">
        <v>43</v>
      </c>
      <c r="I174" s="44" t="s">
        <v>44</v>
      </c>
      <c r="J174" s="37" t="s">
        <v>4400</v>
      </c>
      <c r="K174" s="37" t="s">
        <v>106</v>
      </c>
      <c r="L174" s="97" t="s">
        <v>4981</v>
      </c>
      <c r="M174" s="37" t="s">
        <v>48</v>
      </c>
      <c r="N174" s="96" t="s">
        <v>4988</v>
      </c>
      <c r="O174" s="77" t="s">
        <v>61</v>
      </c>
      <c r="P174" s="94" t="s">
        <v>4533</v>
      </c>
      <c r="Q174" s="94" t="s">
        <v>68</v>
      </c>
      <c r="R174" s="96">
        <v>26</v>
      </c>
      <c r="S174" s="37" t="s">
        <v>52</v>
      </c>
      <c r="T174" s="37" t="s">
        <v>4531</v>
      </c>
      <c r="U174" s="37" t="s">
        <v>4532</v>
      </c>
      <c r="V174" s="45"/>
      <c r="W174" s="45"/>
      <c r="X174" s="45"/>
      <c r="Y174" s="45"/>
      <c r="Z174" s="37" t="s">
        <v>1728</v>
      </c>
      <c r="AA174" s="37" t="s">
        <v>88</v>
      </c>
      <c r="AB174" s="37" t="s">
        <v>57</v>
      </c>
      <c r="AD174" s="37">
        <v>20</v>
      </c>
      <c r="AE174" s="37">
        <v>20</v>
      </c>
      <c r="AG174" s="37">
        <v>1.04</v>
      </c>
      <c r="AH174" s="37">
        <v>62.4</v>
      </c>
      <c r="AK174" s="37" t="s">
        <v>58</v>
      </c>
      <c r="AL174" s="37">
        <v>49.9</v>
      </c>
      <c r="AM174" t="s">
        <v>5520</v>
      </c>
      <c r="AN174" s="74" t="s">
        <v>5628</v>
      </c>
    </row>
    <row r="175" spans="1:40" s="37" customFormat="1" ht="14.25" customHeight="1" x14ac:dyDescent="0.3">
      <c r="A175" s="37" t="s">
        <v>4955</v>
      </c>
      <c r="B175" s="37" t="s">
        <v>4935</v>
      </c>
      <c r="C175" s="94" t="s">
        <v>4956</v>
      </c>
      <c r="D175" s="37" t="s">
        <v>4961</v>
      </c>
      <c r="E175" s="39" t="s">
        <v>4928</v>
      </c>
      <c r="F175" s="37" t="s">
        <v>1725</v>
      </c>
      <c r="G175" s="44" t="s">
        <v>42</v>
      </c>
      <c r="H175" s="44" t="s">
        <v>43</v>
      </c>
      <c r="I175" s="44" t="s">
        <v>44</v>
      </c>
      <c r="J175" s="37" t="s">
        <v>4400</v>
      </c>
      <c r="K175" s="37" t="s">
        <v>106</v>
      </c>
      <c r="L175" s="97" t="s">
        <v>4982</v>
      </c>
      <c r="M175" s="37" t="s">
        <v>48</v>
      </c>
      <c r="N175" s="96" t="s">
        <v>4985</v>
      </c>
      <c r="O175" s="77" t="s">
        <v>64</v>
      </c>
      <c r="P175" s="94" t="s">
        <v>4533</v>
      </c>
      <c r="Q175" s="37" t="s">
        <v>51</v>
      </c>
      <c r="R175" s="96">
        <v>13</v>
      </c>
      <c r="S175" s="37" t="s">
        <v>52</v>
      </c>
      <c r="T175" s="37" t="s">
        <v>4531</v>
      </c>
      <c r="U175" s="37" t="s">
        <v>4532</v>
      </c>
      <c r="V175" s="45"/>
      <c r="W175" s="45"/>
      <c r="X175" s="45"/>
      <c r="Y175" s="45"/>
      <c r="Z175" s="37" t="s">
        <v>1728</v>
      </c>
      <c r="AA175" s="37" t="s">
        <v>88</v>
      </c>
      <c r="AB175" s="37" t="s">
        <v>57</v>
      </c>
      <c r="AD175" s="37">
        <v>20.5</v>
      </c>
      <c r="AE175" s="37">
        <v>20.5</v>
      </c>
      <c r="AG175" s="37">
        <v>1.04</v>
      </c>
      <c r="AH175" s="37">
        <v>46.8</v>
      </c>
      <c r="AK175" s="37" t="s">
        <v>58</v>
      </c>
      <c r="AL175" s="37">
        <v>49.9</v>
      </c>
      <c r="AM175" t="s">
        <v>5520</v>
      </c>
      <c r="AN175" s="74" t="s">
        <v>5628</v>
      </c>
    </row>
    <row r="176" spans="1:40" s="37" customFormat="1" ht="14.25" customHeight="1" x14ac:dyDescent="0.3">
      <c r="A176" s="37" t="s">
        <v>4955</v>
      </c>
      <c r="B176" s="37" t="s">
        <v>4936</v>
      </c>
      <c r="C176" s="94" t="s">
        <v>4956</v>
      </c>
      <c r="D176" s="37" t="s">
        <v>4962</v>
      </c>
      <c r="E176" s="39" t="s">
        <v>4928</v>
      </c>
      <c r="F176" s="37" t="s">
        <v>1725</v>
      </c>
      <c r="G176" s="44" t="s">
        <v>42</v>
      </c>
      <c r="H176" s="44" t="s">
        <v>43</v>
      </c>
      <c r="I176" s="44" t="s">
        <v>44</v>
      </c>
      <c r="J176" s="37" t="s">
        <v>4400</v>
      </c>
      <c r="K176" s="37" t="s">
        <v>106</v>
      </c>
      <c r="L176" s="97" t="s">
        <v>4982</v>
      </c>
      <c r="M176" s="37" t="s">
        <v>48</v>
      </c>
      <c r="N176" s="96" t="s">
        <v>4986</v>
      </c>
      <c r="O176" s="77" t="s">
        <v>61</v>
      </c>
      <c r="P176" s="94" t="s">
        <v>4533</v>
      </c>
      <c r="Q176" s="37" t="s">
        <v>51</v>
      </c>
      <c r="R176" s="96">
        <v>13</v>
      </c>
      <c r="S176" s="37" t="s">
        <v>52</v>
      </c>
      <c r="T176" s="37" t="s">
        <v>4531</v>
      </c>
      <c r="U176" s="37" t="s">
        <v>4532</v>
      </c>
      <c r="V176" s="45"/>
      <c r="W176" s="45"/>
      <c r="X176" s="45"/>
      <c r="Y176" s="45"/>
      <c r="Z176" s="37" t="s">
        <v>1728</v>
      </c>
      <c r="AA176" s="37" t="s">
        <v>88</v>
      </c>
      <c r="AB176" s="37" t="s">
        <v>57</v>
      </c>
      <c r="AD176" s="37">
        <v>20</v>
      </c>
      <c r="AE176" s="37">
        <v>20</v>
      </c>
      <c r="AG176" s="37">
        <v>1.04</v>
      </c>
      <c r="AH176" s="37">
        <v>46.8</v>
      </c>
      <c r="AK176" s="37" t="s">
        <v>58</v>
      </c>
      <c r="AL176" s="37">
        <v>49.9</v>
      </c>
      <c r="AM176" t="s">
        <v>5520</v>
      </c>
      <c r="AN176" s="74" t="s">
        <v>5628</v>
      </c>
    </row>
    <row r="177" spans="1:40" s="37" customFormat="1" ht="14.25" customHeight="1" x14ac:dyDescent="0.3">
      <c r="A177" s="37" t="s">
        <v>4955</v>
      </c>
      <c r="B177" s="37" t="s">
        <v>4937</v>
      </c>
      <c r="C177" s="94" t="s">
        <v>4956</v>
      </c>
      <c r="D177" s="37" t="s">
        <v>4963</v>
      </c>
      <c r="E177" s="39" t="s">
        <v>4928</v>
      </c>
      <c r="F177" s="37" t="s">
        <v>1725</v>
      </c>
      <c r="G177" s="44" t="s">
        <v>42</v>
      </c>
      <c r="H177" s="44" t="s">
        <v>43</v>
      </c>
      <c r="I177" s="44" t="s">
        <v>44</v>
      </c>
      <c r="J177" s="37" t="s">
        <v>4400</v>
      </c>
      <c r="K177" s="37" t="s">
        <v>106</v>
      </c>
      <c r="L177" s="97" t="s">
        <v>4982</v>
      </c>
      <c r="M177" s="37" t="s">
        <v>48</v>
      </c>
      <c r="N177" s="96" t="s">
        <v>4987</v>
      </c>
      <c r="O177" s="77" t="s">
        <v>586</v>
      </c>
      <c r="P177" s="94" t="s">
        <v>4533</v>
      </c>
      <c r="Q177" s="37" t="s">
        <v>51</v>
      </c>
      <c r="R177" s="96">
        <v>13</v>
      </c>
      <c r="S177" s="37" t="s">
        <v>52</v>
      </c>
      <c r="T177" s="37" t="s">
        <v>4531</v>
      </c>
      <c r="U177" s="37" t="s">
        <v>4532</v>
      </c>
      <c r="V177" s="45"/>
      <c r="W177" s="45"/>
      <c r="X177" s="45"/>
      <c r="Y177" s="45"/>
      <c r="Z177" s="37" t="s">
        <v>1728</v>
      </c>
      <c r="AA177" s="37" t="s">
        <v>88</v>
      </c>
      <c r="AB177" s="37" t="s">
        <v>57</v>
      </c>
      <c r="AD177" s="37">
        <v>19.5</v>
      </c>
      <c r="AE177" s="37">
        <v>19.5</v>
      </c>
      <c r="AG177" s="37">
        <v>1.04</v>
      </c>
      <c r="AH177" s="37">
        <v>46.8</v>
      </c>
      <c r="AK177" s="37" t="s">
        <v>58</v>
      </c>
      <c r="AL177" s="37">
        <v>49.9</v>
      </c>
      <c r="AM177" t="s">
        <v>5520</v>
      </c>
      <c r="AN177" s="74" t="s">
        <v>5628</v>
      </c>
    </row>
    <row r="178" spans="1:40" s="37" customFormat="1" ht="14.25" customHeight="1" x14ac:dyDescent="0.3">
      <c r="A178" s="37" t="s">
        <v>4955</v>
      </c>
      <c r="B178" s="37" t="s">
        <v>4938</v>
      </c>
      <c r="C178" s="94" t="s">
        <v>4956</v>
      </c>
      <c r="D178" s="37" t="s">
        <v>4964</v>
      </c>
      <c r="E178" s="39" t="s">
        <v>4928</v>
      </c>
      <c r="F178" s="37" t="s">
        <v>1725</v>
      </c>
      <c r="G178" s="44" t="s">
        <v>42</v>
      </c>
      <c r="H178" s="44" t="s">
        <v>43</v>
      </c>
      <c r="I178" s="44" t="s">
        <v>44</v>
      </c>
      <c r="J178" s="37" t="s">
        <v>4400</v>
      </c>
      <c r="K178" s="37" t="s">
        <v>106</v>
      </c>
      <c r="L178" s="97" t="s">
        <v>4982</v>
      </c>
      <c r="M178" s="37" t="s">
        <v>48</v>
      </c>
      <c r="N178" s="96" t="s">
        <v>4988</v>
      </c>
      <c r="O178" s="77" t="s">
        <v>61</v>
      </c>
      <c r="P178" s="94" t="s">
        <v>4533</v>
      </c>
      <c r="Q178" s="37" t="s">
        <v>51</v>
      </c>
      <c r="R178" s="96">
        <v>13</v>
      </c>
      <c r="S178" s="37" t="s">
        <v>52</v>
      </c>
      <c r="T178" s="37" t="s">
        <v>4531</v>
      </c>
      <c r="U178" s="37" t="s">
        <v>4532</v>
      </c>
      <c r="V178" s="45"/>
      <c r="W178" s="45"/>
      <c r="X178" s="45"/>
      <c r="Y178" s="45"/>
      <c r="Z178" s="37" t="s">
        <v>1728</v>
      </c>
      <c r="AA178" s="37" t="s">
        <v>88</v>
      </c>
      <c r="AB178" s="37" t="s">
        <v>57</v>
      </c>
      <c r="AD178" s="37">
        <v>20.5</v>
      </c>
      <c r="AE178" s="37">
        <v>20.5</v>
      </c>
      <c r="AG178" s="37">
        <v>1.04</v>
      </c>
      <c r="AH178" s="37">
        <v>46.8</v>
      </c>
      <c r="AK178" s="37" t="s">
        <v>58</v>
      </c>
      <c r="AL178" s="37">
        <v>49.9</v>
      </c>
      <c r="AM178" t="s">
        <v>5520</v>
      </c>
      <c r="AN178" s="74" t="s">
        <v>5628</v>
      </c>
    </row>
    <row r="179" spans="1:40" s="37" customFormat="1" ht="14.25" customHeight="1" x14ac:dyDescent="0.3">
      <c r="A179" s="37" t="s">
        <v>4955</v>
      </c>
      <c r="B179" s="37" t="s">
        <v>4939</v>
      </c>
      <c r="C179" s="94" t="s">
        <v>4956</v>
      </c>
      <c r="D179" s="37" t="s">
        <v>4965</v>
      </c>
      <c r="E179" s="39" t="s">
        <v>4928</v>
      </c>
      <c r="F179" s="37" t="s">
        <v>1725</v>
      </c>
      <c r="G179" s="44" t="s">
        <v>42</v>
      </c>
      <c r="H179" s="44" t="s">
        <v>43</v>
      </c>
      <c r="I179" s="44" t="s">
        <v>44</v>
      </c>
      <c r="J179" s="37" t="s">
        <v>4400</v>
      </c>
      <c r="K179" s="37" t="s">
        <v>106</v>
      </c>
      <c r="L179" s="94" t="s">
        <v>4983</v>
      </c>
      <c r="M179" s="37" t="s">
        <v>48</v>
      </c>
      <c r="N179" s="96" t="s">
        <v>4985</v>
      </c>
      <c r="O179" s="77" t="s">
        <v>64</v>
      </c>
      <c r="P179" s="94" t="s">
        <v>4533</v>
      </c>
      <c r="Q179" s="94" t="s">
        <v>68</v>
      </c>
      <c r="R179" s="96">
        <v>7</v>
      </c>
      <c r="S179" s="37" t="s">
        <v>52</v>
      </c>
      <c r="T179" s="37" t="s">
        <v>4531</v>
      </c>
      <c r="U179" s="37" t="s">
        <v>4532</v>
      </c>
      <c r="V179" s="45"/>
      <c r="W179" s="45"/>
      <c r="X179" s="45"/>
      <c r="Y179" s="45"/>
      <c r="Z179" s="37" t="s">
        <v>1728</v>
      </c>
      <c r="AA179" s="37" t="s">
        <v>88</v>
      </c>
      <c r="AB179" s="37" t="s">
        <v>57</v>
      </c>
      <c r="AD179" s="37">
        <v>21</v>
      </c>
      <c r="AE179" s="37">
        <v>21</v>
      </c>
      <c r="AG179" s="37">
        <v>1.1200000000000001</v>
      </c>
      <c r="AH179" s="37">
        <v>58.24</v>
      </c>
      <c r="AK179" s="37" t="s">
        <v>58</v>
      </c>
      <c r="AL179" s="37">
        <v>49.9</v>
      </c>
      <c r="AM179" t="s">
        <v>5520</v>
      </c>
      <c r="AN179" s="74" t="s">
        <v>5628</v>
      </c>
    </row>
    <row r="180" spans="1:40" s="37" customFormat="1" ht="14.25" customHeight="1" x14ac:dyDescent="0.3">
      <c r="A180" s="37" t="s">
        <v>4955</v>
      </c>
      <c r="B180" s="37" t="s">
        <v>4940</v>
      </c>
      <c r="C180" s="94" t="s">
        <v>4956</v>
      </c>
      <c r="D180" s="37" t="s">
        <v>4966</v>
      </c>
      <c r="E180" s="39" t="s">
        <v>4928</v>
      </c>
      <c r="F180" s="37" t="s">
        <v>1725</v>
      </c>
      <c r="G180" s="44" t="s">
        <v>42</v>
      </c>
      <c r="H180" s="44" t="s">
        <v>43</v>
      </c>
      <c r="I180" s="44" t="s">
        <v>44</v>
      </c>
      <c r="J180" s="37" t="s">
        <v>4400</v>
      </c>
      <c r="K180" s="37" t="s">
        <v>106</v>
      </c>
      <c r="L180" s="94" t="s">
        <v>4983</v>
      </c>
      <c r="M180" s="37" t="s">
        <v>48</v>
      </c>
      <c r="N180" s="96" t="s">
        <v>4986</v>
      </c>
      <c r="O180" s="77" t="s">
        <v>61</v>
      </c>
      <c r="P180" s="94" t="s">
        <v>4533</v>
      </c>
      <c r="Q180" s="94" t="s">
        <v>68</v>
      </c>
      <c r="R180" s="96">
        <v>7</v>
      </c>
      <c r="S180" s="37" t="s">
        <v>52</v>
      </c>
      <c r="T180" s="37" t="s">
        <v>4531</v>
      </c>
      <c r="U180" s="37" t="s">
        <v>4532</v>
      </c>
      <c r="V180" s="45"/>
      <c r="W180" s="45"/>
      <c r="X180" s="45"/>
      <c r="Y180" s="45"/>
      <c r="Z180" s="37" t="s">
        <v>1728</v>
      </c>
      <c r="AA180" s="37" t="s">
        <v>88</v>
      </c>
      <c r="AB180" s="37" t="s">
        <v>57</v>
      </c>
      <c r="AD180" s="37">
        <v>20</v>
      </c>
      <c r="AE180" s="37">
        <v>20</v>
      </c>
      <c r="AG180" s="37">
        <v>1.1200000000000001</v>
      </c>
      <c r="AH180" s="37">
        <v>58.24</v>
      </c>
      <c r="AK180" s="37" t="s">
        <v>58</v>
      </c>
      <c r="AL180" s="37">
        <v>49.9</v>
      </c>
      <c r="AM180" t="s">
        <v>5520</v>
      </c>
      <c r="AN180" s="74" t="s">
        <v>5628</v>
      </c>
    </row>
    <row r="181" spans="1:40" s="37" customFormat="1" ht="14.25" customHeight="1" x14ac:dyDescent="0.3">
      <c r="A181" s="37" t="s">
        <v>4955</v>
      </c>
      <c r="B181" s="37" t="s">
        <v>4941</v>
      </c>
      <c r="C181" s="94" t="s">
        <v>4956</v>
      </c>
      <c r="D181" s="37" t="s">
        <v>4967</v>
      </c>
      <c r="E181" s="39" t="s">
        <v>4928</v>
      </c>
      <c r="F181" s="37" t="s">
        <v>1725</v>
      </c>
      <c r="G181" s="44" t="s">
        <v>42</v>
      </c>
      <c r="H181" s="44" t="s">
        <v>43</v>
      </c>
      <c r="I181" s="44" t="s">
        <v>44</v>
      </c>
      <c r="J181" s="37" t="s">
        <v>4400</v>
      </c>
      <c r="K181" s="37" t="s">
        <v>106</v>
      </c>
      <c r="L181" s="94" t="s">
        <v>4983</v>
      </c>
      <c r="M181" s="37" t="s">
        <v>48</v>
      </c>
      <c r="N181" s="96" t="s">
        <v>4987</v>
      </c>
      <c r="O181" s="77" t="s">
        <v>586</v>
      </c>
      <c r="P181" s="94" t="s">
        <v>4533</v>
      </c>
      <c r="Q181" s="94" t="s">
        <v>68</v>
      </c>
      <c r="R181" s="96">
        <v>7</v>
      </c>
      <c r="S181" s="37" t="s">
        <v>52</v>
      </c>
      <c r="T181" s="37" t="s">
        <v>4531</v>
      </c>
      <c r="U181" s="37" t="s">
        <v>4532</v>
      </c>
      <c r="V181" s="45"/>
      <c r="W181" s="45"/>
      <c r="X181" s="45"/>
      <c r="Y181" s="45"/>
      <c r="Z181" s="37" t="s">
        <v>1728</v>
      </c>
      <c r="AA181" s="37" t="s">
        <v>88</v>
      </c>
      <c r="AB181" s="37" t="s">
        <v>57</v>
      </c>
      <c r="AD181" s="37">
        <v>20.5</v>
      </c>
      <c r="AE181" s="37">
        <v>20.5</v>
      </c>
      <c r="AG181" s="37">
        <v>1.1200000000000001</v>
      </c>
      <c r="AH181" s="37">
        <v>58.24</v>
      </c>
      <c r="AK181" s="37" t="s">
        <v>58</v>
      </c>
      <c r="AL181" s="37">
        <v>49.9</v>
      </c>
      <c r="AM181" t="s">
        <v>5520</v>
      </c>
      <c r="AN181" s="74" t="s">
        <v>5628</v>
      </c>
    </row>
    <row r="182" spans="1:40" s="37" customFormat="1" ht="14.25" customHeight="1" x14ac:dyDescent="0.3">
      <c r="A182" s="37" t="s">
        <v>4955</v>
      </c>
      <c r="B182" s="37" t="s">
        <v>4942</v>
      </c>
      <c r="C182" s="94" t="s">
        <v>4956</v>
      </c>
      <c r="D182" s="37" t="s">
        <v>4968</v>
      </c>
      <c r="E182" s="39" t="s">
        <v>4928</v>
      </c>
      <c r="F182" s="37" t="s">
        <v>1725</v>
      </c>
      <c r="G182" s="44" t="s">
        <v>42</v>
      </c>
      <c r="H182" s="44" t="s">
        <v>43</v>
      </c>
      <c r="I182" s="44" t="s">
        <v>44</v>
      </c>
      <c r="J182" s="37" t="s">
        <v>4400</v>
      </c>
      <c r="K182" s="37" t="s">
        <v>106</v>
      </c>
      <c r="L182" s="94" t="s">
        <v>4983</v>
      </c>
      <c r="M182" s="37" t="s">
        <v>48</v>
      </c>
      <c r="N182" s="96" t="s">
        <v>4988</v>
      </c>
      <c r="O182" s="77" t="s">
        <v>61</v>
      </c>
      <c r="P182" s="94" t="s">
        <v>4533</v>
      </c>
      <c r="Q182" s="94" t="s">
        <v>68</v>
      </c>
      <c r="R182" s="96">
        <v>7</v>
      </c>
      <c r="S182" s="37" t="s">
        <v>52</v>
      </c>
      <c r="T182" s="37" t="s">
        <v>4531</v>
      </c>
      <c r="U182" s="37" t="s">
        <v>4532</v>
      </c>
      <c r="V182" s="45"/>
      <c r="W182" s="45"/>
      <c r="X182" s="45"/>
      <c r="Y182" s="45"/>
      <c r="Z182" s="37" t="s">
        <v>1728</v>
      </c>
      <c r="AA182" s="37" t="s">
        <v>88</v>
      </c>
      <c r="AB182" s="37" t="s">
        <v>57</v>
      </c>
      <c r="AD182" s="37">
        <v>21</v>
      </c>
      <c r="AE182" s="37">
        <v>21</v>
      </c>
      <c r="AG182" s="37">
        <v>1.1200000000000001</v>
      </c>
      <c r="AH182" s="37">
        <v>58.24</v>
      </c>
      <c r="AK182" s="37" t="s">
        <v>58</v>
      </c>
      <c r="AL182" s="37">
        <v>49.9</v>
      </c>
      <c r="AM182" t="s">
        <v>5520</v>
      </c>
      <c r="AN182" s="74" t="s">
        <v>5628</v>
      </c>
    </row>
    <row r="183" spans="1:40" s="37" customFormat="1" ht="14.25" customHeight="1" x14ac:dyDescent="0.3">
      <c r="A183" s="37" t="s">
        <v>4955</v>
      </c>
      <c r="B183" s="37" t="s">
        <v>4943</v>
      </c>
      <c r="C183" s="94" t="s">
        <v>4956</v>
      </c>
      <c r="D183" s="37" t="s">
        <v>4969</v>
      </c>
      <c r="E183" s="39" t="s">
        <v>4928</v>
      </c>
      <c r="F183" s="37" t="s">
        <v>1725</v>
      </c>
      <c r="G183" s="44" t="s">
        <v>42</v>
      </c>
      <c r="H183" s="44" t="s">
        <v>43</v>
      </c>
      <c r="I183" s="44" t="s">
        <v>44</v>
      </c>
      <c r="J183" s="37" t="s">
        <v>4400</v>
      </c>
      <c r="K183" s="37" t="s">
        <v>106</v>
      </c>
      <c r="L183" s="94" t="s">
        <v>4984</v>
      </c>
      <c r="M183" s="37" t="s">
        <v>48</v>
      </c>
      <c r="N183" s="96" t="s">
        <v>4985</v>
      </c>
      <c r="O183" s="77" t="s">
        <v>64</v>
      </c>
      <c r="P183" s="94" t="s">
        <v>4533</v>
      </c>
      <c r="Q183" s="37" t="s">
        <v>51</v>
      </c>
      <c r="R183" s="96">
        <v>4</v>
      </c>
      <c r="S183" s="37" t="s">
        <v>52</v>
      </c>
      <c r="T183" s="37" t="s">
        <v>4531</v>
      </c>
      <c r="U183" s="37" t="s">
        <v>4532</v>
      </c>
      <c r="V183" s="45"/>
      <c r="W183" s="45"/>
      <c r="X183" s="45"/>
      <c r="Y183" s="45"/>
      <c r="Z183" s="37" t="s">
        <v>1728</v>
      </c>
      <c r="AA183" s="37" t="s">
        <v>88</v>
      </c>
      <c r="AB183" s="37" t="s">
        <v>57</v>
      </c>
      <c r="AD183" s="37">
        <v>19</v>
      </c>
      <c r="AE183" s="37">
        <v>19</v>
      </c>
      <c r="AG183" s="37">
        <v>0.96</v>
      </c>
      <c r="AH183" s="37">
        <v>57.6</v>
      </c>
      <c r="AK183" s="37" t="s">
        <v>58</v>
      </c>
      <c r="AL183" s="37">
        <v>49.9</v>
      </c>
      <c r="AM183" t="s">
        <v>5520</v>
      </c>
      <c r="AN183" s="74" t="s">
        <v>5628</v>
      </c>
    </row>
    <row r="184" spans="1:40" s="37" customFormat="1" ht="14.25" customHeight="1" x14ac:dyDescent="0.3">
      <c r="A184" s="37" t="s">
        <v>4955</v>
      </c>
      <c r="B184" s="37" t="s">
        <v>4944</v>
      </c>
      <c r="C184" s="94" t="s">
        <v>4956</v>
      </c>
      <c r="D184" s="37" t="s">
        <v>4970</v>
      </c>
      <c r="E184" s="39" t="s">
        <v>4928</v>
      </c>
      <c r="F184" s="37" t="s">
        <v>1725</v>
      </c>
      <c r="G184" s="44" t="s">
        <v>42</v>
      </c>
      <c r="H184" s="44" t="s">
        <v>43</v>
      </c>
      <c r="I184" s="44" t="s">
        <v>44</v>
      </c>
      <c r="J184" s="37" t="s">
        <v>4400</v>
      </c>
      <c r="K184" s="37" t="s">
        <v>106</v>
      </c>
      <c r="L184" s="94" t="s">
        <v>4984</v>
      </c>
      <c r="M184" s="37" t="s">
        <v>48</v>
      </c>
      <c r="N184" s="96" t="s">
        <v>4986</v>
      </c>
      <c r="O184" s="77" t="s">
        <v>61</v>
      </c>
      <c r="P184" s="94" t="s">
        <v>4533</v>
      </c>
      <c r="Q184" s="37" t="s">
        <v>51</v>
      </c>
      <c r="R184" s="96">
        <v>4</v>
      </c>
      <c r="S184" s="37" t="s">
        <v>52</v>
      </c>
      <c r="T184" s="37" t="s">
        <v>4531</v>
      </c>
      <c r="U184" s="37" t="s">
        <v>4532</v>
      </c>
      <c r="V184" s="45"/>
      <c r="W184" s="45"/>
      <c r="X184" s="45"/>
      <c r="Y184" s="45"/>
      <c r="Z184" s="37" t="s">
        <v>1728</v>
      </c>
      <c r="AA184" s="37" t="s">
        <v>88</v>
      </c>
      <c r="AB184" s="37" t="s">
        <v>57</v>
      </c>
      <c r="AD184" s="37">
        <v>18</v>
      </c>
      <c r="AE184" s="37">
        <v>18</v>
      </c>
      <c r="AG184" s="37">
        <v>0.96</v>
      </c>
      <c r="AH184" s="37">
        <v>57.6</v>
      </c>
      <c r="AK184" s="37" t="s">
        <v>58</v>
      </c>
      <c r="AL184" s="37">
        <v>49.9</v>
      </c>
      <c r="AM184" t="s">
        <v>5520</v>
      </c>
      <c r="AN184" s="74" t="s">
        <v>5628</v>
      </c>
    </row>
    <row r="185" spans="1:40" s="37" customFormat="1" ht="14.25" customHeight="1" x14ac:dyDescent="0.3">
      <c r="A185" s="37" t="s">
        <v>4955</v>
      </c>
      <c r="B185" s="37" t="s">
        <v>4945</v>
      </c>
      <c r="C185" s="94" t="s">
        <v>4956</v>
      </c>
      <c r="D185" s="37" t="s">
        <v>4971</v>
      </c>
      <c r="E185" s="39" t="s">
        <v>4928</v>
      </c>
      <c r="F185" s="37" t="s">
        <v>1725</v>
      </c>
      <c r="G185" s="44" t="s">
        <v>42</v>
      </c>
      <c r="H185" s="44" t="s">
        <v>43</v>
      </c>
      <c r="I185" s="44" t="s">
        <v>44</v>
      </c>
      <c r="J185" s="37" t="s">
        <v>4400</v>
      </c>
      <c r="K185" s="37" t="s">
        <v>106</v>
      </c>
      <c r="L185" s="94" t="s">
        <v>4984</v>
      </c>
      <c r="M185" s="37" t="s">
        <v>48</v>
      </c>
      <c r="N185" s="96" t="s">
        <v>4987</v>
      </c>
      <c r="O185" s="77" t="s">
        <v>586</v>
      </c>
      <c r="P185" s="94" t="s">
        <v>4533</v>
      </c>
      <c r="Q185" s="37" t="s">
        <v>51</v>
      </c>
      <c r="R185" s="96">
        <v>4</v>
      </c>
      <c r="S185" s="37" t="s">
        <v>52</v>
      </c>
      <c r="T185" s="37" t="s">
        <v>4531</v>
      </c>
      <c r="U185" s="37" t="s">
        <v>4532</v>
      </c>
      <c r="V185" s="45"/>
      <c r="W185" s="45"/>
      <c r="X185" s="45"/>
      <c r="Y185" s="45"/>
      <c r="Z185" s="37" t="s">
        <v>1728</v>
      </c>
      <c r="AA185" s="37" t="s">
        <v>88</v>
      </c>
      <c r="AB185" s="37" t="s">
        <v>57</v>
      </c>
      <c r="AD185" s="37">
        <v>18</v>
      </c>
      <c r="AE185" s="37">
        <v>18</v>
      </c>
      <c r="AG185" s="37">
        <v>0.96</v>
      </c>
      <c r="AH185" s="37">
        <v>57.6</v>
      </c>
      <c r="AK185" s="37" t="s">
        <v>58</v>
      </c>
      <c r="AL185" s="37">
        <v>49.9</v>
      </c>
      <c r="AM185" t="s">
        <v>5520</v>
      </c>
      <c r="AN185" s="74" t="s">
        <v>5628</v>
      </c>
    </row>
    <row r="186" spans="1:40" s="37" customFormat="1" ht="14.25" customHeight="1" x14ac:dyDescent="0.3">
      <c r="A186" s="37" t="s">
        <v>4955</v>
      </c>
      <c r="B186" s="37" t="s">
        <v>4946</v>
      </c>
      <c r="C186" s="94" t="s">
        <v>4956</v>
      </c>
      <c r="D186" s="37" t="s">
        <v>4972</v>
      </c>
      <c r="E186" s="39" t="s">
        <v>4928</v>
      </c>
      <c r="F186" s="37" t="s">
        <v>1725</v>
      </c>
      <c r="G186" s="44" t="s">
        <v>42</v>
      </c>
      <c r="H186" s="44" t="s">
        <v>43</v>
      </c>
      <c r="I186" s="44" t="s">
        <v>44</v>
      </c>
      <c r="J186" s="37" t="s">
        <v>4400</v>
      </c>
      <c r="K186" s="37" t="s">
        <v>106</v>
      </c>
      <c r="L186" s="94" t="s">
        <v>4984</v>
      </c>
      <c r="M186" s="37" t="s">
        <v>48</v>
      </c>
      <c r="N186" s="96" t="s">
        <v>4988</v>
      </c>
      <c r="O186" s="77" t="s">
        <v>61</v>
      </c>
      <c r="P186" s="94" t="s">
        <v>4533</v>
      </c>
      <c r="Q186" s="37" t="s">
        <v>51</v>
      </c>
      <c r="R186" s="96">
        <v>4</v>
      </c>
      <c r="S186" s="37" t="s">
        <v>52</v>
      </c>
      <c r="T186" s="37" t="s">
        <v>4531</v>
      </c>
      <c r="U186" s="37" t="s">
        <v>4532</v>
      </c>
      <c r="V186" s="45"/>
      <c r="W186" s="45"/>
      <c r="X186" s="45"/>
      <c r="Y186" s="45"/>
      <c r="Z186" s="37" t="s">
        <v>1728</v>
      </c>
      <c r="AA186" s="37" t="s">
        <v>88</v>
      </c>
      <c r="AB186" s="37" t="s">
        <v>57</v>
      </c>
      <c r="AD186" s="37">
        <v>19</v>
      </c>
      <c r="AE186" s="37">
        <v>19</v>
      </c>
      <c r="AG186" s="37">
        <v>0.96</v>
      </c>
      <c r="AH186" s="37">
        <v>57.6</v>
      </c>
      <c r="AK186" s="37" t="s">
        <v>58</v>
      </c>
      <c r="AL186" s="37">
        <v>49.9</v>
      </c>
      <c r="AM186" t="s">
        <v>5520</v>
      </c>
      <c r="AN186" s="74" t="s">
        <v>5628</v>
      </c>
    </row>
    <row r="187" spans="1:40" s="37" customFormat="1" ht="14.25" customHeight="1" x14ac:dyDescent="0.3">
      <c r="A187" s="37" t="s">
        <v>4955</v>
      </c>
      <c r="B187" s="37" t="s">
        <v>4947</v>
      </c>
      <c r="C187" s="94" t="s">
        <v>4956</v>
      </c>
      <c r="D187" s="37" t="s">
        <v>4973</v>
      </c>
      <c r="E187" s="39" t="s">
        <v>4928</v>
      </c>
      <c r="F187" s="37" t="s">
        <v>1725</v>
      </c>
      <c r="G187" s="44" t="s">
        <v>42</v>
      </c>
      <c r="H187" s="44" t="s">
        <v>43</v>
      </c>
      <c r="I187" s="44" t="s">
        <v>44</v>
      </c>
      <c r="J187" s="37" t="s">
        <v>4400</v>
      </c>
      <c r="K187" s="37" t="s">
        <v>106</v>
      </c>
      <c r="L187" s="94" t="s">
        <v>67</v>
      </c>
      <c r="M187" s="37" t="s">
        <v>48</v>
      </c>
      <c r="N187" s="96" t="s">
        <v>4985</v>
      </c>
      <c r="O187" s="77" t="s">
        <v>64</v>
      </c>
      <c r="P187" s="94" t="s">
        <v>4533</v>
      </c>
      <c r="Q187" s="94" t="s">
        <v>68</v>
      </c>
      <c r="R187" s="96">
        <v>3</v>
      </c>
      <c r="S187" s="37" t="s">
        <v>52</v>
      </c>
      <c r="T187" s="37" t="s">
        <v>4531</v>
      </c>
      <c r="U187" s="37" t="s">
        <v>4532</v>
      </c>
      <c r="V187" s="45"/>
      <c r="W187" s="45"/>
      <c r="X187" s="45"/>
      <c r="Y187" s="45"/>
      <c r="Z187" s="37" t="s">
        <v>1728</v>
      </c>
      <c r="AA187" s="37" t="s">
        <v>88</v>
      </c>
      <c r="AB187" s="37" t="s">
        <v>57</v>
      </c>
      <c r="AD187" s="37">
        <v>21.5</v>
      </c>
      <c r="AE187" s="37">
        <v>21.5</v>
      </c>
      <c r="AG187" s="37">
        <v>1.08</v>
      </c>
      <c r="AH187" s="37">
        <v>34.56</v>
      </c>
      <c r="AK187" s="37" t="s">
        <v>58</v>
      </c>
      <c r="AL187" s="37">
        <v>49.9</v>
      </c>
      <c r="AM187" t="s">
        <v>5520</v>
      </c>
      <c r="AN187" s="74" t="s">
        <v>5628</v>
      </c>
    </row>
    <row r="188" spans="1:40" s="37" customFormat="1" ht="14.25" customHeight="1" x14ac:dyDescent="0.3">
      <c r="A188" s="37" t="s">
        <v>4955</v>
      </c>
      <c r="B188" s="37" t="s">
        <v>4948</v>
      </c>
      <c r="C188" s="94" t="s">
        <v>4956</v>
      </c>
      <c r="D188" s="37" t="s">
        <v>4974</v>
      </c>
      <c r="E188" s="39" t="s">
        <v>4928</v>
      </c>
      <c r="F188" s="37" t="s">
        <v>1725</v>
      </c>
      <c r="G188" s="44" t="s">
        <v>42</v>
      </c>
      <c r="H188" s="44" t="s">
        <v>43</v>
      </c>
      <c r="I188" s="44" t="s">
        <v>44</v>
      </c>
      <c r="J188" s="37" t="s">
        <v>4400</v>
      </c>
      <c r="K188" s="37" t="s">
        <v>106</v>
      </c>
      <c r="L188" s="94" t="s">
        <v>67</v>
      </c>
      <c r="M188" s="37" t="s">
        <v>48</v>
      </c>
      <c r="N188" s="96" t="s">
        <v>4986</v>
      </c>
      <c r="O188" s="77" t="s">
        <v>61</v>
      </c>
      <c r="P188" s="94" t="s">
        <v>4533</v>
      </c>
      <c r="Q188" s="94" t="s">
        <v>68</v>
      </c>
      <c r="R188" s="96">
        <v>3</v>
      </c>
      <c r="S188" s="37" t="s">
        <v>52</v>
      </c>
      <c r="T188" s="37" t="s">
        <v>4531</v>
      </c>
      <c r="U188" s="37" t="s">
        <v>4532</v>
      </c>
      <c r="V188" s="45"/>
      <c r="W188" s="45"/>
      <c r="X188" s="45"/>
      <c r="Y188" s="45"/>
      <c r="Z188" s="37" t="s">
        <v>1728</v>
      </c>
      <c r="AA188" s="37" t="s">
        <v>88</v>
      </c>
      <c r="AB188" s="37" t="s">
        <v>57</v>
      </c>
      <c r="AD188" s="37">
        <v>24</v>
      </c>
      <c r="AE188" s="37">
        <v>24</v>
      </c>
      <c r="AG188" s="37">
        <v>1.08</v>
      </c>
      <c r="AH188" s="37">
        <v>34.56</v>
      </c>
      <c r="AK188" s="37" t="s">
        <v>58</v>
      </c>
      <c r="AL188" s="37">
        <v>49.9</v>
      </c>
      <c r="AM188" t="s">
        <v>5520</v>
      </c>
      <c r="AN188" s="74" t="s">
        <v>5628</v>
      </c>
    </row>
    <row r="189" spans="1:40" s="37" customFormat="1" ht="14.25" customHeight="1" x14ac:dyDescent="0.3">
      <c r="A189" s="37" t="s">
        <v>4955</v>
      </c>
      <c r="B189" s="37" t="s">
        <v>4949</v>
      </c>
      <c r="C189" s="94" t="s">
        <v>4956</v>
      </c>
      <c r="D189" s="37" t="s">
        <v>4975</v>
      </c>
      <c r="E189" s="39" t="s">
        <v>4928</v>
      </c>
      <c r="F189" s="37" t="s">
        <v>1725</v>
      </c>
      <c r="G189" s="44" t="s">
        <v>42</v>
      </c>
      <c r="H189" s="44" t="s">
        <v>43</v>
      </c>
      <c r="I189" s="44" t="s">
        <v>44</v>
      </c>
      <c r="J189" s="37" t="s">
        <v>4400</v>
      </c>
      <c r="K189" s="37" t="s">
        <v>106</v>
      </c>
      <c r="L189" s="94" t="s">
        <v>67</v>
      </c>
      <c r="M189" s="37" t="s">
        <v>48</v>
      </c>
      <c r="N189" s="96" t="s">
        <v>4987</v>
      </c>
      <c r="O189" s="77" t="s">
        <v>586</v>
      </c>
      <c r="P189" s="94" t="s">
        <v>4533</v>
      </c>
      <c r="Q189" s="94" t="s">
        <v>68</v>
      </c>
      <c r="R189" s="96">
        <v>3</v>
      </c>
      <c r="S189" s="37" t="s">
        <v>52</v>
      </c>
      <c r="T189" s="37" t="s">
        <v>4531</v>
      </c>
      <c r="U189" s="37" t="s">
        <v>4532</v>
      </c>
      <c r="V189" s="45"/>
      <c r="W189" s="45"/>
      <c r="X189" s="45"/>
      <c r="Y189" s="45"/>
      <c r="Z189" s="37" t="s">
        <v>1728</v>
      </c>
      <c r="AA189" s="37" t="s">
        <v>88</v>
      </c>
      <c r="AB189" s="37" t="s">
        <v>57</v>
      </c>
      <c r="AD189" s="37">
        <v>21</v>
      </c>
      <c r="AE189" s="37">
        <v>21</v>
      </c>
      <c r="AG189" s="37">
        <v>1.08</v>
      </c>
      <c r="AH189" s="37">
        <v>34.56</v>
      </c>
      <c r="AK189" s="37" t="s">
        <v>58</v>
      </c>
      <c r="AL189" s="37">
        <v>49.9</v>
      </c>
      <c r="AM189" t="s">
        <v>5520</v>
      </c>
      <c r="AN189" s="74" t="s">
        <v>5628</v>
      </c>
    </row>
    <row r="190" spans="1:40" s="37" customFormat="1" ht="14.25" customHeight="1" x14ac:dyDescent="0.3">
      <c r="A190" s="37" t="s">
        <v>4955</v>
      </c>
      <c r="B190" s="37" t="s">
        <v>4950</v>
      </c>
      <c r="C190" s="94" t="s">
        <v>4956</v>
      </c>
      <c r="D190" s="37" t="s">
        <v>4976</v>
      </c>
      <c r="E190" s="39" t="s">
        <v>4928</v>
      </c>
      <c r="F190" s="37" t="s">
        <v>1725</v>
      </c>
      <c r="G190" s="44" t="s">
        <v>42</v>
      </c>
      <c r="H190" s="44" t="s">
        <v>43</v>
      </c>
      <c r="I190" s="44" t="s">
        <v>44</v>
      </c>
      <c r="J190" s="37" t="s">
        <v>4400</v>
      </c>
      <c r="K190" s="37" t="s">
        <v>106</v>
      </c>
      <c r="L190" s="94" t="s">
        <v>67</v>
      </c>
      <c r="M190" s="37" t="s">
        <v>48</v>
      </c>
      <c r="N190" s="96" t="s">
        <v>4988</v>
      </c>
      <c r="O190" s="77" t="s">
        <v>61</v>
      </c>
      <c r="P190" s="94" t="s">
        <v>4533</v>
      </c>
      <c r="Q190" s="94" t="s">
        <v>68</v>
      </c>
      <c r="R190" s="96">
        <v>3</v>
      </c>
      <c r="S190" s="37" t="s">
        <v>52</v>
      </c>
      <c r="T190" s="37" t="s">
        <v>4531</v>
      </c>
      <c r="U190" s="37" t="s">
        <v>4532</v>
      </c>
      <c r="V190" s="45"/>
      <c r="W190" s="45"/>
      <c r="X190" s="45"/>
      <c r="Y190" s="45"/>
      <c r="Z190" s="37" t="s">
        <v>1728</v>
      </c>
      <c r="AA190" s="37" t="s">
        <v>88</v>
      </c>
      <c r="AB190" s="37" t="s">
        <v>57</v>
      </c>
      <c r="AD190" s="37">
        <v>21.5</v>
      </c>
      <c r="AE190" s="37">
        <v>21.5</v>
      </c>
      <c r="AG190" s="37">
        <v>1.08</v>
      </c>
      <c r="AH190" s="37">
        <v>34.56</v>
      </c>
      <c r="AK190" s="37" t="s">
        <v>58</v>
      </c>
      <c r="AL190" s="37">
        <v>49.9</v>
      </c>
      <c r="AM190" t="s">
        <v>5520</v>
      </c>
      <c r="AN190" s="74" t="s">
        <v>5628</v>
      </c>
    </row>
    <row r="191" spans="1:40" s="37" customFormat="1" ht="14.25" customHeight="1" x14ac:dyDescent="0.3">
      <c r="A191" s="37" t="s">
        <v>4955</v>
      </c>
      <c r="B191" s="37" t="s">
        <v>4951</v>
      </c>
      <c r="C191" s="94" t="s">
        <v>4956</v>
      </c>
      <c r="D191" s="37" t="s">
        <v>4977</v>
      </c>
      <c r="E191" s="39" t="s">
        <v>4928</v>
      </c>
      <c r="F191" s="37" t="s">
        <v>1725</v>
      </c>
      <c r="G191" s="44" t="s">
        <v>42</v>
      </c>
      <c r="H191" s="44" t="s">
        <v>43</v>
      </c>
      <c r="I191" s="44" t="s">
        <v>44</v>
      </c>
      <c r="J191" s="37" t="s">
        <v>4400</v>
      </c>
      <c r="K191" s="37" t="s">
        <v>106</v>
      </c>
      <c r="L191" s="94" t="s">
        <v>4401</v>
      </c>
      <c r="M191" s="37" t="s">
        <v>48</v>
      </c>
      <c r="N191" s="96" t="s">
        <v>4985</v>
      </c>
      <c r="O191" s="77" t="s">
        <v>64</v>
      </c>
      <c r="P191" s="94" t="s">
        <v>4533</v>
      </c>
      <c r="Q191" s="37" t="s">
        <v>51</v>
      </c>
      <c r="R191" s="96">
        <v>2</v>
      </c>
      <c r="S191" s="37" t="s">
        <v>52</v>
      </c>
      <c r="T191" s="37" t="s">
        <v>4531</v>
      </c>
      <c r="U191" s="37" t="s">
        <v>4532</v>
      </c>
      <c r="V191" s="45"/>
      <c r="W191" s="45"/>
      <c r="X191" s="45"/>
      <c r="Y191" s="45"/>
      <c r="Z191" s="37" t="s">
        <v>1728</v>
      </c>
      <c r="AA191" s="37" t="s">
        <v>88</v>
      </c>
      <c r="AB191" s="37" t="s">
        <v>57</v>
      </c>
      <c r="AD191" s="37">
        <v>22</v>
      </c>
      <c r="AE191" s="37">
        <v>22</v>
      </c>
      <c r="AG191" s="37">
        <v>1.08</v>
      </c>
      <c r="AH191" s="37">
        <v>51.84</v>
      </c>
      <c r="AK191" s="37" t="s">
        <v>58</v>
      </c>
      <c r="AL191" s="37">
        <v>54.9</v>
      </c>
      <c r="AM191" t="s">
        <v>5520</v>
      </c>
      <c r="AN191" s="74" t="s">
        <v>5628</v>
      </c>
    </row>
    <row r="192" spans="1:40" s="37" customFormat="1" ht="14.25" customHeight="1" x14ac:dyDescent="0.3">
      <c r="A192" s="37" t="s">
        <v>4955</v>
      </c>
      <c r="B192" s="37" t="s">
        <v>4952</v>
      </c>
      <c r="C192" s="94" t="s">
        <v>4956</v>
      </c>
      <c r="D192" s="37" t="s">
        <v>4978</v>
      </c>
      <c r="E192" s="39" t="s">
        <v>4928</v>
      </c>
      <c r="F192" s="37" t="s">
        <v>1725</v>
      </c>
      <c r="G192" s="44" t="s">
        <v>42</v>
      </c>
      <c r="H192" s="44" t="s">
        <v>43</v>
      </c>
      <c r="I192" s="44" t="s">
        <v>44</v>
      </c>
      <c r="J192" s="37" t="s">
        <v>4400</v>
      </c>
      <c r="K192" s="37" t="s">
        <v>106</v>
      </c>
      <c r="L192" s="94" t="s">
        <v>4401</v>
      </c>
      <c r="M192" s="37" t="s">
        <v>48</v>
      </c>
      <c r="N192" s="96" t="s">
        <v>4986</v>
      </c>
      <c r="O192" s="77" t="s">
        <v>61</v>
      </c>
      <c r="P192" s="94" t="s">
        <v>4533</v>
      </c>
      <c r="Q192" s="37" t="s">
        <v>51</v>
      </c>
      <c r="R192" s="96">
        <v>2</v>
      </c>
      <c r="S192" s="37" t="s">
        <v>52</v>
      </c>
      <c r="T192" s="37" t="s">
        <v>4531</v>
      </c>
      <c r="U192" s="37" t="s">
        <v>4532</v>
      </c>
      <c r="V192" s="45"/>
      <c r="W192" s="45"/>
      <c r="X192" s="45"/>
      <c r="Y192" s="45"/>
      <c r="Z192" s="37" t="s">
        <v>1728</v>
      </c>
      <c r="AA192" s="37" t="s">
        <v>88</v>
      </c>
      <c r="AB192" s="37" t="s">
        <v>57</v>
      </c>
      <c r="AD192" s="37">
        <v>22</v>
      </c>
      <c r="AE192" s="37">
        <v>22</v>
      </c>
      <c r="AG192" s="37">
        <v>1.08</v>
      </c>
      <c r="AH192" s="37">
        <v>51.84</v>
      </c>
      <c r="AK192" s="37" t="s">
        <v>58</v>
      </c>
      <c r="AL192" s="37">
        <v>54.9</v>
      </c>
      <c r="AM192" t="s">
        <v>5520</v>
      </c>
      <c r="AN192" s="74" t="s">
        <v>5628</v>
      </c>
    </row>
    <row r="193" spans="1:40" s="37" customFormat="1" ht="14.25" customHeight="1" x14ac:dyDescent="0.3">
      <c r="A193" s="37" t="s">
        <v>4955</v>
      </c>
      <c r="B193" s="37" t="s">
        <v>4953</v>
      </c>
      <c r="C193" s="94" t="s">
        <v>4956</v>
      </c>
      <c r="D193" s="37" t="s">
        <v>4979</v>
      </c>
      <c r="E193" s="39" t="s">
        <v>4928</v>
      </c>
      <c r="F193" s="37" t="s">
        <v>1725</v>
      </c>
      <c r="G193" s="44" t="s">
        <v>42</v>
      </c>
      <c r="H193" s="44" t="s">
        <v>43</v>
      </c>
      <c r="I193" s="44" t="s">
        <v>44</v>
      </c>
      <c r="J193" s="37" t="s">
        <v>4400</v>
      </c>
      <c r="K193" s="37" t="s">
        <v>106</v>
      </c>
      <c r="L193" s="94" t="s">
        <v>4401</v>
      </c>
      <c r="M193" s="37" t="s">
        <v>48</v>
      </c>
      <c r="N193" s="96" t="s">
        <v>4987</v>
      </c>
      <c r="O193" s="77" t="s">
        <v>586</v>
      </c>
      <c r="P193" s="94" t="s">
        <v>4533</v>
      </c>
      <c r="Q193" s="37" t="s">
        <v>51</v>
      </c>
      <c r="R193" s="96">
        <v>2</v>
      </c>
      <c r="S193" s="37" t="s">
        <v>52</v>
      </c>
      <c r="T193" s="37" t="s">
        <v>4531</v>
      </c>
      <c r="U193" s="37" t="s">
        <v>4532</v>
      </c>
      <c r="V193" s="45"/>
      <c r="W193" s="45"/>
      <c r="X193" s="45"/>
      <c r="Y193" s="45"/>
      <c r="Z193" s="37" t="s">
        <v>1728</v>
      </c>
      <c r="AA193" s="37" t="s">
        <v>88</v>
      </c>
      <c r="AB193" s="37" t="s">
        <v>57</v>
      </c>
      <c r="AD193" s="37">
        <v>22</v>
      </c>
      <c r="AE193" s="37">
        <v>22</v>
      </c>
      <c r="AG193" s="37">
        <v>1.08</v>
      </c>
      <c r="AH193" s="37">
        <v>51.84</v>
      </c>
      <c r="AK193" s="37" t="s">
        <v>58</v>
      </c>
      <c r="AL193" s="37">
        <v>54.9</v>
      </c>
      <c r="AM193" t="s">
        <v>5520</v>
      </c>
      <c r="AN193" s="74" t="s">
        <v>5628</v>
      </c>
    </row>
    <row r="194" spans="1:40" s="37" customFormat="1" ht="14.25" customHeight="1" x14ac:dyDescent="0.3">
      <c r="A194" s="37" t="s">
        <v>4955</v>
      </c>
      <c r="B194" s="37" t="s">
        <v>4954</v>
      </c>
      <c r="C194" s="94" t="s">
        <v>4956</v>
      </c>
      <c r="D194" s="37" t="s">
        <v>4980</v>
      </c>
      <c r="E194" s="39" t="s">
        <v>4928</v>
      </c>
      <c r="F194" s="37" t="s">
        <v>1725</v>
      </c>
      <c r="G194" s="44" t="s">
        <v>42</v>
      </c>
      <c r="H194" s="44" t="s">
        <v>43</v>
      </c>
      <c r="I194" s="44" t="s">
        <v>44</v>
      </c>
      <c r="J194" s="37" t="s">
        <v>4400</v>
      </c>
      <c r="K194" s="37" t="s">
        <v>106</v>
      </c>
      <c r="L194" s="94" t="s">
        <v>4401</v>
      </c>
      <c r="M194" s="37" t="s">
        <v>48</v>
      </c>
      <c r="N194" s="96" t="s">
        <v>4988</v>
      </c>
      <c r="O194" s="77" t="s">
        <v>61</v>
      </c>
      <c r="P194" s="94" t="s">
        <v>4533</v>
      </c>
      <c r="Q194" s="37" t="s">
        <v>51</v>
      </c>
      <c r="R194" s="96">
        <v>2</v>
      </c>
      <c r="S194" s="37" t="s">
        <v>52</v>
      </c>
      <c r="T194" s="37" t="s">
        <v>4531</v>
      </c>
      <c r="U194" s="37" t="s">
        <v>4532</v>
      </c>
      <c r="V194" s="45"/>
      <c r="W194" s="45"/>
      <c r="X194" s="45"/>
      <c r="Y194" s="45"/>
      <c r="Z194" s="37" t="s">
        <v>1728</v>
      </c>
      <c r="AA194" s="37" t="s">
        <v>88</v>
      </c>
      <c r="AB194" s="37" t="s">
        <v>57</v>
      </c>
      <c r="AD194" s="37">
        <v>22</v>
      </c>
      <c r="AE194" s="37">
        <v>22</v>
      </c>
      <c r="AG194" s="37">
        <v>1.08</v>
      </c>
      <c r="AH194" s="37">
        <v>51.84</v>
      </c>
      <c r="AK194" s="37" t="s">
        <v>58</v>
      </c>
      <c r="AL194" s="37">
        <v>54.9</v>
      </c>
      <c r="AM194" t="s">
        <v>5520</v>
      </c>
      <c r="AN194" s="74" t="s">
        <v>5628</v>
      </c>
    </row>
    <row r="195" spans="1:40" s="37" customFormat="1" ht="14.25" customHeight="1" x14ac:dyDescent="0.3">
      <c r="A195" s="37" t="s">
        <v>4955</v>
      </c>
      <c r="B195" s="37" t="s">
        <v>4994</v>
      </c>
      <c r="C195" s="94" t="s">
        <v>4956</v>
      </c>
      <c r="D195" s="37" t="s">
        <v>4989</v>
      </c>
      <c r="E195" s="39" t="s">
        <v>4928</v>
      </c>
      <c r="F195" s="37" t="s">
        <v>1725</v>
      </c>
      <c r="G195" s="44" t="s">
        <v>42</v>
      </c>
      <c r="H195" s="44" t="s">
        <v>43</v>
      </c>
      <c r="I195" s="44" t="s">
        <v>44</v>
      </c>
      <c r="J195" s="37" t="s">
        <v>4400</v>
      </c>
      <c r="K195" s="37" t="s">
        <v>106</v>
      </c>
      <c r="L195" s="94" t="s">
        <v>4993</v>
      </c>
      <c r="M195" s="37" t="s">
        <v>48</v>
      </c>
      <c r="N195" s="96" t="s">
        <v>4987</v>
      </c>
      <c r="O195" s="77" t="s">
        <v>586</v>
      </c>
      <c r="P195" s="94" t="s">
        <v>4402</v>
      </c>
      <c r="Q195" s="37" t="s">
        <v>51</v>
      </c>
      <c r="R195" s="96">
        <v>2</v>
      </c>
      <c r="S195" s="37" t="s">
        <v>52</v>
      </c>
      <c r="T195" s="37" t="s">
        <v>4531</v>
      </c>
      <c r="U195" s="37" t="s">
        <v>4532</v>
      </c>
      <c r="V195" s="45"/>
      <c r="W195" s="45"/>
      <c r="X195" s="45"/>
      <c r="Y195" s="45"/>
      <c r="Z195" s="37" t="s">
        <v>1728</v>
      </c>
      <c r="AA195" s="37" t="s">
        <v>88</v>
      </c>
      <c r="AB195" s="37" t="s">
        <v>57</v>
      </c>
      <c r="AD195" s="37">
        <v>36.5</v>
      </c>
      <c r="AE195" s="37">
        <v>36.5</v>
      </c>
      <c r="AG195" s="37">
        <v>0.81</v>
      </c>
      <c r="AH195" s="37">
        <v>19.440000000000001</v>
      </c>
      <c r="AK195" s="37" t="s">
        <v>58</v>
      </c>
      <c r="AL195" s="37">
        <v>54.9</v>
      </c>
      <c r="AM195" t="s">
        <v>5520</v>
      </c>
      <c r="AN195" s="74" t="s">
        <v>5628</v>
      </c>
    </row>
    <row r="196" spans="1:40" s="37" customFormat="1" ht="14.25" customHeight="1" x14ac:dyDescent="0.3">
      <c r="A196" s="37" t="s">
        <v>4955</v>
      </c>
      <c r="B196" s="37" t="s">
        <v>4995</v>
      </c>
      <c r="C196" s="94" t="s">
        <v>4956</v>
      </c>
      <c r="D196" s="37" t="s">
        <v>4990</v>
      </c>
      <c r="E196" s="39" t="s">
        <v>4928</v>
      </c>
      <c r="F196" s="37" t="s">
        <v>1725</v>
      </c>
      <c r="G196" s="44" t="s">
        <v>42</v>
      </c>
      <c r="H196" s="44" t="s">
        <v>43</v>
      </c>
      <c r="I196" s="44" t="s">
        <v>44</v>
      </c>
      <c r="J196" s="37" t="s">
        <v>4400</v>
      </c>
      <c r="K196" s="37" t="s">
        <v>106</v>
      </c>
      <c r="L196" s="94" t="s">
        <v>4993</v>
      </c>
      <c r="M196" s="37" t="s">
        <v>48</v>
      </c>
      <c r="N196" s="96" t="s">
        <v>4988</v>
      </c>
      <c r="O196" s="77" t="s">
        <v>61</v>
      </c>
      <c r="P196" s="94" t="s">
        <v>4402</v>
      </c>
      <c r="Q196" s="37" t="s">
        <v>51</v>
      </c>
      <c r="R196" s="96">
        <v>2</v>
      </c>
      <c r="S196" s="37" t="s">
        <v>52</v>
      </c>
      <c r="T196" s="37" t="s">
        <v>4531</v>
      </c>
      <c r="U196" s="37" t="s">
        <v>4532</v>
      </c>
      <c r="V196" s="45"/>
      <c r="W196" s="45"/>
      <c r="X196" s="45"/>
      <c r="Y196" s="45"/>
      <c r="Z196" s="37" t="s">
        <v>1728</v>
      </c>
      <c r="AA196" s="37" t="s">
        <v>88</v>
      </c>
      <c r="AB196" s="37" t="s">
        <v>57</v>
      </c>
      <c r="AD196" s="37">
        <v>36</v>
      </c>
      <c r="AE196" s="37">
        <v>36</v>
      </c>
      <c r="AG196" s="37">
        <v>0.81</v>
      </c>
      <c r="AH196" s="37">
        <v>19.440000000000001</v>
      </c>
      <c r="AK196" s="37" t="s">
        <v>58</v>
      </c>
      <c r="AL196" s="37">
        <v>54.9</v>
      </c>
      <c r="AM196" t="s">
        <v>5520</v>
      </c>
      <c r="AN196" s="74" t="s">
        <v>5628</v>
      </c>
    </row>
    <row r="197" spans="1:40" s="37" customFormat="1" ht="14.25" customHeight="1" x14ac:dyDescent="0.3">
      <c r="A197" s="37" t="s">
        <v>4955</v>
      </c>
      <c r="B197" s="37" t="s">
        <v>4996</v>
      </c>
      <c r="C197" s="94" t="s">
        <v>4956</v>
      </c>
      <c r="D197" s="37" t="s">
        <v>4991</v>
      </c>
      <c r="E197" s="39" t="s">
        <v>4928</v>
      </c>
      <c r="F197" s="37" t="s">
        <v>1725</v>
      </c>
      <c r="G197" s="44" t="s">
        <v>42</v>
      </c>
      <c r="H197" s="44" t="s">
        <v>43</v>
      </c>
      <c r="I197" s="44" t="s">
        <v>44</v>
      </c>
      <c r="J197" s="37" t="s">
        <v>4400</v>
      </c>
      <c r="K197" s="37" t="s">
        <v>106</v>
      </c>
      <c r="L197" s="37" t="s">
        <v>75</v>
      </c>
      <c r="M197" s="37" t="s">
        <v>48</v>
      </c>
      <c r="N197" s="96" t="s">
        <v>4987</v>
      </c>
      <c r="O197" s="77" t="s">
        <v>586</v>
      </c>
      <c r="P197" s="94" t="s">
        <v>4402</v>
      </c>
      <c r="Q197" s="94" t="s">
        <v>68</v>
      </c>
      <c r="R197" s="96">
        <v>1</v>
      </c>
      <c r="S197" s="37" t="s">
        <v>52</v>
      </c>
      <c r="T197" s="37" t="s">
        <v>4531</v>
      </c>
      <c r="U197" s="37" t="s">
        <v>4532</v>
      </c>
      <c r="V197" s="45"/>
      <c r="W197" s="45"/>
      <c r="X197" s="45"/>
      <c r="Y197" s="45"/>
      <c r="Z197" s="37" t="s">
        <v>1728</v>
      </c>
      <c r="AA197" s="37" t="s">
        <v>88</v>
      </c>
      <c r="AB197" s="37" t="s">
        <v>57</v>
      </c>
      <c r="AD197" s="37">
        <v>37</v>
      </c>
      <c r="AE197" s="37">
        <v>37</v>
      </c>
      <c r="AG197" s="37">
        <v>0.81</v>
      </c>
      <c r="AH197" s="37">
        <v>24.3</v>
      </c>
      <c r="AK197" s="37" t="s">
        <v>58</v>
      </c>
      <c r="AL197" s="37">
        <v>54.9</v>
      </c>
      <c r="AM197" t="s">
        <v>5520</v>
      </c>
      <c r="AN197" s="74" t="s">
        <v>5628</v>
      </c>
    </row>
    <row r="198" spans="1:40" s="37" customFormat="1" ht="14.25" customHeight="1" x14ac:dyDescent="0.3">
      <c r="A198" s="37" t="s">
        <v>4955</v>
      </c>
      <c r="B198" s="37" t="s">
        <v>4997</v>
      </c>
      <c r="C198" s="94" t="s">
        <v>4956</v>
      </c>
      <c r="D198" s="37" t="s">
        <v>4992</v>
      </c>
      <c r="E198" s="39" t="s">
        <v>4928</v>
      </c>
      <c r="F198" s="37" t="s">
        <v>1725</v>
      </c>
      <c r="G198" s="44" t="s">
        <v>42</v>
      </c>
      <c r="H198" s="44" t="s">
        <v>43</v>
      </c>
      <c r="I198" s="44" t="s">
        <v>44</v>
      </c>
      <c r="J198" s="37" t="s">
        <v>4400</v>
      </c>
      <c r="K198" s="37" t="s">
        <v>106</v>
      </c>
      <c r="L198" s="37" t="s">
        <v>75</v>
      </c>
      <c r="M198" s="37" t="s">
        <v>48</v>
      </c>
      <c r="N198" s="96" t="s">
        <v>4988</v>
      </c>
      <c r="O198" s="77" t="s">
        <v>61</v>
      </c>
      <c r="P198" s="94" t="s">
        <v>4402</v>
      </c>
      <c r="Q198" s="94" t="s">
        <v>68</v>
      </c>
      <c r="R198" s="96">
        <v>1</v>
      </c>
      <c r="S198" s="37" t="s">
        <v>52</v>
      </c>
      <c r="T198" s="37" t="s">
        <v>4531</v>
      </c>
      <c r="U198" s="37" t="s">
        <v>4532</v>
      </c>
      <c r="V198" s="45"/>
      <c r="W198" s="45"/>
      <c r="X198" s="45"/>
      <c r="Y198" s="45"/>
      <c r="Z198" s="37" t="s">
        <v>1728</v>
      </c>
      <c r="AA198" s="37" t="s">
        <v>88</v>
      </c>
      <c r="AB198" s="37" t="s">
        <v>57</v>
      </c>
      <c r="AD198" s="37">
        <v>37</v>
      </c>
      <c r="AE198" s="37">
        <v>37</v>
      </c>
      <c r="AG198" s="37">
        <v>0.81</v>
      </c>
      <c r="AH198" s="37">
        <v>24.3</v>
      </c>
      <c r="AK198" s="37" t="s">
        <v>58</v>
      </c>
      <c r="AL198" s="37">
        <v>54.9</v>
      </c>
      <c r="AM198" t="s">
        <v>5520</v>
      </c>
      <c r="AN198" s="74" t="s">
        <v>5628</v>
      </c>
    </row>
    <row r="199" spans="1:40" s="37" customFormat="1" ht="14.25" customHeight="1" x14ac:dyDescent="0.3">
      <c r="A199" s="3" t="s">
        <v>1720</v>
      </c>
      <c r="B199" s="3" t="s">
        <v>1721</v>
      </c>
      <c r="C199" s="3" t="s">
        <v>1722</v>
      </c>
      <c r="D199" s="3" t="s">
        <v>1723</v>
      </c>
      <c r="E199" s="3" t="s">
        <v>1724</v>
      </c>
      <c r="F199" s="3" t="s">
        <v>1725</v>
      </c>
      <c r="G199" s="5" t="s">
        <v>42</v>
      </c>
      <c r="H199" s="5" t="s">
        <v>43</v>
      </c>
      <c r="I199" s="5" t="s">
        <v>44</v>
      </c>
      <c r="J199" s="3" t="s">
        <v>9</v>
      </c>
      <c r="K199" s="3" t="s">
        <v>106</v>
      </c>
      <c r="L199" s="3" t="s">
        <v>47</v>
      </c>
      <c r="M199" s="3" t="s">
        <v>48</v>
      </c>
      <c r="N199" s="101" t="s">
        <v>61</v>
      </c>
      <c r="O199" s="68" t="s">
        <v>61</v>
      </c>
      <c r="P199" s="3" t="s">
        <v>50</v>
      </c>
      <c r="Q199" s="3" t="s">
        <v>51</v>
      </c>
      <c r="R199" s="100">
        <v>2</v>
      </c>
      <c r="S199" s="3" t="s">
        <v>52</v>
      </c>
      <c r="T199" s="3" t="s">
        <v>1726</v>
      </c>
      <c r="U199" s="3" t="s">
        <v>1727</v>
      </c>
      <c r="V199" s="7"/>
      <c r="W199" s="7"/>
      <c r="X199" s="7"/>
      <c r="Y199" s="7"/>
      <c r="Z199" s="3" t="s">
        <v>1728</v>
      </c>
      <c r="AA199" s="3" t="s">
        <v>56</v>
      </c>
      <c r="AB199" s="3" t="s">
        <v>57</v>
      </c>
      <c r="AC199"/>
      <c r="AD199" s="3">
        <v>20.100000000000001</v>
      </c>
      <c r="AE199" s="3">
        <v>20.486000000000001</v>
      </c>
      <c r="AF199"/>
      <c r="AG199" s="3">
        <v>1.44</v>
      </c>
      <c r="AH199" s="3">
        <v>51.84</v>
      </c>
      <c r="AI199" s="3">
        <v>13.96</v>
      </c>
      <c r="AJ199" s="3">
        <v>37.415999999999997</v>
      </c>
      <c r="AK199" s="3" t="s">
        <v>58</v>
      </c>
      <c r="AL199" s="10">
        <v>44.899199999999993</v>
      </c>
      <c r="AM199" t="s">
        <v>5520</v>
      </c>
      <c r="AN199" s="74" t="s">
        <v>5636</v>
      </c>
    </row>
    <row r="200" spans="1:40" s="37" customFormat="1" ht="14.25" customHeight="1" x14ac:dyDescent="0.3">
      <c r="A200" s="3" t="s">
        <v>1720</v>
      </c>
      <c r="B200" s="3" t="s">
        <v>1729</v>
      </c>
      <c r="C200" s="3" t="s">
        <v>1722</v>
      </c>
      <c r="D200" s="3" t="s">
        <v>1730</v>
      </c>
      <c r="E200" s="3" t="s">
        <v>1724</v>
      </c>
      <c r="F200" s="3" t="s">
        <v>1725</v>
      </c>
      <c r="G200" s="5" t="s">
        <v>42</v>
      </c>
      <c r="H200" s="5" t="s">
        <v>43</v>
      </c>
      <c r="I200" s="5" t="s">
        <v>44</v>
      </c>
      <c r="J200" s="3" t="s">
        <v>9</v>
      </c>
      <c r="K200" s="3" t="s">
        <v>106</v>
      </c>
      <c r="L200" s="3" t="s">
        <v>47</v>
      </c>
      <c r="M200" s="3" t="s">
        <v>48</v>
      </c>
      <c r="N200" s="100" t="s">
        <v>887</v>
      </c>
      <c r="O200" s="68" t="s">
        <v>61</v>
      </c>
      <c r="P200" s="3" t="s">
        <v>50</v>
      </c>
      <c r="Q200" s="3" t="s">
        <v>51</v>
      </c>
      <c r="R200" s="100">
        <v>2</v>
      </c>
      <c r="S200" s="3" t="s">
        <v>52</v>
      </c>
      <c r="T200" s="3" t="s">
        <v>1726</v>
      </c>
      <c r="U200" s="3" t="s">
        <v>1727</v>
      </c>
      <c r="V200" s="7"/>
      <c r="W200" s="7"/>
      <c r="X200" s="7"/>
      <c r="Y200" s="7"/>
      <c r="Z200" s="3" t="s">
        <v>1728</v>
      </c>
      <c r="AA200" s="3" t="s">
        <v>56</v>
      </c>
      <c r="AB200" s="3" t="s">
        <v>57</v>
      </c>
      <c r="AC200"/>
      <c r="AD200" s="3">
        <v>20.100000000000001</v>
      </c>
      <c r="AE200" s="3">
        <v>20.486000000000001</v>
      </c>
      <c r="AF200"/>
      <c r="AG200" s="3">
        <v>1.44</v>
      </c>
      <c r="AH200" s="3">
        <v>51.84</v>
      </c>
      <c r="AI200" s="3">
        <v>13.96</v>
      </c>
      <c r="AJ200" s="3">
        <v>37.415999999999997</v>
      </c>
      <c r="AK200" s="3" t="s">
        <v>58</v>
      </c>
      <c r="AL200" s="10">
        <v>44.899199999999993</v>
      </c>
      <c r="AM200" t="s">
        <v>5520</v>
      </c>
      <c r="AN200" s="74" t="s">
        <v>5636</v>
      </c>
    </row>
    <row r="201" spans="1:40" s="37" customFormat="1" ht="14.25" customHeight="1" x14ac:dyDescent="0.3">
      <c r="A201" s="3" t="s">
        <v>1720</v>
      </c>
      <c r="B201" s="3" t="s">
        <v>1731</v>
      </c>
      <c r="C201" s="3" t="s">
        <v>1722</v>
      </c>
      <c r="D201" s="3" t="s">
        <v>1732</v>
      </c>
      <c r="E201" s="3" t="s">
        <v>1724</v>
      </c>
      <c r="F201" s="3" t="s">
        <v>1725</v>
      </c>
      <c r="G201" s="5" t="s">
        <v>42</v>
      </c>
      <c r="H201" s="5" t="s">
        <v>43</v>
      </c>
      <c r="I201" s="5" t="s">
        <v>44</v>
      </c>
      <c r="J201" s="3" t="s">
        <v>9</v>
      </c>
      <c r="K201" s="3" t="s">
        <v>106</v>
      </c>
      <c r="L201" s="3" t="s">
        <v>47</v>
      </c>
      <c r="M201" s="3" t="s">
        <v>48</v>
      </c>
      <c r="N201" s="100" t="s">
        <v>372</v>
      </c>
      <c r="O201" s="70" t="s">
        <v>586</v>
      </c>
      <c r="P201" s="3" t="s">
        <v>50</v>
      </c>
      <c r="Q201" s="3" t="s">
        <v>51</v>
      </c>
      <c r="R201" s="100">
        <v>2</v>
      </c>
      <c r="S201" s="3" t="s">
        <v>52</v>
      </c>
      <c r="T201" s="3" t="s">
        <v>1726</v>
      </c>
      <c r="U201" s="3" t="s">
        <v>1727</v>
      </c>
      <c r="V201" s="7"/>
      <c r="W201" s="7"/>
      <c r="X201" s="7"/>
      <c r="Y201" s="7"/>
      <c r="Z201" s="3" t="s">
        <v>1728</v>
      </c>
      <c r="AA201" s="3" t="s">
        <v>56</v>
      </c>
      <c r="AB201" s="3" t="s">
        <v>57</v>
      </c>
      <c r="AC201"/>
      <c r="AD201" s="3">
        <v>20.100000000000001</v>
      </c>
      <c r="AE201" s="3">
        <v>20.486000000000001</v>
      </c>
      <c r="AF201"/>
      <c r="AG201" s="3">
        <v>1.44</v>
      </c>
      <c r="AH201" s="3">
        <v>51.84</v>
      </c>
      <c r="AI201" s="3">
        <v>13.96</v>
      </c>
      <c r="AJ201" s="3">
        <v>37.415999999999997</v>
      </c>
      <c r="AK201" s="3" t="s">
        <v>58</v>
      </c>
      <c r="AL201" s="10">
        <v>44.899199999999993</v>
      </c>
      <c r="AM201" t="s">
        <v>5520</v>
      </c>
      <c r="AN201" s="74" t="s">
        <v>5636</v>
      </c>
    </row>
    <row r="202" spans="1:40" s="37" customFormat="1" ht="14.25" customHeight="1" x14ac:dyDescent="0.3">
      <c r="A202" s="3" t="s">
        <v>1720</v>
      </c>
      <c r="B202" s="3" t="s">
        <v>1733</v>
      </c>
      <c r="C202" s="3" t="s">
        <v>1722</v>
      </c>
      <c r="D202" s="3" t="s">
        <v>1734</v>
      </c>
      <c r="E202" s="3" t="s">
        <v>1724</v>
      </c>
      <c r="F202" s="3" t="s">
        <v>1725</v>
      </c>
      <c r="G202" s="5" t="s">
        <v>42</v>
      </c>
      <c r="H202" s="5" t="s">
        <v>43</v>
      </c>
      <c r="I202" s="5" t="s">
        <v>44</v>
      </c>
      <c r="J202" s="3" t="s">
        <v>9</v>
      </c>
      <c r="K202" s="3" t="s">
        <v>106</v>
      </c>
      <c r="L202" s="3" t="s">
        <v>47</v>
      </c>
      <c r="M202" s="3" t="s">
        <v>48</v>
      </c>
      <c r="N202" s="100" t="s">
        <v>279</v>
      </c>
      <c r="O202" s="70" t="s">
        <v>279</v>
      </c>
      <c r="P202" s="3" t="s">
        <v>50</v>
      </c>
      <c r="Q202" s="3" t="s">
        <v>51</v>
      </c>
      <c r="R202" s="100">
        <v>2</v>
      </c>
      <c r="S202" s="3" t="s">
        <v>52</v>
      </c>
      <c r="T202" s="3" t="s">
        <v>1726</v>
      </c>
      <c r="U202" s="3" t="s">
        <v>1727</v>
      </c>
      <c r="V202" s="7"/>
      <c r="W202" s="7"/>
      <c r="X202" s="7"/>
      <c r="Y202" s="7"/>
      <c r="Z202" s="3" t="s">
        <v>1728</v>
      </c>
      <c r="AA202" s="3" t="s">
        <v>56</v>
      </c>
      <c r="AB202" s="3" t="s">
        <v>57</v>
      </c>
      <c r="AC202"/>
      <c r="AD202" s="3">
        <v>20.100000000000001</v>
      </c>
      <c r="AE202" s="3">
        <v>20.486000000000001</v>
      </c>
      <c r="AF202"/>
      <c r="AG202" s="3">
        <v>1.44</v>
      </c>
      <c r="AH202" s="3">
        <v>51.84</v>
      </c>
      <c r="AI202" s="3">
        <v>13.96</v>
      </c>
      <c r="AJ202" s="3">
        <v>37.415999999999997</v>
      </c>
      <c r="AK202" s="3" t="s">
        <v>58</v>
      </c>
      <c r="AL202" s="10">
        <v>44.899199999999993</v>
      </c>
      <c r="AM202" t="s">
        <v>5520</v>
      </c>
      <c r="AN202" s="74" t="s">
        <v>5636</v>
      </c>
    </row>
    <row r="203" spans="1:40" s="37" customFormat="1" ht="14.25" customHeight="1" x14ac:dyDescent="0.3">
      <c r="A203" s="3" t="s">
        <v>1720</v>
      </c>
      <c r="B203" s="3" t="s">
        <v>1735</v>
      </c>
      <c r="C203" s="3" t="s">
        <v>1722</v>
      </c>
      <c r="D203" s="3" t="s">
        <v>1736</v>
      </c>
      <c r="E203" s="3" t="s">
        <v>1724</v>
      </c>
      <c r="F203" s="3" t="s">
        <v>1725</v>
      </c>
      <c r="G203" s="5" t="s">
        <v>42</v>
      </c>
      <c r="H203" s="5" t="s">
        <v>43</v>
      </c>
      <c r="I203" s="5" t="s">
        <v>44</v>
      </c>
      <c r="J203" s="3" t="s">
        <v>9</v>
      </c>
      <c r="K203" s="3" t="s">
        <v>106</v>
      </c>
      <c r="L203" s="3" t="s">
        <v>67</v>
      </c>
      <c r="M203" s="3" t="s">
        <v>48</v>
      </c>
      <c r="N203" s="100" t="s">
        <v>61</v>
      </c>
      <c r="O203" s="68" t="s">
        <v>61</v>
      </c>
      <c r="P203" s="3" t="s">
        <v>1703</v>
      </c>
      <c r="Q203" s="3" t="s">
        <v>68</v>
      </c>
      <c r="R203" s="100">
        <v>3</v>
      </c>
      <c r="S203" s="3" t="s">
        <v>52</v>
      </c>
      <c r="T203" s="3" t="s">
        <v>1726</v>
      </c>
      <c r="U203" s="3" t="s">
        <v>1727</v>
      </c>
      <c r="V203" s="7"/>
      <c r="W203" s="7"/>
      <c r="X203" s="7"/>
      <c r="Y203" s="7"/>
      <c r="Z203" s="3" t="s">
        <v>1728</v>
      </c>
      <c r="AA203" s="3" t="s">
        <v>56</v>
      </c>
      <c r="AB203" s="3" t="s">
        <v>57</v>
      </c>
      <c r="AC203"/>
      <c r="AD203" s="3">
        <v>22.946999999999999</v>
      </c>
      <c r="AE203" s="3">
        <v>23.294</v>
      </c>
      <c r="AF203"/>
      <c r="AG203" s="3">
        <v>1.08</v>
      </c>
      <c r="AH203" s="3">
        <v>43.2</v>
      </c>
      <c r="AI203" s="3">
        <v>12.51</v>
      </c>
      <c r="AJ203" s="3">
        <v>33.25</v>
      </c>
      <c r="AK203" s="3" t="s">
        <v>58</v>
      </c>
      <c r="AL203" s="10">
        <v>39.9</v>
      </c>
      <c r="AM203" t="s">
        <v>5520</v>
      </c>
      <c r="AN203" s="74" t="s">
        <v>5636</v>
      </c>
    </row>
    <row r="204" spans="1:40" s="37" customFormat="1" ht="14.25" customHeight="1" x14ac:dyDescent="0.3">
      <c r="A204" s="3" t="s">
        <v>1720</v>
      </c>
      <c r="B204" s="3" t="s">
        <v>1737</v>
      </c>
      <c r="C204" s="3" t="s">
        <v>1722</v>
      </c>
      <c r="D204" s="3" t="s">
        <v>1738</v>
      </c>
      <c r="E204" s="3" t="s">
        <v>1724</v>
      </c>
      <c r="F204" s="3" t="s">
        <v>1725</v>
      </c>
      <c r="G204" s="5" t="s">
        <v>42</v>
      </c>
      <c r="H204" s="5" t="s">
        <v>43</v>
      </c>
      <c r="I204" s="5" t="s">
        <v>44</v>
      </c>
      <c r="J204" s="3" t="s">
        <v>9</v>
      </c>
      <c r="K204" s="3" t="s">
        <v>106</v>
      </c>
      <c r="L204" s="3" t="s">
        <v>67</v>
      </c>
      <c r="M204" s="3" t="s">
        <v>48</v>
      </c>
      <c r="N204" s="100" t="s">
        <v>887</v>
      </c>
      <c r="O204" s="68" t="s">
        <v>61</v>
      </c>
      <c r="P204" s="3" t="s">
        <v>50</v>
      </c>
      <c r="Q204" s="3" t="s">
        <v>68</v>
      </c>
      <c r="R204" s="100">
        <v>4</v>
      </c>
      <c r="S204" s="3" t="s">
        <v>52</v>
      </c>
      <c r="T204" s="3" t="s">
        <v>1726</v>
      </c>
      <c r="U204" s="3" t="s">
        <v>1727</v>
      </c>
      <c r="V204" s="7"/>
      <c r="W204" s="7"/>
      <c r="X204" s="7"/>
      <c r="Y204" s="7"/>
      <c r="Z204" s="3" t="s">
        <v>1728</v>
      </c>
      <c r="AA204" s="3" t="s">
        <v>56</v>
      </c>
      <c r="AB204" s="3" t="s">
        <v>57</v>
      </c>
      <c r="AC204"/>
      <c r="AD204" s="3">
        <v>20.181999999999999</v>
      </c>
      <c r="AE204" s="3">
        <v>20.616</v>
      </c>
      <c r="AF204"/>
      <c r="AG204" s="3">
        <v>1.44</v>
      </c>
      <c r="AH204" s="3">
        <v>46.08</v>
      </c>
      <c r="AI204" s="3">
        <v>12.51</v>
      </c>
      <c r="AJ204" s="3">
        <v>33.25</v>
      </c>
      <c r="AK204" s="3" t="s">
        <v>58</v>
      </c>
      <c r="AL204" s="10">
        <v>39.9</v>
      </c>
      <c r="AM204" t="s">
        <v>5520</v>
      </c>
      <c r="AN204" s="74" t="s">
        <v>5636</v>
      </c>
    </row>
    <row r="205" spans="1:40" s="37" customFormat="1" ht="14.25" customHeight="1" x14ac:dyDescent="0.3">
      <c r="A205" s="3" t="s">
        <v>1720</v>
      </c>
      <c r="B205" s="3" t="s">
        <v>1739</v>
      </c>
      <c r="C205" s="3" t="s">
        <v>1722</v>
      </c>
      <c r="D205" s="3" t="s">
        <v>1740</v>
      </c>
      <c r="E205" s="3" t="s">
        <v>1724</v>
      </c>
      <c r="F205" s="3" t="s">
        <v>1725</v>
      </c>
      <c r="G205" s="5" t="s">
        <v>42</v>
      </c>
      <c r="H205" s="5" t="s">
        <v>43</v>
      </c>
      <c r="I205" s="5" t="s">
        <v>44</v>
      </c>
      <c r="J205" s="3" t="s">
        <v>9</v>
      </c>
      <c r="K205" s="3" t="s">
        <v>106</v>
      </c>
      <c r="L205" s="3" t="s">
        <v>67</v>
      </c>
      <c r="M205" s="3" t="s">
        <v>48</v>
      </c>
      <c r="N205" s="100" t="s">
        <v>279</v>
      </c>
      <c r="O205" s="70" t="s">
        <v>279</v>
      </c>
      <c r="P205" s="3" t="s">
        <v>50</v>
      </c>
      <c r="Q205" s="3" t="s">
        <v>68</v>
      </c>
      <c r="R205" s="100">
        <v>4</v>
      </c>
      <c r="S205" s="3" t="s">
        <v>52</v>
      </c>
      <c r="T205" s="3" t="s">
        <v>1726</v>
      </c>
      <c r="U205" s="3" t="s">
        <v>1727</v>
      </c>
      <c r="V205" s="7"/>
      <c r="W205" s="7"/>
      <c r="X205" s="7"/>
      <c r="Y205" s="7"/>
      <c r="Z205" s="3" t="s">
        <v>1728</v>
      </c>
      <c r="AA205" s="3" t="s">
        <v>56</v>
      </c>
      <c r="AB205" s="3" t="s">
        <v>57</v>
      </c>
      <c r="AC205"/>
      <c r="AD205" s="3">
        <v>20.181999999999999</v>
      </c>
      <c r="AE205" s="3">
        <v>20.616</v>
      </c>
      <c r="AF205"/>
      <c r="AG205" s="3">
        <v>1.44</v>
      </c>
      <c r="AH205" s="3">
        <v>46.08</v>
      </c>
      <c r="AI205" s="3">
        <v>12.51</v>
      </c>
      <c r="AJ205" s="3">
        <v>33.25</v>
      </c>
      <c r="AK205" s="3" t="s">
        <v>58</v>
      </c>
      <c r="AL205" s="10">
        <v>39.9</v>
      </c>
      <c r="AM205" t="s">
        <v>5520</v>
      </c>
      <c r="AN205" s="74" t="s">
        <v>5636</v>
      </c>
    </row>
    <row r="206" spans="1:40" s="37" customFormat="1" ht="14.25" customHeight="1" x14ac:dyDescent="0.3">
      <c r="A206" s="3" t="s">
        <v>1720</v>
      </c>
      <c r="B206" s="3" t="s">
        <v>1741</v>
      </c>
      <c r="C206" s="3" t="s">
        <v>1722</v>
      </c>
      <c r="D206" s="3" t="s">
        <v>1742</v>
      </c>
      <c r="E206" s="3" t="s">
        <v>1724</v>
      </c>
      <c r="F206" s="3" t="s">
        <v>1725</v>
      </c>
      <c r="G206" s="5" t="s">
        <v>42</v>
      </c>
      <c r="H206" s="5" t="s">
        <v>43</v>
      </c>
      <c r="I206" s="5" t="s">
        <v>44</v>
      </c>
      <c r="J206" s="3" t="s">
        <v>9</v>
      </c>
      <c r="K206" s="3" t="s">
        <v>106</v>
      </c>
      <c r="L206" s="3" t="s">
        <v>67</v>
      </c>
      <c r="M206" s="3" t="s">
        <v>48</v>
      </c>
      <c r="N206" s="100" t="s">
        <v>372</v>
      </c>
      <c r="O206" s="70" t="s">
        <v>586</v>
      </c>
      <c r="P206" s="3" t="s">
        <v>50</v>
      </c>
      <c r="Q206" s="3" t="s">
        <v>68</v>
      </c>
      <c r="R206" s="100">
        <v>4</v>
      </c>
      <c r="S206" s="3" t="s">
        <v>52</v>
      </c>
      <c r="T206" s="3" t="s">
        <v>1726</v>
      </c>
      <c r="U206" s="3" t="s">
        <v>1727</v>
      </c>
      <c r="V206" s="7"/>
      <c r="W206" s="7"/>
      <c r="X206" s="7"/>
      <c r="Y206" s="7"/>
      <c r="Z206" s="3" t="s">
        <v>1728</v>
      </c>
      <c r="AA206" s="3" t="s">
        <v>56</v>
      </c>
      <c r="AB206" s="3" t="s">
        <v>57</v>
      </c>
      <c r="AC206"/>
      <c r="AD206" s="3">
        <v>20.181999999999999</v>
      </c>
      <c r="AE206" s="3">
        <v>20.616</v>
      </c>
      <c r="AF206"/>
      <c r="AG206" s="3">
        <v>1.44</v>
      </c>
      <c r="AH206" s="3">
        <v>46.08</v>
      </c>
      <c r="AI206" s="3">
        <v>12.51</v>
      </c>
      <c r="AJ206" s="3">
        <v>33.25</v>
      </c>
      <c r="AK206" s="3" t="s">
        <v>58</v>
      </c>
      <c r="AL206" s="10">
        <v>39.9</v>
      </c>
      <c r="AM206" t="s">
        <v>5520</v>
      </c>
      <c r="AN206" s="74" t="s">
        <v>5636</v>
      </c>
    </row>
    <row r="207" spans="1:40" s="37" customFormat="1" ht="14.25" customHeight="1" x14ac:dyDescent="0.3">
      <c r="A207" s="3" t="s">
        <v>1720</v>
      </c>
      <c r="B207" s="3" t="s">
        <v>1743</v>
      </c>
      <c r="C207" s="3" t="s">
        <v>1722</v>
      </c>
      <c r="D207" s="3" t="s">
        <v>1744</v>
      </c>
      <c r="E207" s="3" t="s">
        <v>1724</v>
      </c>
      <c r="F207" s="3" t="s">
        <v>1725</v>
      </c>
      <c r="G207" s="5" t="s">
        <v>42</v>
      </c>
      <c r="H207" s="5" t="s">
        <v>43</v>
      </c>
      <c r="I207" s="5" t="s">
        <v>44</v>
      </c>
      <c r="J207" s="3" t="s">
        <v>9</v>
      </c>
      <c r="K207" s="3" t="s">
        <v>106</v>
      </c>
      <c r="L207" s="3" t="s">
        <v>132</v>
      </c>
      <c r="M207" s="3" t="s">
        <v>48</v>
      </c>
      <c r="N207" s="100" t="s">
        <v>887</v>
      </c>
      <c r="O207" s="70" t="s">
        <v>61</v>
      </c>
      <c r="P207" s="3" t="s">
        <v>388</v>
      </c>
      <c r="Q207" s="3" t="s">
        <v>68</v>
      </c>
      <c r="R207" s="100">
        <v>1</v>
      </c>
      <c r="S207" s="3" t="s">
        <v>52</v>
      </c>
      <c r="T207" s="3" t="s">
        <v>1726</v>
      </c>
      <c r="U207" s="3" t="s">
        <v>1727</v>
      </c>
      <c r="V207" s="7"/>
      <c r="W207" s="7"/>
      <c r="X207" s="7"/>
      <c r="Y207" s="7"/>
      <c r="Z207" s="3" t="s">
        <v>1728</v>
      </c>
      <c r="AA207" s="3" t="s">
        <v>56</v>
      </c>
      <c r="AB207" s="3" t="s">
        <v>57</v>
      </c>
      <c r="AC207"/>
      <c r="AD207" s="3">
        <v>26.736000000000001</v>
      </c>
      <c r="AE207" s="3">
        <v>28.073</v>
      </c>
      <c r="AF207"/>
      <c r="AG207" s="3">
        <v>1.44</v>
      </c>
      <c r="AH207" s="3">
        <v>51.84</v>
      </c>
      <c r="AI207" s="3">
        <v>20.32</v>
      </c>
      <c r="AJ207" s="3">
        <v>58.25</v>
      </c>
      <c r="AK207" s="3" t="s">
        <v>58</v>
      </c>
      <c r="AL207" s="10">
        <v>69.899999999999991</v>
      </c>
      <c r="AM207" t="s">
        <v>5520</v>
      </c>
      <c r="AN207" s="74" t="s">
        <v>5636</v>
      </c>
    </row>
    <row r="208" spans="1:40" s="37" customFormat="1" ht="14.25" customHeight="1" x14ac:dyDescent="0.3">
      <c r="A208" s="3" t="s">
        <v>1720</v>
      </c>
      <c r="B208" s="3" t="s">
        <v>1745</v>
      </c>
      <c r="C208" s="3" t="s">
        <v>1722</v>
      </c>
      <c r="D208" s="3" t="s">
        <v>1746</v>
      </c>
      <c r="E208" s="3" t="s">
        <v>1724</v>
      </c>
      <c r="F208" s="3" t="s">
        <v>1725</v>
      </c>
      <c r="G208" s="5" t="s">
        <v>42</v>
      </c>
      <c r="H208" s="5" t="s">
        <v>43</v>
      </c>
      <c r="I208" s="5" t="s">
        <v>44</v>
      </c>
      <c r="J208" s="3" t="s">
        <v>9</v>
      </c>
      <c r="K208" s="3" t="s">
        <v>106</v>
      </c>
      <c r="L208" s="3" t="s">
        <v>132</v>
      </c>
      <c r="M208" s="3" t="s">
        <v>48</v>
      </c>
      <c r="N208" s="100" t="s">
        <v>61</v>
      </c>
      <c r="O208" s="70" t="s">
        <v>61</v>
      </c>
      <c r="P208" s="3" t="s">
        <v>388</v>
      </c>
      <c r="Q208" s="3" t="s">
        <v>68</v>
      </c>
      <c r="R208" s="100">
        <v>1</v>
      </c>
      <c r="S208" s="3" t="s">
        <v>52</v>
      </c>
      <c r="T208" s="3" t="s">
        <v>1726</v>
      </c>
      <c r="U208" s="3" t="s">
        <v>1727</v>
      </c>
      <c r="V208" s="7"/>
      <c r="W208" s="7"/>
      <c r="X208" s="7"/>
      <c r="Y208" s="7"/>
      <c r="Z208" s="3" t="s">
        <v>1728</v>
      </c>
      <c r="AA208" s="3" t="s">
        <v>56</v>
      </c>
      <c r="AB208" s="3" t="s">
        <v>57</v>
      </c>
      <c r="AC208"/>
      <c r="AD208" s="3">
        <v>26.736000000000001</v>
      </c>
      <c r="AE208" s="3">
        <v>28.073</v>
      </c>
      <c r="AF208"/>
      <c r="AG208" s="3">
        <v>1.44</v>
      </c>
      <c r="AH208" s="3">
        <v>51.84</v>
      </c>
      <c r="AI208" s="3">
        <v>20.32</v>
      </c>
      <c r="AJ208" s="3">
        <v>58.25</v>
      </c>
      <c r="AK208" s="3" t="s">
        <v>58</v>
      </c>
      <c r="AL208" s="10">
        <v>69.899999999999991</v>
      </c>
      <c r="AM208" t="s">
        <v>5520</v>
      </c>
      <c r="AN208" s="74" t="s">
        <v>5636</v>
      </c>
    </row>
    <row r="209" spans="1:40" s="37" customFormat="1" ht="14.25" customHeight="1" x14ac:dyDescent="0.3">
      <c r="A209" s="3" t="s">
        <v>1720</v>
      </c>
      <c r="B209" s="3" t="s">
        <v>1747</v>
      </c>
      <c r="C209" s="3" t="s">
        <v>1722</v>
      </c>
      <c r="D209" s="3" t="s">
        <v>1748</v>
      </c>
      <c r="E209" s="3" t="s">
        <v>1724</v>
      </c>
      <c r="F209" s="3" t="s">
        <v>1725</v>
      </c>
      <c r="G209" s="5" t="s">
        <v>42</v>
      </c>
      <c r="H209" s="5" t="s">
        <v>43</v>
      </c>
      <c r="I209" s="5" t="s">
        <v>44</v>
      </c>
      <c r="J209" s="3" t="s">
        <v>9</v>
      </c>
      <c r="K209" s="3" t="s">
        <v>106</v>
      </c>
      <c r="L209" s="3" t="s">
        <v>132</v>
      </c>
      <c r="M209" s="3" t="s">
        <v>48</v>
      </c>
      <c r="N209" s="100" t="s">
        <v>372</v>
      </c>
      <c r="O209" s="70" t="s">
        <v>586</v>
      </c>
      <c r="P209" s="3" t="s">
        <v>388</v>
      </c>
      <c r="Q209" s="3" t="s">
        <v>68</v>
      </c>
      <c r="R209" s="100">
        <v>1</v>
      </c>
      <c r="S209" s="3" t="s">
        <v>52</v>
      </c>
      <c r="T209" s="3" t="s">
        <v>1726</v>
      </c>
      <c r="U209" s="3" t="s">
        <v>1727</v>
      </c>
      <c r="V209" s="7"/>
      <c r="W209" s="7"/>
      <c r="X209" s="7"/>
      <c r="Y209" s="7"/>
      <c r="Z209" s="3" t="s">
        <v>1728</v>
      </c>
      <c r="AA209" s="3" t="s">
        <v>56</v>
      </c>
      <c r="AB209" s="3" t="s">
        <v>57</v>
      </c>
      <c r="AC209"/>
      <c r="AD209" s="3">
        <v>26.736000000000001</v>
      </c>
      <c r="AE209" s="3">
        <v>28.073</v>
      </c>
      <c r="AF209"/>
      <c r="AG209" s="3">
        <v>1.44</v>
      </c>
      <c r="AH209" s="3">
        <v>51.84</v>
      </c>
      <c r="AI209" s="3">
        <v>20.32</v>
      </c>
      <c r="AJ209" s="3">
        <v>58.25</v>
      </c>
      <c r="AK209" s="3" t="s">
        <v>58</v>
      </c>
      <c r="AL209" s="10">
        <v>69.899999999999991</v>
      </c>
      <c r="AM209" t="s">
        <v>5520</v>
      </c>
      <c r="AN209" s="74" t="s">
        <v>5636</v>
      </c>
    </row>
    <row r="210" spans="1:40" s="37" customFormat="1" ht="14.25" customHeight="1" x14ac:dyDescent="0.3">
      <c r="A210" s="3" t="s">
        <v>1720</v>
      </c>
      <c r="B210" s="3" t="s">
        <v>1749</v>
      </c>
      <c r="C210" s="3" t="s">
        <v>1722</v>
      </c>
      <c r="D210" s="3" t="s">
        <v>1750</v>
      </c>
      <c r="E210" s="3" t="s">
        <v>1724</v>
      </c>
      <c r="F210" s="3" t="s">
        <v>1725</v>
      </c>
      <c r="G210" s="5" t="s">
        <v>42</v>
      </c>
      <c r="H210" s="5" t="s">
        <v>43</v>
      </c>
      <c r="I210" s="5" t="s">
        <v>44</v>
      </c>
      <c r="J210" s="3" t="s">
        <v>9</v>
      </c>
      <c r="K210" s="3" t="s">
        <v>106</v>
      </c>
      <c r="L210" s="3" t="s">
        <v>132</v>
      </c>
      <c r="M210" s="3" t="s">
        <v>48</v>
      </c>
      <c r="N210" s="100" t="s">
        <v>279</v>
      </c>
      <c r="O210" s="70" t="s">
        <v>279</v>
      </c>
      <c r="P210" s="3" t="s">
        <v>388</v>
      </c>
      <c r="Q210" s="3" t="s">
        <v>68</v>
      </c>
      <c r="R210" s="100">
        <v>1</v>
      </c>
      <c r="S210" s="3" t="s">
        <v>52</v>
      </c>
      <c r="T210" s="3" t="s">
        <v>1726</v>
      </c>
      <c r="U210" s="3" t="s">
        <v>1727</v>
      </c>
      <c r="V210" s="7"/>
      <c r="W210" s="7"/>
      <c r="X210" s="7"/>
      <c r="Y210" s="7"/>
      <c r="Z210" s="3" t="s">
        <v>1728</v>
      </c>
      <c r="AA210" s="3" t="s">
        <v>56</v>
      </c>
      <c r="AB210" s="3" t="s">
        <v>57</v>
      </c>
      <c r="AC210"/>
      <c r="AD210" s="3">
        <v>25.742000000000001</v>
      </c>
      <c r="AE210" s="3">
        <v>25.942</v>
      </c>
      <c r="AF210"/>
      <c r="AG210" s="3">
        <v>1.44</v>
      </c>
      <c r="AH210" s="3">
        <v>51.84</v>
      </c>
      <c r="AI210" s="3">
        <v>20.32</v>
      </c>
      <c r="AJ210" s="3">
        <v>58.25</v>
      </c>
      <c r="AK210" s="3" t="s">
        <v>58</v>
      </c>
      <c r="AL210" s="10">
        <v>69.899999999999991</v>
      </c>
      <c r="AM210" t="s">
        <v>5520</v>
      </c>
      <c r="AN210" s="74" t="s">
        <v>5636</v>
      </c>
    </row>
    <row r="211" spans="1:40" s="37" customFormat="1" ht="14.25" customHeight="1" x14ac:dyDescent="0.3">
      <c r="A211" s="37" t="s">
        <v>4930</v>
      </c>
      <c r="B211" s="37" t="s">
        <v>4910</v>
      </c>
      <c r="C211" s="37" t="s">
        <v>4909</v>
      </c>
      <c r="D211" s="95" t="s">
        <v>4904</v>
      </c>
      <c r="E211" s="39" t="s">
        <v>4903</v>
      </c>
      <c r="F211" s="37" t="s">
        <v>1725</v>
      </c>
      <c r="G211" s="44" t="s">
        <v>42</v>
      </c>
      <c r="H211" s="44" t="s">
        <v>43</v>
      </c>
      <c r="I211" s="44" t="s">
        <v>44</v>
      </c>
      <c r="J211" s="37" t="s">
        <v>4400</v>
      </c>
      <c r="K211" s="37" t="s">
        <v>106</v>
      </c>
      <c r="L211" s="37" t="s">
        <v>67</v>
      </c>
      <c r="M211" s="37" t="s">
        <v>48</v>
      </c>
      <c r="N211" s="96" t="s">
        <v>4908</v>
      </c>
      <c r="O211" s="77" t="s">
        <v>586</v>
      </c>
      <c r="P211" s="94" t="s">
        <v>4402</v>
      </c>
      <c r="Q211" s="94" t="s">
        <v>68</v>
      </c>
      <c r="R211" s="96">
        <v>2</v>
      </c>
      <c r="S211" s="37" t="s">
        <v>52</v>
      </c>
      <c r="T211" s="37" t="s">
        <v>4531</v>
      </c>
      <c r="U211" s="37" t="s">
        <v>4532</v>
      </c>
      <c r="V211" s="45"/>
      <c r="W211" s="45"/>
      <c r="X211" s="45"/>
      <c r="Y211" s="45"/>
      <c r="Z211" s="37" t="s">
        <v>1728</v>
      </c>
      <c r="AA211" s="37" t="s">
        <v>1771</v>
      </c>
      <c r="AB211" s="37" t="s">
        <v>57</v>
      </c>
      <c r="AD211" s="37">
        <v>32</v>
      </c>
      <c r="AE211" s="37">
        <v>32</v>
      </c>
      <c r="AG211" s="37">
        <v>0.72</v>
      </c>
      <c r="AK211" s="37" t="s">
        <v>58</v>
      </c>
      <c r="AL211" s="37">
        <v>49.9</v>
      </c>
      <c r="AM211" t="s">
        <v>5520</v>
      </c>
      <c r="AN211" s="74" t="s">
        <v>5636</v>
      </c>
    </row>
    <row r="212" spans="1:40" s="37" customFormat="1" ht="14.25" customHeight="1" x14ac:dyDescent="0.3">
      <c r="A212" s="37" t="s">
        <v>4930</v>
      </c>
      <c r="B212" s="37" t="s">
        <v>4911</v>
      </c>
      <c r="C212" s="37" t="s">
        <v>4909</v>
      </c>
      <c r="D212" s="95" t="s">
        <v>4905</v>
      </c>
      <c r="E212" s="39" t="s">
        <v>4903</v>
      </c>
      <c r="F212" s="37" t="s">
        <v>1725</v>
      </c>
      <c r="G212" s="44" t="s">
        <v>42</v>
      </c>
      <c r="H212" s="44" t="s">
        <v>43</v>
      </c>
      <c r="I212" s="44" t="s">
        <v>44</v>
      </c>
      <c r="J212" s="37" t="s">
        <v>4400</v>
      </c>
      <c r="K212" s="37" t="s">
        <v>106</v>
      </c>
      <c r="L212" s="37" t="s">
        <v>67</v>
      </c>
      <c r="M212" s="37" t="s">
        <v>48</v>
      </c>
      <c r="N212" s="96" t="s">
        <v>1874</v>
      </c>
      <c r="O212" s="77" t="s">
        <v>586</v>
      </c>
      <c r="P212" s="94" t="s">
        <v>4402</v>
      </c>
      <c r="Q212" s="94" t="s">
        <v>68</v>
      </c>
      <c r="R212" s="96">
        <v>2</v>
      </c>
      <c r="S212" s="37" t="s">
        <v>52</v>
      </c>
      <c r="T212" s="37" t="s">
        <v>4531</v>
      </c>
      <c r="U212" s="37" t="s">
        <v>4532</v>
      </c>
      <c r="V212" s="45"/>
      <c r="W212" s="45"/>
      <c r="X212" s="45"/>
      <c r="Y212" s="45"/>
      <c r="Z212" s="37" t="s">
        <v>1728</v>
      </c>
      <c r="AA212" s="37" t="s">
        <v>1771</v>
      </c>
      <c r="AB212" s="37" t="s">
        <v>57</v>
      </c>
      <c r="AD212" s="37">
        <v>32</v>
      </c>
      <c r="AE212" s="37">
        <v>32</v>
      </c>
      <c r="AG212" s="37">
        <v>0.72</v>
      </c>
      <c r="AK212" s="37" t="s">
        <v>58</v>
      </c>
      <c r="AL212" s="37">
        <v>49.9</v>
      </c>
      <c r="AM212" t="s">
        <v>5520</v>
      </c>
      <c r="AN212" s="74" t="s">
        <v>5636</v>
      </c>
    </row>
    <row r="213" spans="1:40" s="37" customFormat="1" ht="14.25" customHeight="1" x14ac:dyDescent="0.3">
      <c r="A213" s="37" t="s">
        <v>4930</v>
      </c>
      <c r="B213" s="37" t="s">
        <v>4912</v>
      </c>
      <c r="C213" s="37" t="s">
        <v>4909</v>
      </c>
      <c r="D213" s="95" t="s">
        <v>4906</v>
      </c>
      <c r="E213" s="39" t="s">
        <v>4903</v>
      </c>
      <c r="F213" s="37" t="s">
        <v>1725</v>
      </c>
      <c r="G213" s="44" t="s">
        <v>42</v>
      </c>
      <c r="H213" s="44" t="s">
        <v>43</v>
      </c>
      <c r="I213" s="44" t="s">
        <v>44</v>
      </c>
      <c r="J213" s="37" t="s">
        <v>4400</v>
      </c>
      <c r="K213" s="37" t="s">
        <v>106</v>
      </c>
      <c r="L213" s="37" t="s">
        <v>4401</v>
      </c>
      <c r="M213" s="37" t="s">
        <v>48</v>
      </c>
      <c r="N213" s="96" t="s">
        <v>4908</v>
      </c>
      <c r="O213" s="77" t="s">
        <v>586</v>
      </c>
      <c r="P213" s="94" t="s">
        <v>4402</v>
      </c>
      <c r="Q213" s="94" t="s">
        <v>68</v>
      </c>
      <c r="R213" s="96">
        <v>2</v>
      </c>
      <c r="S213" s="37" t="s">
        <v>52</v>
      </c>
      <c r="T213" s="37" t="s">
        <v>4531</v>
      </c>
      <c r="U213" s="37" t="s">
        <v>4532</v>
      </c>
      <c r="V213" s="45"/>
      <c r="W213" s="45"/>
      <c r="X213" s="45"/>
      <c r="Y213" s="45"/>
      <c r="Z213" s="37" t="s">
        <v>1728</v>
      </c>
      <c r="AA213" s="37" t="s">
        <v>1771</v>
      </c>
      <c r="AB213" s="37" t="s">
        <v>57</v>
      </c>
      <c r="AD213" s="37">
        <v>47.7</v>
      </c>
      <c r="AE213" s="37">
        <v>47.7</v>
      </c>
      <c r="AG213" s="37">
        <v>1.08</v>
      </c>
      <c r="AK213" s="37" t="s">
        <v>58</v>
      </c>
      <c r="AL213" s="37">
        <v>54.9</v>
      </c>
      <c r="AM213" t="s">
        <v>5520</v>
      </c>
      <c r="AN213" s="74" t="s">
        <v>5636</v>
      </c>
    </row>
    <row r="214" spans="1:40" s="37" customFormat="1" ht="14.25" customHeight="1" x14ac:dyDescent="0.3">
      <c r="A214" s="37" t="s">
        <v>4930</v>
      </c>
      <c r="B214" s="37" t="s">
        <v>4913</v>
      </c>
      <c r="C214" s="37" t="s">
        <v>4909</v>
      </c>
      <c r="D214" s="95" t="s">
        <v>4907</v>
      </c>
      <c r="E214" s="39" t="s">
        <v>4903</v>
      </c>
      <c r="F214" s="37" t="s">
        <v>1725</v>
      </c>
      <c r="G214" s="44" t="s">
        <v>42</v>
      </c>
      <c r="H214" s="44" t="s">
        <v>43</v>
      </c>
      <c r="I214" s="44" t="s">
        <v>44</v>
      </c>
      <c r="J214" s="37" t="s">
        <v>4400</v>
      </c>
      <c r="K214" s="37" t="s">
        <v>106</v>
      </c>
      <c r="L214" s="37" t="s">
        <v>4401</v>
      </c>
      <c r="M214" s="37" t="s">
        <v>48</v>
      </c>
      <c r="N214" s="96" t="s">
        <v>1874</v>
      </c>
      <c r="O214" s="77" t="s">
        <v>586</v>
      </c>
      <c r="P214" s="94" t="s">
        <v>4402</v>
      </c>
      <c r="Q214" s="94" t="s">
        <v>68</v>
      </c>
      <c r="R214" s="96">
        <v>2</v>
      </c>
      <c r="S214" s="37" t="s">
        <v>52</v>
      </c>
      <c r="T214" s="37" t="s">
        <v>4531</v>
      </c>
      <c r="U214" s="37" t="s">
        <v>4532</v>
      </c>
      <c r="V214" s="45"/>
      <c r="W214" s="45"/>
      <c r="X214" s="45"/>
      <c r="Y214" s="45"/>
      <c r="Z214" s="37" t="s">
        <v>1728</v>
      </c>
      <c r="AA214" s="37" t="s">
        <v>1771</v>
      </c>
      <c r="AB214" s="37" t="s">
        <v>57</v>
      </c>
      <c r="AD214" s="37">
        <v>47.7</v>
      </c>
      <c r="AE214" s="37">
        <v>47.7</v>
      </c>
      <c r="AG214" s="37">
        <v>1.08</v>
      </c>
      <c r="AK214" s="37" t="s">
        <v>58</v>
      </c>
      <c r="AL214" s="37">
        <v>54.9</v>
      </c>
      <c r="AM214" t="s">
        <v>5520</v>
      </c>
      <c r="AN214" s="74" t="s">
        <v>5636</v>
      </c>
    </row>
    <row r="215" spans="1:40" s="37" customFormat="1" ht="14.25" customHeight="1" x14ac:dyDescent="0.3">
      <c r="A215" s="37" t="s">
        <v>4930</v>
      </c>
      <c r="B215" s="37" t="s">
        <v>4914</v>
      </c>
      <c r="C215" s="37" t="s">
        <v>4909</v>
      </c>
      <c r="D215" s="37" t="s">
        <v>4918</v>
      </c>
      <c r="E215" s="39" t="s">
        <v>4903</v>
      </c>
      <c r="F215" s="37" t="s">
        <v>1725</v>
      </c>
      <c r="G215" s="44" t="s">
        <v>42</v>
      </c>
      <c r="H215" s="44" t="s">
        <v>43</v>
      </c>
      <c r="I215" s="44" t="s">
        <v>44</v>
      </c>
      <c r="J215" s="37" t="s">
        <v>4400</v>
      </c>
      <c r="K215" s="37" t="s">
        <v>106</v>
      </c>
      <c r="L215" s="37" t="s">
        <v>1897</v>
      </c>
      <c r="M215" s="37" t="s">
        <v>48</v>
      </c>
      <c r="N215" s="96" t="s">
        <v>4908</v>
      </c>
      <c r="O215" s="77" t="s">
        <v>586</v>
      </c>
      <c r="P215" s="94" t="s">
        <v>4533</v>
      </c>
      <c r="Q215" s="37" t="s">
        <v>51</v>
      </c>
      <c r="R215" s="96">
        <v>7</v>
      </c>
      <c r="S215" s="37" t="s">
        <v>52</v>
      </c>
      <c r="T215" s="37" t="s">
        <v>4531</v>
      </c>
      <c r="U215" s="37" t="s">
        <v>4532</v>
      </c>
      <c r="V215" s="45"/>
      <c r="W215" s="45"/>
      <c r="X215" s="45"/>
      <c r="Y215" s="45"/>
      <c r="Z215" s="37" t="s">
        <v>1728</v>
      </c>
      <c r="AA215" s="37" t="s">
        <v>1771</v>
      </c>
      <c r="AB215" s="37" t="s">
        <v>57</v>
      </c>
      <c r="AD215" s="47" t="s">
        <v>4922</v>
      </c>
      <c r="AE215" s="47" t="s">
        <v>4922</v>
      </c>
      <c r="AG215" s="37">
        <v>1.26</v>
      </c>
      <c r="AK215" s="37" t="s">
        <v>58</v>
      </c>
      <c r="AL215" s="37">
        <v>43.9</v>
      </c>
      <c r="AM215" t="s">
        <v>5520</v>
      </c>
      <c r="AN215" s="74" t="s">
        <v>5636</v>
      </c>
    </row>
    <row r="216" spans="1:40" s="37" customFormat="1" ht="14.25" customHeight="1" x14ac:dyDescent="0.3">
      <c r="A216" s="37" t="s">
        <v>4930</v>
      </c>
      <c r="B216" s="37" t="s">
        <v>4915</v>
      </c>
      <c r="C216" s="37" t="s">
        <v>4909</v>
      </c>
      <c r="D216" s="37" t="s">
        <v>4919</v>
      </c>
      <c r="E216" s="39" t="s">
        <v>4903</v>
      </c>
      <c r="F216" s="37" t="s">
        <v>1725</v>
      </c>
      <c r="G216" s="44" t="s">
        <v>42</v>
      </c>
      <c r="H216" s="44" t="s">
        <v>43</v>
      </c>
      <c r="I216" s="44" t="s">
        <v>44</v>
      </c>
      <c r="J216" s="37" t="s">
        <v>4400</v>
      </c>
      <c r="K216" s="37" t="s">
        <v>106</v>
      </c>
      <c r="L216" s="37" t="s">
        <v>1897</v>
      </c>
      <c r="M216" s="37" t="s">
        <v>48</v>
      </c>
      <c r="N216" s="96" t="s">
        <v>1874</v>
      </c>
      <c r="O216" s="77" t="s">
        <v>586</v>
      </c>
      <c r="P216" s="94" t="s">
        <v>4533</v>
      </c>
      <c r="Q216" s="37" t="s">
        <v>51</v>
      </c>
      <c r="R216" s="96">
        <v>7</v>
      </c>
      <c r="S216" s="37" t="s">
        <v>52</v>
      </c>
      <c r="T216" s="37" t="s">
        <v>4531</v>
      </c>
      <c r="U216" s="37" t="s">
        <v>4532</v>
      </c>
      <c r="V216" s="45"/>
      <c r="W216" s="45"/>
      <c r="X216" s="45"/>
      <c r="Y216" s="45"/>
      <c r="Z216" s="37" t="s">
        <v>1728</v>
      </c>
      <c r="AA216" s="37" t="s">
        <v>1771</v>
      </c>
      <c r="AB216" s="37" t="s">
        <v>57</v>
      </c>
      <c r="AD216" s="47" t="s">
        <v>4922</v>
      </c>
      <c r="AE216" s="47" t="s">
        <v>4922</v>
      </c>
      <c r="AG216" s="37">
        <v>1.26</v>
      </c>
      <c r="AK216" s="37" t="s">
        <v>58</v>
      </c>
      <c r="AL216" s="37">
        <v>43.9</v>
      </c>
      <c r="AM216" t="s">
        <v>5520</v>
      </c>
      <c r="AN216" s="74" t="s">
        <v>5636</v>
      </c>
    </row>
    <row r="217" spans="1:40" s="37" customFormat="1" ht="14.25" customHeight="1" x14ac:dyDescent="0.3">
      <c r="A217" s="37" t="s">
        <v>4930</v>
      </c>
      <c r="B217" s="37" t="s">
        <v>4916</v>
      </c>
      <c r="C217" s="37" t="s">
        <v>4909</v>
      </c>
      <c r="D217" s="96" t="s">
        <v>4920</v>
      </c>
      <c r="E217" s="39" t="s">
        <v>4903</v>
      </c>
      <c r="F217" s="37" t="s">
        <v>1725</v>
      </c>
      <c r="G217" s="44" t="s">
        <v>42</v>
      </c>
      <c r="H217" s="44" t="s">
        <v>43</v>
      </c>
      <c r="I217" s="44" t="s">
        <v>44</v>
      </c>
      <c r="J217" s="37" t="s">
        <v>4400</v>
      </c>
      <c r="K217" s="37" t="s">
        <v>106</v>
      </c>
      <c r="L217" s="37" t="s">
        <v>67</v>
      </c>
      <c r="M217" s="37" t="s">
        <v>48</v>
      </c>
      <c r="N217" s="94" t="s">
        <v>4908</v>
      </c>
      <c r="O217" s="103" t="s">
        <v>586</v>
      </c>
      <c r="P217" s="94" t="s">
        <v>4533</v>
      </c>
      <c r="Q217" s="94" t="s">
        <v>68</v>
      </c>
      <c r="R217" s="37">
        <v>4</v>
      </c>
      <c r="S217" s="37" t="s">
        <v>52</v>
      </c>
      <c r="T217" s="37" t="s">
        <v>4531</v>
      </c>
      <c r="U217" s="37" t="s">
        <v>4532</v>
      </c>
      <c r="V217" s="45"/>
      <c r="W217" s="45"/>
      <c r="X217" s="45"/>
      <c r="Y217" s="45"/>
      <c r="Z217" s="37" t="s">
        <v>1728</v>
      </c>
      <c r="AA217" s="37" t="s">
        <v>1771</v>
      </c>
      <c r="AB217" s="37" t="s">
        <v>57</v>
      </c>
      <c r="AD217" s="47" t="s">
        <v>4923</v>
      </c>
      <c r="AE217" s="47" t="s">
        <v>4923</v>
      </c>
      <c r="AG217" s="37">
        <v>1.44</v>
      </c>
      <c r="AK217" s="37" t="s">
        <v>58</v>
      </c>
      <c r="AL217" s="37">
        <v>49.9</v>
      </c>
      <c r="AM217" t="s">
        <v>5520</v>
      </c>
      <c r="AN217" s="74" t="s">
        <v>5636</v>
      </c>
    </row>
    <row r="218" spans="1:40" s="37" customFormat="1" ht="14.25" customHeight="1" x14ac:dyDescent="0.3">
      <c r="A218" s="37" t="s">
        <v>4930</v>
      </c>
      <c r="B218" s="37" t="s">
        <v>4917</v>
      </c>
      <c r="C218" s="37" t="s">
        <v>4909</v>
      </c>
      <c r="D218" s="96" t="s">
        <v>4921</v>
      </c>
      <c r="E218" s="39" t="s">
        <v>4903</v>
      </c>
      <c r="F218" s="37" t="s">
        <v>1725</v>
      </c>
      <c r="G218" s="44" t="s">
        <v>42</v>
      </c>
      <c r="H218" s="44" t="s">
        <v>43</v>
      </c>
      <c r="I218" s="44" t="s">
        <v>44</v>
      </c>
      <c r="J218" s="37" t="s">
        <v>4400</v>
      </c>
      <c r="K218" s="37" t="s">
        <v>106</v>
      </c>
      <c r="L218" s="37" t="s">
        <v>67</v>
      </c>
      <c r="M218" s="37" t="s">
        <v>48</v>
      </c>
      <c r="N218" s="94" t="s">
        <v>1874</v>
      </c>
      <c r="O218" s="103" t="s">
        <v>586</v>
      </c>
      <c r="P218" s="94" t="s">
        <v>4533</v>
      </c>
      <c r="Q218" s="43" t="s">
        <v>68</v>
      </c>
      <c r="R218" s="37">
        <v>4</v>
      </c>
      <c r="S218" s="37" t="s">
        <v>52</v>
      </c>
      <c r="T218" s="37" t="s">
        <v>4531</v>
      </c>
      <c r="U218" s="37" t="s">
        <v>4532</v>
      </c>
      <c r="V218" s="45"/>
      <c r="W218" s="45"/>
      <c r="X218" s="45"/>
      <c r="Y218" s="45"/>
      <c r="Z218" s="37" t="s">
        <v>1728</v>
      </c>
      <c r="AA218" s="37" t="s">
        <v>1771</v>
      </c>
      <c r="AB218" s="37" t="s">
        <v>57</v>
      </c>
      <c r="AD218" s="47" t="s">
        <v>4923</v>
      </c>
      <c r="AE218" s="47" t="s">
        <v>4923</v>
      </c>
      <c r="AG218" s="37">
        <v>1.44</v>
      </c>
      <c r="AK218" s="37" t="s">
        <v>58</v>
      </c>
      <c r="AL218" s="37">
        <v>49.9</v>
      </c>
      <c r="AM218" t="s">
        <v>5520</v>
      </c>
      <c r="AN218" s="74" t="s">
        <v>5636</v>
      </c>
    </row>
    <row r="219" spans="1:40" s="37" customFormat="1" ht="14.25" customHeight="1" x14ac:dyDescent="0.3">
      <c r="A219" s="37" t="s">
        <v>475</v>
      </c>
      <c r="B219" s="37" t="s">
        <v>4476</v>
      </c>
      <c r="C219" s="37" t="s">
        <v>477</v>
      </c>
      <c r="D219" s="96" t="s">
        <v>4422</v>
      </c>
      <c r="E219" s="39" t="s">
        <v>4530</v>
      </c>
      <c r="F219" s="37" t="s">
        <v>1725</v>
      </c>
      <c r="G219" s="44" t="s">
        <v>42</v>
      </c>
      <c r="H219" s="44" t="s">
        <v>43</v>
      </c>
      <c r="I219" s="44" t="s">
        <v>44</v>
      </c>
      <c r="J219" s="37" t="s">
        <v>4400</v>
      </c>
      <c r="K219" s="37" t="s">
        <v>480</v>
      </c>
      <c r="L219" s="37" t="s">
        <v>47</v>
      </c>
      <c r="M219" s="37" t="s">
        <v>48</v>
      </c>
      <c r="N219" s="98" t="s">
        <v>4538</v>
      </c>
      <c r="O219" s="102" t="s">
        <v>586</v>
      </c>
      <c r="P219" s="37" t="s">
        <v>4533</v>
      </c>
      <c r="Q219" s="37" t="s">
        <v>51</v>
      </c>
      <c r="R219" s="47" t="s">
        <v>4415</v>
      </c>
      <c r="S219" s="37" t="s">
        <v>52</v>
      </c>
      <c r="T219" s="37" t="s">
        <v>4531</v>
      </c>
      <c r="U219" s="37" t="s">
        <v>4532</v>
      </c>
      <c r="V219" s="45"/>
      <c r="W219" s="45"/>
      <c r="X219" s="45"/>
      <c r="Y219" s="45"/>
      <c r="Z219" s="37" t="s">
        <v>1728</v>
      </c>
      <c r="AA219" s="37" t="s">
        <v>88</v>
      </c>
      <c r="AB219" s="37" t="s">
        <v>57</v>
      </c>
      <c r="AD219" s="37">
        <v>14.75</v>
      </c>
      <c r="AE219" s="37">
        <v>14.75</v>
      </c>
      <c r="AG219" s="47" t="s">
        <v>4556</v>
      </c>
      <c r="AH219" s="47" t="s">
        <v>4552</v>
      </c>
      <c r="AK219" s="37" t="s">
        <v>58</v>
      </c>
      <c r="AL219" s="37">
        <v>59.9</v>
      </c>
      <c r="AM219" t="s">
        <v>5520</v>
      </c>
      <c r="AN219" s="74" t="s">
        <v>5631</v>
      </c>
    </row>
    <row r="220" spans="1:40" s="37" customFormat="1" ht="14.25" customHeight="1" x14ac:dyDescent="0.3">
      <c r="A220" s="37" t="s">
        <v>475</v>
      </c>
      <c r="B220" s="37" t="s">
        <v>4477</v>
      </c>
      <c r="C220" s="37" t="s">
        <v>477</v>
      </c>
      <c r="D220" s="96" t="s">
        <v>4423</v>
      </c>
      <c r="E220" s="39" t="s">
        <v>4530</v>
      </c>
      <c r="F220" s="37" t="s">
        <v>1725</v>
      </c>
      <c r="G220" s="44" t="s">
        <v>42</v>
      </c>
      <c r="H220" s="44" t="s">
        <v>43</v>
      </c>
      <c r="I220" s="44" t="s">
        <v>44</v>
      </c>
      <c r="J220" s="37" t="s">
        <v>4400</v>
      </c>
      <c r="K220" s="37" t="s">
        <v>480</v>
      </c>
      <c r="L220" s="37" t="s">
        <v>47</v>
      </c>
      <c r="M220" s="37" t="s">
        <v>48</v>
      </c>
      <c r="N220" s="98" t="s">
        <v>4539</v>
      </c>
      <c r="O220" s="102" t="s">
        <v>64</v>
      </c>
      <c r="P220" s="37" t="s">
        <v>4533</v>
      </c>
      <c r="Q220" s="43" t="s">
        <v>51</v>
      </c>
      <c r="R220" s="47" t="s">
        <v>4415</v>
      </c>
      <c r="S220" s="37" t="s">
        <v>52</v>
      </c>
      <c r="T220" s="37" t="s">
        <v>4531</v>
      </c>
      <c r="U220" s="37" t="s">
        <v>4532</v>
      </c>
      <c r="V220" s="45"/>
      <c r="W220" s="45"/>
      <c r="X220" s="45"/>
      <c r="Y220" s="45"/>
      <c r="Z220" s="37" t="s">
        <v>1728</v>
      </c>
      <c r="AA220" s="37" t="s">
        <v>88</v>
      </c>
      <c r="AB220" s="37" t="s">
        <v>57</v>
      </c>
      <c r="AD220" s="37">
        <v>14.58</v>
      </c>
      <c r="AE220" s="37">
        <v>14.58</v>
      </c>
      <c r="AG220" s="47" t="s">
        <v>4556</v>
      </c>
      <c r="AH220" s="47" t="s">
        <v>4552</v>
      </c>
      <c r="AK220" s="37" t="s">
        <v>58</v>
      </c>
      <c r="AL220" s="37">
        <v>59.9</v>
      </c>
      <c r="AM220" t="s">
        <v>5520</v>
      </c>
      <c r="AN220" s="74" t="s">
        <v>5631</v>
      </c>
    </row>
    <row r="221" spans="1:40" s="37" customFormat="1" ht="14.25" customHeight="1" x14ac:dyDescent="0.3">
      <c r="A221" s="37" t="s">
        <v>475</v>
      </c>
      <c r="B221" s="37" t="s">
        <v>4478</v>
      </c>
      <c r="C221" s="37" t="s">
        <v>477</v>
      </c>
      <c r="D221" s="96" t="s">
        <v>4424</v>
      </c>
      <c r="E221" s="39" t="s">
        <v>4530</v>
      </c>
      <c r="F221" s="37" t="s">
        <v>1725</v>
      </c>
      <c r="G221" s="44" t="s">
        <v>42</v>
      </c>
      <c r="H221" s="44" t="s">
        <v>43</v>
      </c>
      <c r="I221" s="44" t="s">
        <v>44</v>
      </c>
      <c r="J221" s="37" t="s">
        <v>4400</v>
      </c>
      <c r="K221" s="37" t="s">
        <v>480</v>
      </c>
      <c r="L221" s="37" t="s">
        <v>47</v>
      </c>
      <c r="M221" s="37" t="s">
        <v>48</v>
      </c>
      <c r="N221" s="75" t="s">
        <v>4540</v>
      </c>
      <c r="O221" s="76" t="s">
        <v>64</v>
      </c>
      <c r="P221" s="43" t="s">
        <v>4533</v>
      </c>
      <c r="Q221" s="43" t="s">
        <v>51</v>
      </c>
      <c r="R221" s="47" t="s">
        <v>4415</v>
      </c>
      <c r="S221" s="37" t="s">
        <v>52</v>
      </c>
      <c r="T221" s="37" t="s">
        <v>4531</v>
      </c>
      <c r="U221" s="37" t="s">
        <v>4532</v>
      </c>
      <c r="V221" s="45"/>
      <c r="W221" s="45"/>
      <c r="X221" s="45"/>
      <c r="Y221" s="45"/>
      <c r="Z221" s="37" t="s">
        <v>1728</v>
      </c>
      <c r="AA221" s="37" t="s">
        <v>88</v>
      </c>
      <c r="AB221" s="37" t="s">
        <v>57</v>
      </c>
      <c r="AD221" s="37">
        <v>14.75</v>
      </c>
      <c r="AE221" s="37">
        <v>14.75</v>
      </c>
      <c r="AG221" s="47" t="s">
        <v>4556</v>
      </c>
      <c r="AH221" s="47" t="s">
        <v>4552</v>
      </c>
      <c r="AK221" s="37" t="s">
        <v>58</v>
      </c>
      <c r="AL221" s="37">
        <v>59.9</v>
      </c>
      <c r="AM221" t="s">
        <v>5520</v>
      </c>
      <c r="AN221" s="74" t="s">
        <v>5631</v>
      </c>
    </row>
    <row r="222" spans="1:40" s="37" customFormat="1" ht="14.25" customHeight="1" x14ac:dyDescent="0.3">
      <c r="A222" s="37" t="s">
        <v>475</v>
      </c>
      <c r="B222" s="37" t="s">
        <v>4479</v>
      </c>
      <c r="C222" s="37" t="s">
        <v>477</v>
      </c>
      <c r="D222" s="96" t="s">
        <v>4425</v>
      </c>
      <c r="E222" s="39" t="s">
        <v>4530</v>
      </c>
      <c r="F222" s="37" t="s">
        <v>1725</v>
      </c>
      <c r="G222" s="44" t="s">
        <v>42</v>
      </c>
      <c r="H222" s="44" t="s">
        <v>43</v>
      </c>
      <c r="I222" s="44" t="s">
        <v>44</v>
      </c>
      <c r="J222" s="37" t="s">
        <v>4400</v>
      </c>
      <c r="K222" s="37" t="s">
        <v>480</v>
      </c>
      <c r="L222" s="37" t="s">
        <v>47</v>
      </c>
      <c r="M222" s="37" t="s">
        <v>48</v>
      </c>
      <c r="N222" s="75" t="s">
        <v>4541</v>
      </c>
      <c r="O222" s="76" t="s">
        <v>586</v>
      </c>
      <c r="P222" s="43" t="s">
        <v>4533</v>
      </c>
      <c r="Q222" s="43" t="s">
        <v>51</v>
      </c>
      <c r="R222" s="47" t="s">
        <v>4415</v>
      </c>
      <c r="S222" s="37" t="s">
        <v>52</v>
      </c>
      <c r="T222" s="37" t="s">
        <v>4531</v>
      </c>
      <c r="U222" s="37" t="s">
        <v>4532</v>
      </c>
      <c r="V222" s="45"/>
      <c r="W222" s="45"/>
      <c r="X222" s="45"/>
      <c r="Y222" s="45"/>
      <c r="Z222" s="37" t="s">
        <v>1728</v>
      </c>
      <c r="AA222" s="37" t="s">
        <v>88</v>
      </c>
      <c r="AB222" s="37" t="s">
        <v>57</v>
      </c>
      <c r="AD222" s="37">
        <v>14.57</v>
      </c>
      <c r="AE222" s="37">
        <v>14.57</v>
      </c>
      <c r="AG222" s="47" t="s">
        <v>4556</v>
      </c>
      <c r="AH222" s="47" t="s">
        <v>4552</v>
      </c>
      <c r="AK222" s="37" t="s">
        <v>58</v>
      </c>
      <c r="AL222" s="37">
        <v>59.9</v>
      </c>
      <c r="AM222" t="s">
        <v>5520</v>
      </c>
      <c r="AN222" s="74" t="s">
        <v>5631</v>
      </c>
    </row>
    <row r="223" spans="1:40" s="37" customFormat="1" ht="14.25" customHeight="1" x14ac:dyDescent="0.3">
      <c r="A223" s="37" t="s">
        <v>475</v>
      </c>
      <c r="B223" s="37" t="s">
        <v>4480</v>
      </c>
      <c r="C223" s="37" t="s">
        <v>477</v>
      </c>
      <c r="D223" s="96" t="s">
        <v>4426</v>
      </c>
      <c r="E223" s="39" t="s">
        <v>4530</v>
      </c>
      <c r="F223" s="37" t="s">
        <v>1725</v>
      </c>
      <c r="G223" s="44" t="s">
        <v>42</v>
      </c>
      <c r="H223" s="44" t="s">
        <v>43</v>
      </c>
      <c r="I223" s="44" t="s">
        <v>44</v>
      </c>
      <c r="J223" s="37" t="s">
        <v>4400</v>
      </c>
      <c r="K223" s="37" t="s">
        <v>480</v>
      </c>
      <c r="L223" s="37" t="s">
        <v>47</v>
      </c>
      <c r="M223" s="37" t="s">
        <v>48</v>
      </c>
      <c r="N223" s="75" t="s">
        <v>4542</v>
      </c>
      <c r="O223" s="76" t="s">
        <v>61</v>
      </c>
      <c r="P223" s="43" t="s">
        <v>4533</v>
      </c>
      <c r="Q223" s="43" t="s">
        <v>51</v>
      </c>
      <c r="R223" s="47" t="s">
        <v>4415</v>
      </c>
      <c r="S223" s="37" t="s">
        <v>52</v>
      </c>
      <c r="T223" s="37" t="s">
        <v>4531</v>
      </c>
      <c r="U223" s="37" t="s">
        <v>4532</v>
      </c>
      <c r="V223" s="45"/>
      <c r="W223" s="45"/>
      <c r="X223" s="45"/>
      <c r="Y223" s="45"/>
      <c r="Z223" s="37" t="s">
        <v>1728</v>
      </c>
      <c r="AA223" s="37" t="s">
        <v>88</v>
      </c>
      <c r="AB223" s="37" t="s">
        <v>57</v>
      </c>
      <c r="AD223" s="37">
        <v>14.76</v>
      </c>
      <c r="AE223" s="37">
        <v>14.76</v>
      </c>
      <c r="AG223" s="47" t="s">
        <v>4556</v>
      </c>
      <c r="AH223" s="47" t="s">
        <v>4552</v>
      </c>
      <c r="AK223" s="37" t="s">
        <v>58</v>
      </c>
      <c r="AL223" s="37">
        <v>59.9</v>
      </c>
      <c r="AM223" t="s">
        <v>5520</v>
      </c>
      <c r="AN223" s="74" t="s">
        <v>5631</v>
      </c>
    </row>
    <row r="224" spans="1:40" s="37" customFormat="1" ht="14.25" customHeight="1" x14ac:dyDescent="0.3">
      <c r="A224" s="37" t="s">
        <v>475</v>
      </c>
      <c r="B224" s="37" t="s">
        <v>4481</v>
      </c>
      <c r="C224" s="37" t="s">
        <v>477</v>
      </c>
      <c r="D224" s="96" t="s">
        <v>4427</v>
      </c>
      <c r="E224" s="39" t="s">
        <v>4530</v>
      </c>
      <c r="F224" s="37" t="s">
        <v>1725</v>
      </c>
      <c r="G224" s="44" t="s">
        <v>42</v>
      </c>
      <c r="H224" s="44" t="s">
        <v>43</v>
      </c>
      <c r="I224" s="44" t="s">
        <v>44</v>
      </c>
      <c r="J224" s="37" t="s">
        <v>4400</v>
      </c>
      <c r="K224" s="37" t="s">
        <v>480</v>
      </c>
      <c r="L224" s="37" t="s">
        <v>47</v>
      </c>
      <c r="M224" s="37" t="s">
        <v>48</v>
      </c>
      <c r="N224" s="75" t="s">
        <v>4543</v>
      </c>
      <c r="O224" s="76" t="s">
        <v>586</v>
      </c>
      <c r="P224" s="43" t="s">
        <v>4533</v>
      </c>
      <c r="Q224" s="43" t="s">
        <v>51</v>
      </c>
      <c r="R224" s="47" t="s">
        <v>4415</v>
      </c>
      <c r="S224" s="37" t="s">
        <v>52</v>
      </c>
      <c r="T224" s="37" t="s">
        <v>4531</v>
      </c>
      <c r="U224" s="37" t="s">
        <v>4532</v>
      </c>
      <c r="V224" s="45"/>
      <c r="W224" s="45"/>
      <c r="X224" s="45"/>
      <c r="Y224" s="45"/>
      <c r="Z224" s="37" t="s">
        <v>1728</v>
      </c>
      <c r="AA224" s="37" t="s">
        <v>88</v>
      </c>
      <c r="AB224" s="37" t="s">
        <v>57</v>
      </c>
      <c r="AD224" s="37">
        <v>14.78</v>
      </c>
      <c r="AE224" s="37">
        <v>14.78</v>
      </c>
      <c r="AG224" s="47" t="s">
        <v>4556</v>
      </c>
      <c r="AH224" s="47" t="s">
        <v>4552</v>
      </c>
      <c r="AK224" s="37" t="s">
        <v>58</v>
      </c>
      <c r="AL224" s="37">
        <v>59.9</v>
      </c>
      <c r="AM224" t="s">
        <v>5520</v>
      </c>
      <c r="AN224" s="74" t="s">
        <v>5631</v>
      </c>
    </row>
    <row r="225" spans="1:40" s="37" customFormat="1" ht="14.25" customHeight="1" x14ac:dyDescent="0.3">
      <c r="A225" s="37" t="s">
        <v>475</v>
      </c>
      <c r="B225" s="37" t="s">
        <v>4482</v>
      </c>
      <c r="C225" s="37" t="s">
        <v>477</v>
      </c>
      <c r="D225" s="37" t="s">
        <v>4428</v>
      </c>
      <c r="E225" s="39" t="s">
        <v>4530</v>
      </c>
      <c r="F225" s="37" t="s">
        <v>1725</v>
      </c>
      <c r="G225" s="44" t="s">
        <v>42</v>
      </c>
      <c r="H225" s="44" t="s">
        <v>43</v>
      </c>
      <c r="I225" s="44" t="s">
        <v>44</v>
      </c>
      <c r="J225" s="37" t="s">
        <v>4400</v>
      </c>
      <c r="K225" s="37" t="s">
        <v>480</v>
      </c>
      <c r="L225" s="37" t="s">
        <v>47</v>
      </c>
      <c r="M225" s="37" t="s">
        <v>48</v>
      </c>
      <c r="N225" s="75" t="s">
        <v>4544</v>
      </c>
      <c r="O225" s="76" t="s">
        <v>64</v>
      </c>
      <c r="P225" s="43" t="s">
        <v>4533</v>
      </c>
      <c r="Q225" s="37" t="s">
        <v>51</v>
      </c>
      <c r="R225" s="47" t="s">
        <v>4415</v>
      </c>
      <c r="S225" s="37" t="s">
        <v>52</v>
      </c>
      <c r="T225" s="37" t="s">
        <v>4531</v>
      </c>
      <c r="U225" s="37" t="s">
        <v>4532</v>
      </c>
      <c r="V225" s="45"/>
      <c r="W225" s="45"/>
      <c r="X225" s="45"/>
      <c r="Y225" s="45"/>
      <c r="Z225" s="37" t="s">
        <v>1728</v>
      </c>
      <c r="AA225" s="37" t="s">
        <v>88</v>
      </c>
      <c r="AB225" s="37" t="s">
        <v>57</v>
      </c>
      <c r="AD225" s="37">
        <v>14.82</v>
      </c>
      <c r="AE225" s="37">
        <v>14.82</v>
      </c>
      <c r="AG225" s="47" t="s">
        <v>4556</v>
      </c>
      <c r="AH225" s="47" t="s">
        <v>4552</v>
      </c>
      <c r="AK225" s="37" t="s">
        <v>58</v>
      </c>
      <c r="AL225" s="37">
        <v>59.9</v>
      </c>
      <c r="AM225" t="s">
        <v>5520</v>
      </c>
      <c r="AN225" s="74" t="s">
        <v>5631</v>
      </c>
    </row>
    <row r="226" spans="1:40" s="37" customFormat="1" ht="14.25" customHeight="1" x14ac:dyDescent="0.3">
      <c r="A226" s="37" t="s">
        <v>475</v>
      </c>
      <c r="B226" s="37" t="s">
        <v>4483</v>
      </c>
      <c r="C226" s="37" t="s">
        <v>477</v>
      </c>
      <c r="D226" s="37" t="s">
        <v>4429</v>
      </c>
      <c r="E226" s="39" t="s">
        <v>4530</v>
      </c>
      <c r="F226" s="37" t="s">
        <v>1725</v>
      </c>
      <c r="G226" s="44" t="s">
        <v>42</v>
      </c>
      <c r="H226" s="44" t="s">
        <v>43</v>
      </c>
      <c r="I226" s="44" t="s">
        <v>44</v>
      </c>
      <c r="J226" s="37" t="s">
        <v>4400</v>
      </c>
      <c r="K226" s="37" t="s">
        <v>480</v>
      </c>
      <c r="L226" s="37" t="s">
        <v>47</v>
      </c>
      <c r="M226" s="37" t="s">
        <v>48</v>
      </c>
      <c r="N226" s="75" t="s">
        <v>4545</v>
      </c>
      <c r="O226" s="76" t="s">
        <v>61</v>
      </c>
      <c r="P226" s="43" t="s">
        <v>4533</v>
      </c>
      <c r="Q226" s="37" t="s">
        <v>51</v>
      </c>
      <c r="R226" s="47" t="s">
        <v>4415</v>
      </c>
      <c r="S226" s="37" t="s">
        <v>52</v>
      </c>
      <c r="T226" s="37" t="s">
        <v>4531</v>
      </c>
      <c r="U226" s="37" t="s">
        <v>4532</v>
      </c>
      <c r="V226" s="45"/>
      <c r="W226" s="45"/>
      <c r="X226" s="45"/>
      <c r="Y226" s="45"/>
      <c r="Z226" s="37" t="s">
        <v>1728</v>
      </c>
      <c r="AA226" s="37" t="s">
        <v>88</v>
      </c>
      <c r="AB226" s="37" t="s">
        <v>57</v>
      </c>
      <c r="AD226" s="37">
        <v>14.265000000000001</v>
      </c>
      <c r="AE226" s="37">
        <v>14.265000000000001</v>
      </c>
      <c r="AG226" s="47" t="s">
        <v>4556</v>
      </c>
      <c r="AH226" s="47" t="s">
        <v>4552</v>
      </c>
      <c r="AK226" s="37" t="s">
        <v>58</v>
      </c>
      <c r="AL226" s="37">
        <v>59.9</v>
      </c>
      <c r="AM226" t="s">
        <v>5520</v>
      </c>
      <c r="AN226" s="74" t="s">
        <v>5631</v>
      </c>
    </row>
    <row r="227" spans="1:40" s="37" customFormat="1" ht="14.25" customHeight="1" x14ac:dyDescent="0.3">
      <c r="A227" s="37" t="s">
        <v>475</v>
      </c>
      <c r="B227" s="37" t="s">
        <v>4484</v>
      </c>
      <c r="C227" s="37" t="s">
        <v>477</v>
      </c>
      <c r="D227" s="37" t="s">
        <v>4430</v>
      </c>
      <c r="E227" s="39" t="s">
        <v>4530</v>
      </c>
      <c r="F227" s="37" t="s">
        <v>1725</v>
      </c>
      <c r="G227" s="44" t="s">
        <v>42</v>
      </c>
      <c r="H227" s="44" t="s">
        <v>43</v>
      </c>
      <c r="I227" s="44" t="s">
        <v>44</v>
      </c>
      <c r="J227" s="37" t="s">
        <v>4400</v>
      </c>
      <c r="K227" s="37" t="s">
        <v>480</v>
      </c>
      <c r="L227" s="37" t="s">
        <v>47</v>
      </c>
      <c r="M227" s="37" t="s">
        <v>48</v>
      </c>
      <c r="N227" s="75" t="s">
        <v>4546</v>
      </c>
      <c r="O227" s="76" t="s">
        <v>61</v>
      </c>
      <c r="P227" s="43" t="s">
        <v>4533</v>
      </c>
      <c r="Q227" s="43" t="s">
        <v>51</v>
      </c>
      <c r="R227" s="47" t="s">
        <v>4415</v>
      </c>
      <c r="S227" s="37" t="s">
        <v>52</v>
      </c>
      <c r="T227" s="37" t="s">
        <v>4531</v>
      </c>
      <c r="U227" s="37" t="s">
        <v>4532</v>
      </c>
      <c r="V227" s="45"/>
      <c r="W227" s="45"/>
      <c r="X227" s="45"/>
      <c r="Y227" s="45"/>
      <c r="Z227" s="37" t="s">
        <v>1728</v>
      </c>
      <c r="AA227" s="37" t="s">
        <v>88</v>
      </c>
      <c r="AB227" s="37" t="s">
        <v>57</v>
      </c>
      <c r="AD227" s="37">
        <v>14.47</v>
      </c>
      <c r="AE227" s="37">
        <v>14.47</v>
      </c>
      <c r="AG227" s="47" t="s">
        <v>4556</v>
      </c>
      <c r="AH227" s="47" t="s">
        <v>4552</v>
      </c>
      <c r="AK227" s="37" t="s">
        <v>58</v>
      </c>
      <c r="AL227" s="37">
        <v>59.9</v>
      </c>
      <c r="AM227" t="s">
        <v>5520</v>
      </c>
      <c r="AN227" s="74" t="s">
        <v>5631</v>
      </c>
    </row>
    <row r="228" spans="1:40" s="37" customFormat="1" ht="14.25" customHeight="1" x14ac:dyDescent="0.3">
      <c r="A228" s="37" t="s">
        <v>475</v>
      </c>
      <c r="B228" s="37" t="s">
        <v>4485</v>
      </c>
      <c r="C228" s="37" t="s">
        <v>477</v>
      </c>
      <c r="D228" s="37" t="s">
        <v>4431</v>
      </c>
      <c r="E228" s="39" t="s">
        <v>4530</v>
      </c>
      <c r="F228" s="37" t="s">
        <v>1725</v>
      </c>
      <c r="G228" s="44" t="s">
        <v>42</v>
      </c>
      <c r="H228" s="44" t="s">
        <v>43</v>
      </c>
      <c r="I228" s="44" t="s">
        <v>44</v>
      </c>
      <c r="J228" s="37" t="s">
        <v>4400</v>
      </c>
      <c r="K228" s="37" t="s">
        <v>480</v>
      </c>
      <c r="L228" s="37" t="s">
        <v>47</v>
      </c>
      <c r="M228" s="37" t="s">
        <v>48</v>
      </c>
      <c r="N228" s="75" t="s">
        <v>4546</v>
      </c>
      <c r="O228" s="76" t="s">
        <v>61</v>
      </c>
      <c r="P228" s="43" t="s">
        <v>4402</v>
      </c>
      <c r="Q228" s="43" t="s">
        <v>51</v>
      </c>
      <c r="R228" s="47" t="s">
        <v>4416</v>
      </c>
      <c r="S228" s="37" t="s">
        <v>52</v>
      </c>
      <c r="T228" s="37" t="s">
        <v>4531</v>
      </c>
      <c r="U228" s="37" t="s">
        <v>4532</v>
      </c>
      <c r="V228" s="45"/>
      <c r="W228" s="45"/>
      <c r="X228" s="45"/>
      <c r="Y228" s="45"/>
      <c r="Z228" s="37" t="s">
        <v>1728</v>
      </c>
      <c r="AA228" s="37" t="s">
        <v>88</v>
      </c>
      <c r="AB228" s="37" t="s">
        <v>57</v>
      </c>
      <c r="AD228" s="37">
        <v>31.29</v>
      </c>
      <c r="AE228" s="37">
        <v>31.29</v>
      </c>
      <c r="AG228" s="47" t="s">
        <v>4417</v>
      </c>
      <c r="AH228" s="47" t="s">
        <v>4421</v>
      </c>
      <c r="AK228" s="37" t="s">
        <v>58</v>
      </c>
      <c r="AL228" s="37">
        <v>59.9</v>
      </c>
      <c r="AM228" t="s">
        <v>5520</v>
      </c>
      <c r="AN228" s="74" t="s">
        <v>5631</v>
      </c>
    </row>
    <row r="229" spans="1:40" s="37" customFormat="1" ht="14.25" customHeight="1" x14ac:dyDescent="0.3">
      <c r="A229" s="37" t="s">
        <v>475</v>
      </c>
      <c r="B229" s="37" t="s">
        <v>4486</v>
      </c>
      <c r="C229" s="43" t="s">
        <v>477</v>
      </c>
      <c r="D229" s="37" t="s">
        <v>4432</v>
      </c>
      <c r="E229" s="39" t="s">
        <v>4530</v>
      </c>
      <c r="F229" s="37" t="s">
        <v>1725</v>
      </c>
      <c r="G229" s="44" t="s">
        <v>42</v>
      </c>
      <c r="H229" s="44" t="s">
        <v>43</v>
      </c>
      <c r="I229" s="44" t="s">
        <v>44</v>
      </c>
      <c r="J229" s="37" t="s">
        <v>4400</v>
      </c>
      <c r="K229" s="37" t="s">
        <v>480</v>
      </c>
      <c r="L229" s="43" t="s">
        <v>47</v>
      </c>
      <c r="M229" s="37" t="s">
        <v>48</v>
      </c>
      <c r="N229" s="98" t="s">
        <v>4539</v>
      </c>
      <c r="O229" s="102" t="s">
        <v>64</v>
      </c>
      <c r="P229" s="43" t="s">
        <v>4402</v>
      </c>
      <c r="Q229" s="43" t="s">
        <v>51</v>
      </c>
      <c r="R229" s="47" t="s">
        <v>4416</v>
      </c>
      <c r="S229" s="37" t="s">
        <v>52</v>
      </c>
      <c r="T229" s="37" t="s">
        <v>4531</v>
      </c>
      <c r="U229" s="37" t="s">
        <v>4532</v>
      </c>
      <c r="V229" s="45"/>
      <c r="W229" s="45"/>
      <c r="X229" s="45"/>
      <c r="Y229" s="45"/>
      <c r="Z229" s="37" t="s">
        <v>1728</v>
      </c>
      <c r="AA229" s="37" t="s">
        <v>88</v>
      </c>
      <c r="AB229" s="37" t="s">
        <v>57</v>
      </c>
      <c r="AD229" s="37">
        <v>31.47</v>
      </c>
      <c r="AE229" s="37">
        <v>31.47</v>
      </c>
      <c r="AG229" s="47" t="s">
        <v>4417</v>
      </c>
      <c r="AH229" s="47" t="s">
        <v>4421</v>
      </c>
      <c r="AK229" s="37" t="s">
        <v>58</v>
      </c>
      <c r="AL229" s="37">
        <v>59.9</v>
      </c>
      <c r="AM229" t="s">
        <v>5520</v>
      </c>
      <c r="AN229" s="74" t="s">
        <v>5631</v>
      </c>
    </row>
    <row r="230" spans="1:40" s="37" customFormat="1" ht="14.25" customHeight="1" x14ac:dyDescent="0.3">
      <c r="A230" s="37" t="s">
        <v>475</v>
      </c>
      <c r="B230" s="37" t="s">
        <v>4487</v>
      </c>
      <c r="C230" s="43" t="s">
        <v>477</v>
      </c>
      <c r="D230" s="37" t="s">
        <v>4433</v>
      </c>
      <c r="E230" s="39" t="s">
        <v>4530</v>
      </c>
      <c r="F230" s="37" t="s">
        <v>1725</v>
      </c>
      <c r="G230" s="44" t="s">
        <v>42</v>
      </c>
      <c r="H230" s="44" t="s">
        <v>43</v>
      </c>
      <c r="I230" s="44" t="s">
        <v>44</v>
      </c>
      <c r="J230" s="37" t="s">
        <v>4400</v>
      </c>
      <c r="K230" s="37" t="s">
        <v>480</v>
      </c>
      <c r="L230" s="43" t="s">
        <v>47</v>
      </c>
      <c r="M230" s="37" t="s">
        <v>48</v>
      </c>
      <c r="N230" s="98" t="s">
        <v>4540</v>
      </c>
      <c r="O230" s="102" t="s">
        <v>64</v>
      </c>
      <c r="P230" s="43" t="s">
        <v>4402</v>
      </c>
      <c r="Q230" s="43" t="s">
        <v>51</v>
      </c>
      <c r="R230" s="47" t="s">
        <v>4416</v>
      </c>
      <c r="S230" s="37" t="s">
        <v>52</v>
      </c>
      <c r="T230" s="37" t="s">
        <v>4531</v>
      </c>
      <c r="U230" s="37" t="s">
        <v>4532</v>
      </c>
      <c r="V230" s="45"/>
      <c r="W230" s="45"/>
      <c r="X230" s="45"/>
      <c r="Y230" s="45"/>
      <c r="Z230" s="37" t="s">
        <v>1728</v>
      </c>
      <c r="AA230" s="37" t="s">
        <v>88</v>
      </c>
      <c r="AB230" s="37" t="s">
        <v>57</v>
      </c>
      <c r="AD230" s="37">
        <v>31.19</v>
      </c>
      <c r="AE230" s="37">
        <v>31.19</v>
      </c>
      <c r="AG230" s="47" t="s">
        <v>4417</v>
      </c>
      <c r="AH230" s="47" t="s">
        <v>4421</v>
      </c>
      <c r="AK230" s="37" t="s">
        <v>58</v>
      </c>
      <c r="AL230" s="37">
        <v>59.9</v>
      </c>
      <c r="AM230" t="s">
        <v>5520</v>
      </c>
      <c r="AN230" s="74" t="s">
        <v>5631</v>
      </c>
    </row>
    <row r="231" spans="1:40" s="37" customFormat="1" ht="14.25" customHeight="1" x14ac:dyDescent="0.3">
      <c r="A231" s="37" t="s">
        <v>475</v>
      </c>
      <c r="B231" s="37" t="s">
        <v>4488</v>
      </c>
      <c r="C231" s="43" t="s">
        <v>477</v>
      </c>
      <c r="D231" s="37" t="s">
        <v>4434</v>
      </c>
      <c r="E231" s="39" t="s">
        <v>4530</v>
      </c>
      <c r="F231" s="37" t="s">
        <v>1725</v>
      </c>
      <c r="G231" s="44" t="s">
        <v>42</v>
      </c>
      <c r="H231" s="44" t="s">
        <v>43</v>
      </c>
      <c r="I231" s="44" t="s">
        <v>44</v>
      </c>
      <c r="J231" s="37" t="s">
        <v>4400</v>
      </c>
      <c r="K231" s="37" t="s">
        <v>480</v>
      </c>
      <c r="L231" s="43" t="s">
        <v>47</v>
      </c>
      <c r="M231" s="37" t="s">
        <v>48</v>
      </c>
      <c r="N231" s="98" t="s">
        <v>4541</v>
      </c>
      <c r="O231" s="102" t="s">
        <v>586</v>
      </c>
      <c r="P231" s="43" t="s">
        <v>4402</v>
      </c>
      <c r="Q231" s="43" t="s">
        <v>51</v>
      </c>
      <c r="R231" s="47" t="s">
        <v>4416</v>
      </c>
      <c r="S231" s="37" t="s">
        <v>52</v>
      </c>
      <c r="T231" s="37" t="s">
        <v>4531</v>
      </c>
      <c r="U231" s="37" t="s">
        <v>4532</v>
      </c>
      <c r="V231" s="45"/>
      <c r="W231" s="45"/>
      <c r="X231" s="45"/>
      <c r="Y231" s="45"/>
      <c r="Z231" s="37" t="s">
        <v>1728</v>
      </c>
      <c r="AA231" s="37" t="s">
        <v>88</v>
      </c>
      <c r="AB231" s="37" t="s">
        <v>57</v>
      </c>
      <c r="AD231" s="37">
        <v>31.34</v>
      </c>
      <c r="AE231" s="37">
        <v>31.34</v>
      </c>
      <c r="AG231" s="47" t="s">
        <v>4417</v>
      </c>
      <c r="AH231" s="47" t="s">
        <v>4421</v>
      </c>
      <c r="AK231" s="37" t="s">
        <v>58</v>
      </c>
      <c r="AL231" s="37">
        <v>59.9</v>
      </c>
      <c r="AM231" t="s">
        <v>5520</v>
      </c>
      <c r="AN231" s="74" t="s">
        <v>5631</v>
      </c>
    </row>
    <row r="232" spans="1:40" s="37" customFormat="1" ht="14.25" customHeight="1" x14ac:dyDescent="0.3">
      <c r="A232" s="37" t="s">
        <v>475</v>
      </c>
      <c r="B232" s="37" t="s">
        <v>4489</v>
      </c>
      <c r="C232" s="43" t="s">
        <v>477</v>
      </c>
      <c r="D232" s="37" t="s">
        <v>4435</v>
      </c>
      <c r="E232" s="39" t="s">
        <v>4530</v>
      </c>
      <c r="F232" s="37" t="s">
        <v>1725</v>
      </c>
      <c r="G232" s="44" t="s">
        <v>42</v>
      </c>
      <c r="H232" s="44" t="s">
        <v>43</v>
      </c>
      <c r="I232" s="44" t="s">
        <v>44</v>
      </c>
      <c r="J232" s="37" t="s">
        <v>4400</v>
      </c>
      <c r="K232" s="37" t="s">
        <v>480</v>
      </c>
      <c r="L232" s="43" t="s">
        <v>47</v>
      </c>
      <c r="M232" s="37" t="s">
        <v>48</v>
      </c>
      <c r="N232" s="98" t="s">
        <v>4542</v>
      </c>
      <c r="O232" s="102" t="s">
        <v>61</v>
      </c>
      <c r="P232" s="43" t="s">
        <v>4402</v>
      </c>
      <c r="Q232" s="43" t="s">
        <v>51</v>
      </c>
      <c r="R232" s="47" t="s">
        <v>4416</v>
      </c>
      <c r="S232" s="37" t="s">
        <v>52</v>
      </c>
      <c r="T232" s="37" t="s">
        <v>4531</v>
      </c>
      <c r="U232" s="37" t="s">
        <v>4532</v>
      </c>
      <c r="V232" s="45"/>
      <c r="W232" s="45"/>
      <c r="X232" s="45"/>
      <c r="Y232" s="45"/>
      <c r="Z232" s="37" t="s">
        <v>1728</v>
      </c>
      <c r="AA232" s="37" t="s">
        <v>88</v>
      </c>
      <c r="AB232" s="37" t="s">
        <v>57</v>
      </c>
      <c r="AD232" s="37">
        <v>32</v>
      </c>
      <c r="AE232" s="37">
        <v>32</v>
      </c>
      <c r="AG232" s="47" t="s">
        <v>4417</v>
      </c>
      <c r="AH232" s="47" t="s">
        <v>4421</v>
      </c>
      <c r="AK232" s="37" t="s">
        <v>58</v>
      </c>
      <c r="AL232" s="37">
        <v>59.9</v>
      </c>
      <c r="AM232" t="s">
        <v>5520</v>
      </c>
      <c r="AN232" s="74" t="s">
        <v>5631</v>
      </c>
    </row>
    <row r="233" spans="1:40" s="37" customFormat="1" ht="14.25" customHeight="1" x14ac:dyDescent="0.3">
      <c r="A233" s="37" t="s">
        <v>475</v>
      </c>
      <c r="B233" s="37" t="s">
        <v>4490</v>
      </c>
      <c r="C233" s="43" t="s">
        <v>477</v>
      </c>
      <c r="D233" s="37" t="s">
        <v>4436</v>
      </c>
      <c r="E233" s="39" t="s">
        <v>4530</v>
      </c>
      <c r="F233" s="37" t="s">
        <v>1725</v>
      </c>
      <c r="G233" s="44" t="s">
        <v>42</v>
      </c>
      <c r="H233" s="44" t="s">
        <v>43</v>
      </c>
      <c r="I233" s="44" t="s">
        <v>44</v>
      </c>
      <c r="J233" s="37" t="s">
        <v>4400</v>
      </c>
      <c r="K233" s="37" t="s">
        <v>480</v>
      </c>
      <c r="L233" s="43" t="s">
        <v>47</v>
      </c>
      <c r="M233" s="37" t="s">
        <v>48</v>
      </c>
      <c r="N233" s="98" t="s">
        <v>4543</v>
      </c>
      <c r="O233" s="102" t="s">
        <v>586</v>
      </c>
      <c r="P233" s="43" t="s">
        <v>4402</v>
      </c>
      <c r="Q233" s="37" t="s">
        <v>51</v>
      </c>
      <c r="R233" s="47" t="s">
        <v>4416</v>
      </c>
      <c r="S233" s="37" t="s">
        <v>52</v>
      </c>
      <c r="T233" s="37" t="s">
        <v>4531</v>
      </c>
      <c r="U233" s="37" t="s">
        <v>4532</v>
      </c>
      <c r="V233" s="45"/>
      <c r="W233" s="45"/>
      <c r="X233" s="45"/>
      <c r="Y233" s="45"/>
      <c r="Z233" s="37" t="s">
        <v>1728</v>
      </c>
      <c r="AA233" s="37" t="s">
        <v>88</v>
      </c>
      <c r="AB233" s="37" t="s">
        <v>57</v>
      </c>
      <c r="AD233" s="37">
        <v>31.38</v>
      </c>
      <c r="AE233" s="37">
        <v>31.38</v>
      </c>
      <c r="AG233" s="47" t="s">
        <v>4417</v>
      </c>
      <c r="AH233" s="47" t="s">
        <v>4421</v>
      </c>
      <c r="AK233" s="37" t="s">
        <v>58</v>
      </c>
      <c r="AL233" s="37">
        <v>59.9</v>
      </c>
      <c r="AM233" t="s">
        <v>5520</v>
      </c>
      <c r="AN233" s="74" t="s">
        <v>5631</v>
      </c>
    </row>
    <row r="234" spans="1:40" s="37" customFormat="1" ht="14.25" customHeight="1" x14ac:dyDescent="0.3">
      <c r="A234" s="37" t="s">
        <v>475</v>
      </c>
      <c r="B234" s="37" t="s">
        <v>4491</v>
      </c>
      <c r="C234" s="43" t="s">
        <v>477</v>
      </c>
      <c r="D234" s="37" t="s">
        <v>4437</v>
      </c>
      <c r="E234" s="39" t="s">
        <v>4530</v>
      </c>
      <c r="F234" s="37" t="s">
        <v>1725</v>
      </c>
      <c r="G234" s="44" t="s">
        <v>42</v>
      </c>
      <c r="H234" s="44" t="s">
        <v>43</v>
      </c>
      <c r="I234" s="44" t="s">
        <v>44</v>
      </c>
      <c r="J234" s="37" t="s">
        <v>4400</v>
      </c>
      <c r="K234" s="37" t="s">
        <v>480</v>
      </c>
      <c r="L234" s="43" t="s">
        <v>47</v>
      </c>
      <c r="M234" s="37" t="s">
        <v>48</v>
      </c>
      <c r="N234" s="98" t="s">
        <v>4547</v>
      </c>
      <c r="O234" s="102" t="s">
        <v>61</v>
      </c>
      <c r="P234" s="43" t="s">
        <v>4402</v>
      </c>
      <c r="Q234" s="37" t="s">
        <v>51</v>
      </c>
      <c r="R234" s="47" t="s">
        <v>4416</v>
      </c>
      <c r="S234" s="37" t="s">
        <v>52</v>
      </c>
      <c r="T234" s="37" t="s">
        <v>4531</v>
      </c>
      <c r="U234" s="37" t="s">
        <v>4532</v>
      </c>
      <c r="V234" s="45"/>
      <c r="W234" s="45"/>
      <c r="X234" s="45"/>
      <c r="Y234" s="45"/>
      <c r="Z234" s="37" t="s">
        <v>1728</v>
      </c>
      <c r="AA234" s="37" t="s">
        <v>88</v>
      </c>
      <c r="AB234" s="37" t="s">
        <v>57</v>
      </c>
      <c r="AD234" s="37">
        <v>31.27</v>
      </c>
      <c r="AE234" s="37">
        <v>31.27</v>
      </c>
      <c r="AG234" s="47" t="s">
        <v>4417</v>
      </c>
      <c r="AH234" s="47" t="s">
        <v>4421</v>
      </c>
      <c r="AK234" s="37" t="s">
        <v>58</v>
      </c>
      <c r="AL234" s="37">
        <v>59.9</v>
      </c>
      <c r="AM234" t="s">
        <v>5520</v>
      </c>
      <c r="AN234" s="74" t="s">
        <v>5631</v>
      </c>
    </row>
    <row r="235" spans="1:40" s="37" customFormat="1" ht="14.25" customHeight="1" x14ac:dyDescent="0.3">
      <c r="A235" s="37" t="s">
        <v>475</v>
      </c>
      <c r="B235" s="37" t="s">
        <v>4492</v>
      </c>
      <c r="C235" s="43" t="s">
        <v>477</v>
      </c>
      <c r="D235" s="37" t="s">
        <v>4438</v>
      </c>
      <c r="E235" s="39" t="s">
        <v>4530</v>
      </c>
      <c r="F235" s="37" t="s">
        <v>1725</v>
      </c>
      <c r="G235" s="44" t="s">
        <v>42</v>
      </c>
      <c r="H235" s="44" t="s">
        <v>43</v>
      </c>
      <c r="I235" s="44" t="s">
        <v>44</v>
      </c>
      <c r="J235" s="37" t="s">
        <v>4400</v>
      </c>
      <c r="K235" s="37" t="s">
        <v>480</v>
      </c>
      <c r="L235" s="43" t="s">
        <v>47</v>
      </c>
      <c r="M235" s="37" t="s">
        <v>48</v>
      </c>
      <c r="N235" s="98" t="s">
        <v>4538</v>
      </c>
      <c r="O235" s="102" t="s">
        <v>586</v>
      </c>
      <c r="P235" s="43" t="s">
        <v>4402</v>
      </c>
      <c r="Q235" s="37" t="s">
        <v>51</v>
      </c>
      <c r="R235" s="47" t="s">
        <v>4416</v>
      </c>
      <c r="S235" s="37" t="s">
        <v>52</v>
      </c>
      <c r="T235" s="37" t="s">
        <v>4531</v>
      </c>
      <c r="U235" s="37" t="s">
        <v>4532</v>
      </c>
      <c r="V235" s="45"/>
      <c r="W235" s="45"/>
      <c r="X235" s="45"/>
      <c r="Y235" s="45"/>
      <c r="Z235" s="37" t="s">
        <v>1728</v>
      </c>
      <c r="AA235" s="37" t="s">
        <v>88</v>
      </c>
      <c r="AB235" s="37" t="s">
        <v>57</v>
      </c>
      <c r="AD235" s="37">
        <v>31.19</v>
      </c>
      <c r="AE235" s="37">
        <v>31.19</v>
      </c>
      <c r="AG235" s="47" t="s">
        <v>4417</v>
      </c>
      <c r="AH235" s="47" t="s">
        <v>4421</v>
      </c>
      <c r="AK235" s="37" t="s">
        <v>58</v>
      </c>
      <c r="AL235" s="37">
        <v>59.9</v>
      </c>
      <c r="AM235" t="s">
        <v>5520</v>
      </c>
      <c r="AN235" s="74" t="s">
        <v>5631</v>
      </c>
    </row>
    <row r="236" spans="1:40" s="37" customFormat="1" ht="14.25" customHeight="1" x14ac:dyDescent="0.3">
      <c r="A236" s="37" t="s">
        <v>475</v>
      </c>
      <c r="B236" s="37" t="s">
        <v>4493</v>
      </c>
      <c r="C236" s="43" t="s">
        <v>477</v>
      </c>
      <c r="D236" s="37" t="s">
        <v>4439</v>
      </c>
      <c r="E236" s="39" t="s">
        <v>4530</v>
      </c>
      <c r="F236" s="37" t="s">
        <v>1725</v>
      </c>
      <c r="G236" s="44" t="s">
        <v>42</v>
      </c>
      <c r="H236" s="44" t="s">
        <v>43</v>
      </c>
      <c r="I236" s="44" t="s">
        <v>44</v>
      </c>
      <c r="J236" s="37" t="s">
        <v>4400</v>
      </c>
      <c r="K236" s="37" t="s">
        <v>480</v>
      </c>
      <c r="L236" s="43" t="s">
        <v>47</v>
      </c>
      <c r="M236" s="37" t="s">
        <v>48</v>
      </c>
      <c r="N236" s="98" t="s">
        <v>4548</v>
      </c>
      <c r="O236" s="102" t="s">
        <v>586</v>
      </c>
      <c r="P236" s="43" t="s">
        <v>4402</v>
      </c>
      <c r="Q236" s="37" t="s">
        <v>51</v>
      </c>
      <c r="R236" s="47" t="s">
        <v>4416</v>
      </c>
      <c r="S236" s="37" t="s">
        <v>52</v>
      </c>
      <c r="T236" s="37" t="s">
        <v>4531</v>
      </c>
      <c r="U236" s="37" t="s">
        <v>4532</v>
      </c>
      <c r="V236" s="45"/>
      <c r="W236" s="45"/>
      <c r="X236" s="45"/>
      <c r="Y236" s="45"/>
      <c r="Z236" s="37" t="s">
        <v>1728</v>
      </c>
      <c r="AA236" s="37" t="s">
        <v>88</v>
      </c>
      <c r="AB236" s="37" t="s">
        <v>57</v>
      </c>
      <c r="AD236" s="37">
        <v>31.51</v>
      </c>
      <c r="AE236" s="37">
        <v>31.51</v>
      </c>
      <c r="AG236" s="47" t="s">
        <v>4417</v>
      </c>
      <c r="AH236" s="47" t="s">
        <v>4421</v>
      </c>
      <c r="AK236" s="37" t="s">
        <v>58</v>
      </c>
      <c r="AL236" s="37">
        <v>59.9</v>
      </c>
      <c r="AM236" t="s">
        <v>5520</v>
      </c>
      <c r="AN236" s="74" t="s">
        <v>5631</v>
      </c>
    </row>
    <row r="237" spans="1:40" s="37" customFormat="1" ht="14.25" customHeight="1" x14ac:dyDescent="0.3">
      <c r="A237" s="37" t="s">
        <v>475</v>
      </c>
      <c r="B237" s="37" t="s">
        <v>4494</v>
      </c>
      <c r="C237" s="43" t="s">
        <v>477</v>
      </c>
      <c r="D237" s="37" t="s">
        <v>4440</v>
      </c>
      <c r="E237" s="39" t="s">
        <v>4530</v>
      </c>
      <c r="F237" s="37" t="s">
        <v>1725</v>
      </c>
      <c r="G237" s="44" t="s">
        <v>42</v>
      </c>
      <c r="H237" s="44" t="s">
        <v>43</v>
      </c>
      <c r="I237" s="44" t="s">
        <v>44</v>
      </c>
      <c r="J237" s="37" t="s">
        <v>4400</v>
      </c>
      <c r="K237" s="37" t="s">
        <v>480</v>
      </c>
      <c r="L237" s="43" t="s">
        <v>47</v>
      </c>
      <c r="M237" s="37" t="s">
        <v>48</v>
      </c>
      <c r="N237" s="98" t="s">
        <v>4549</v>
      </c>
      <c r="O237" s="102" t="s">
        <v>64</v>
      </c>
      <c r="P237" s="43" t="s">
        <v>4402</v>
      </c>
      <c r="Q237" s="43" t="s">
        <v>51</v>
      </c>
      <c r="R237" s="47" t="s">
        <v>4416</v>
      </c>
      <c r="S237" s="37" t="s">
        <v>52</v>
      </c>
      <c r="T237" s="37" t="s">
        <v>4531</v>
      </c>
      <c r="U237" s="37" t="s">
        <v>4532</v>
      </c>
      <c r="V237" s="45"/>
      <c r="W237" s="45"/>
      <c r="X237" s="45"/>
      <c r="Y237" s="45"/>
      <c r="Z237" s="37" t="s">
        <v>1728</v>
      </c>
      <c r="AA237" s="37" t="s">
        <v>88</v>
      </c>
      <c r="AB237" s="37" t="s">
        <v>57</v>
      </c>
      <c r="AD237" s="37">
        <v>31.45</v>
      </c>
      <c r="AE237" s="37">
        <v>31.45</v>
      </c>
      <c r="AG237" s="47" t="s">
        <v>4417</v>
      </c>
      <c r="AH237" s="47" t="s">
        <v>4421</v>
      </c>
      <c r="AK237" s="37" t="s">
        <v>58</v>
      </c>
      <c r="AL237" s="37">
        <v>59.9</v>
      </c>
      <c r="AM237" t="s">
        <v>5520</v>
      </c>
      <c r="AN237" s="74" t="s">
        <v>5631</v>
      </c>
    </row>
    <row r="238" spans="1:40" s="37" customFormat="1" ht="14.25" customHeight="1" x14ac:dyDescent="0.3">
      <c r="A238" s="37" t="s">
        <v>475</v>
      </c>
      <c r="B238" s="37" t="s">
        <v>4495</v>
      </c>
      <c r="C238" s="43" t="s">
        <v>477</v>
      </c>
      <c r="D238" s="37" t="s">
        <v>4441</v>
      </c>
      <c r="E238" s="39" t="s">
        <v>4530</v>
      </c>
      <c r="F238" s="37" t="s">
        <v>1725</v>
      </c>
      <c r="G238" s="44" t="s">
        <v>42</v>
      </c>
      <c r="H238" s="44" t="s">
        <v>43</v>
      </c>
      <c r="I238" s="44" t="s">
        <v>44</v>
      </c>
      <c r="J238" s="37" t="s">
        <v>4400</v>
      </c>
      <c r="K238" s="37" t="s">
        <v>480</v>
      </c>
      <c r="L238" s="43" t="s">
        <v>47</v>
      </c>
      <c r="M238" s="37" t="s">
        <v>48</v>
      </c>
      <c r="N238" s="98" t="s">
        <v>4550</v>
      </c>
      <c r="O238" s="102" t="s">
        <v>64</v>
      </c>
      <c r="P238" s="43" t="s">
        <v>4402</v>
      </c>
      <c r="Q238" s="43" t="s">
        <v>51</v>
      </c>
      <c r="R238" s="47" t="s">
        <v>4416</v>
      </c>
      <c r="S238" s="37" t="s">
        <v>52</v>
      </c>
      <c r="T238" s="37" t="s">
        <v>4531</v>
      </c>
      <c r="U238" s="37" t="s">
        <v>4532</v>
      </c>
      <c r="V238" s="45"/>
      <c r="W238" s="45"/>
      <c r="X238" s="45"/>
      <c r="Y238" s="45"/>
      <c r="Z238" s="37" t="s">
        <v>1728</v>
      </c>
      <c r="AA238" s="37" t="s">
        <v>88</v>
      </c>
      <c r="AB238" s="37" t="s">
        <v>57</v>
      </c>
      <c r="AD238" s="37">
        <v>31.3</v>
      </c>
      <c r="AE238" s="37">
        <v>31.3</v>
      </c>
      <c r="AG238" s="47" t="s">
        <v>4417</v>
      </c>
      <c r="AH238" s="47" t="s">
        <v>4421</v>
      </c>
      <c r="AK238" s="37" t="s">
        <v>58</v>
      </c>
      <c r="AL238" s="37">
        <v>59.9</v>
      </c>
      <c r="AM238" t="s">
        <v>5520</v>
      </c>
      <c r="AN238" s="74" t="s">
        <v>5631</v>
      </c>
    </row>
    <row r="239" spans="1:40" s="37" customFormat="1" ht="14.25" customHeight="1" x14ac:dyDescent="0.3">
      <c r="A239" s="37" t="s">
        <v>475</v>
      </c>
      <c r="B239" s="37" t="s">
        <v>4496</v>
      </c>
      <c r="C239" s="43" t="s">
        <v>477</v>
      </c>
      <c r="D239" s="37" t="s">
        <v>4442</v>
      </c>
      <c r="E239" s="39" t="s">
        <v>4530</v>
      </c>
      <c r="F239" s="37" t="s">
        <v>1725</v>
      </c>
      <c r="G239" s="44" t="s">
        <v>42</v>
      </c>
      <c r="H239" s="44" t="s">
        <v>43</v>
      </c>
      <c r="I239" s="44" t="s">
        <v>44</v>
      </c>
      <c r="J239" s="37" t="s">
        <v>4400</v>
      </c>
      <c r="K239" s="37" t="s">
        <v>480</v>
      </c>
      <c r="L239" s="43" t="s">
        <v>47</v>
      </c>
      <c r="M239" s="37" t="s">
        <v>48</v>
      </c>
      <c r="N239" s="98" t="s">
        <v>4551</v>
      </c>
      <c r="O239" s="102" t="s">
        <v>586</v>
      </c>
      <c r="P239" s="43" t="s">
        <v>4402</v>
      </c>
      <c r="Q239" s="43" t="s">
        <v>51</v>
      </c>
      <c r="R239" s="47" t="s">
        <v>4416</v>
      </c>
      <c r="S239" s="37" t="s">
        <v>52</v>
      </c>
      <c r="T239" s="37" t="s">
        <v>4531</v>
      </c>
      <c r="U239" s="37" t="s">
        <v>4532</v>
      </c>
      <c r="V239" s="45"/>
      <c r="W239" s="45"/>
      <c r="X239" s="45"/>
      <c r="Y239" s="45"/>
      <c r="Z239" s="37" t="s">
        <v>1728</v>
      </c>
      <c r="AA239" s="37" t="s">
        <v>88</v>
      </c>
      <c r="AB239" s="37" t="s">
        <v>57</v>
      </c>
      <c r="AD239" s="37">
        <v>31.45</v>
      </c>
      <c r="AE239" s="37">
        <v>31.45</v>
      </c>
      <c r="AG239" s="47" t="s">
        <v>4417</v>
      </c>
      <c r="AH239" s="47" t="s">
        <v>4421</v>
      </c>
      <c r="AK239" s="37" t="s">
        <v>58</v>
      </c>
      <c r="AL239" s="37">
        <v>59.9</v>
      </c>
      <c r="AM239" t="s">
        <v>5520</v>
      </c>
      <c r="AN239" s="74" t="s">
        <v>5631</v>
      </c>
    </row>
    <row r="240" spans="1:40" s="37" customFormat="1" ht="14.25" customHeight="1" x14ac:dyDescent="0.3">
      <c r="A240" s="37" t="s">
        <v>475</v>
      </c>
      <c r="B240" s="37" t="s">
        <v>4497</v>
      </c>
      <c r="C240" s="43" t="s">
        <v>477</v>
      </c>
      <c r="D240" s="37" t="s">
        <v>4443</v>
      </c>
      <c r="E240" s="39" t="s">
        <v>4530</v>
      </c>
      <c r="F240" s="37" t="s">
        <v>1725</v>
      </c>
      <c r="G240" s="44" t="s">
        <v>42</v>
      </c>
      <c r="H240" s="44" t="s">
        <v>43</v>
      </c>
      <c r="I240" s="44" t="s">
        <v>44</v>
      </c>
      <c r="J240" s="37" t="s">
        <v>4400</v>
      </c>
      <c r="K240" s="37" t="s">
        <v>480</v>
      </c>
      <c r="L240" s="43" t="s">
        <v>47</v>
      </c>
      <c r="M240" s="37" t="s">
        <v>48</v>
      </c>
      <c r="N240" s="98" t="s">
        <v>4545</v>
      </c>
      <c r="O240" s="102" t="s">
        <v>61</v>
      </c>
      <c r="P240" s="43" t="s">
        <v>4402</v>
      </c>
      <c r="Q240" s="43" t="s">
        <v>51</v>
      </c>
      <c r="R240" s="47" t="s">
        <v>4416</v>
      </c>
      <c r="S240" s="37" t="s">
        <v>52</v>
      </c>
      <c r="T240" s="37" t="s">
        <v>4531</v>
      </c>
      <c r="U240" s="37" t="s">
        <v>4532</v>
      </c>
      <c r="V240" s="45"/>
      <c r="W240" s="45"/>
      <c r="X240" s="45"/>
      <c r="Y240" s="45"/>
      <c r="Z240" s="37" t="s">
        <v>1728</v>
      </c>
      <c r="AA240" s="37" t="s">
        <v>88</v>
      </c>
      <c r="AB240" s="37" t="s">
        <v>57</v>
      </c>
      <c r="AD240" s="37">
        <v>31.1</v>
      </c>
      <c r="AE240" s="37">
        <v>31.1</v>
      </c>
      <c r="AG240" s="47" t="s">
        <v>4417</v>
      </c>
      <c r="AH240" s="47" t="s">
        <v>4421</v>
      </c>
      <c r="AK240" s="37" t="s">
        <v>58</v>
      </c>
      <c r="AL240" s="37">
        <v>59.9</v>
      </c>
      <c r="AM240" t="s">
        <v>5520</v>
      </c>
      <c r="AN240" s="74" t="s">
        <v>5631</v>
      </c>
    </row>
    <row r="241" spans="1:40" s="37" customFormat="1" ht="14.25" customHeight="1" x14ac:dyDescent="0.3">
      <c r="A241" s="37" t="s">
        <v>475</v>
      </c>
      <c r="B241" s="37" t="s">
        <v>4498</v>
      </c>
      <c r="C241" s="43" t="s">
        <v>477</v>
      </c>
      <c r="D241" s="37" t="s">
        <v>4444</v>
      </c>
      <c r="E241" s="39" t="s">
        <v>4530</v>
      </c>
      <c r="F241" s="37" t="s">
        <v>1725</v>
      </c>
      <c r="G241" s="44" t="s">
        <v>42</v>
      </c>
      <c r="H241" s="44" t="s">
        <v>43</v>
      </c>
      <c r="I241" s="44" t="s">
        <v>44</v>
      </c>
      <c r="J241" s="37" t="s">
        <v>4400</v>
      </c>
      <c r="K241" s="37" t="s">
        <v>480</v>
      </c>
      <c r="L241" s="43" t="s">
        <v>132</v>
      </c>
      <c r="M241" s="37" t="s">
        <v>48</v>
      </c>
      <c r="N241" s="98" t="s">
        <v>4543</v>
      </c>
      <c r="O241" s="102" t="s">
        <v>586</v>
      </c>
      <c r="P241" s="43" t="s">
        <v>4402</v>
      </c>
      <c r="Q241" s="37" t="s">
        <v>68</v>
      </c>
      <c r="R241" s="47" t="s">
        <v>4416</v>
      </c>
      <c r="S241" s="37" t="s">
        <v>52</v>
      </c>
      <c r="T241" s="37" t="s">
        <v>4531</v>
      </c>
      <c r="U241" s="37" t="s">
        <v>4532</v>
      </c>
      <c r="V241" s="45"/>
      <c r="W241" s="45"/>
      <c r="X241" s="45"/>
      <c r="Y241" s="45"/>
      <c r="Z241" s="37" t="s">
        <v>1728</v>
      </c>
      <c r="AA241" s="37" t="s">
        <v>88</v>
      </c>
      <c r="AB241" s="37" t="s">
        <v>57</v>
      </c>
      <c r="AD241" s="37">
        <v>63.25</v>
      </c>
      <c r="AE241" s="37">
        <v>63.25</v>
      </c>
      <c r="AG241" s="47" t="s">
        <v>4556</v>
      </c>
      <c r="AH241" s="47" t="s">
        <v>4553</v>
      </c>
      <c r="AK241" s="37" t="s">
        <v>58</v>
      </c>
      <c r="AL241" s="37">
        <v>79.900000000000006</v>
      </c>
      <c r="AM241" t="s">
        <v>5520</v>
      </c>
      <c r="AN241" s="74" t="s">
        <v>5631</v>
      </c>
    </row>
    <row r="242" spans="1:40" s="37" customFormat="1" ht="14.25" customHeight="1" x14ac:dyDescent="0.3">
      <c r="A242" s="37" t="s">
        <v>475</v>
      </c>
      <c r="B242" s="37" t="s">
        <v>4499</v>
      </c>
      <c r="C242" s="43" t="s">
        <v>477</v>
      </c>
      <c r="D242" s="37" t="s">
        <v>4445</v>
      </c>
      <c r="E242" s="39" t="s">
        <v>4530</v>
      </c>
      <c r="F242" s="37" t="s">
        <v>1725</v>
      </c>
      <c r="G242" s="44" t="s">
        <v>42</v>
      </c>
      <c r="H242" s="44" t="s">
        <v>43</v>
      </c>
      <c r="I242" s="44" t="s">
        <v>44</v>
      </c>
      <c r="J242" s="37" t="s">
        <v>4400</v>
      </c>
      <c r="K242" s="37" t="s">
        <v>480</v>
      </c>
      <c r="L242" s="43" t="s">
        <v>132</v>
      </c>
      <c r="M242" s="37" t="s">
        <v>48</v>
      </c>
      <c r="N242" s="98" t="s">
        <v>4540</v>
      </c>
      <c r="O242" s="102" t="s">
        <v>64</v>
      </c>
      <c r="P242" s="43" t="s">
        <v>4402</v>
      </c>
      <c r="Q242" s="37" t="s">
        <v>68</v>
      </c>
      <c r="R242" s="47" t="s">
        <v>4416</v>
      </c>
      <c r="S242" s="37" t="s">
        <v>52</v>
      </c>
      <c r="T242" s="37" t="s">
        <v>4531</v>
      </c>
      <c r="U242" s="37" t="s">
        <v>4532</v>
      </c>
      <c r="V242" s="45"/>
      <c r="W242" s="45"/>
      <c r="X242" s="45"/>
      <c r="Y242" s="45"/>
      <c r="Z242" s="37" t="s">
        <v>1728</v>
      </c>
      <c r="AA242" s="37" t="s">
        <v>88</v>
      </c>
      <c r="AB242" s="37" t="s">
        <v>57</v>
      </c>
      <c r="AD242" s="37">
        <v>63.25</v>
      </c>
      <c r="AE242" s="37">
        <v>63.25</v>
      </c>
      <c r="AG242" s="47" t="s">
        <v>4556</v>
      </c>
      <c r="AH242" s="47" t="s">
        <v>4553</v>
      </c>
      <c r="AK242" s="37" t="s">
        <v>58</v>
      </c>
      <c r="AL242" s="37">
        <v>79.900000000000006</v>
      </c>
      <c r="AM242" t="s">
        <v>5520</v>
      </c>
      <c r="AN242" s="74" t="s">
        <v>5631</v>
      </c>
    </row>
    <row r="243" spans="1:40" s="37" customFormat="1" ht="14.25" customHeight="1" x14ac:dyDescent="0.3">
      <c r="A243" s="37" t="s">
        <v>475</v>
      </c>
      <c r="B243" s="37" t="s">
        <v>4500</v>
      </c>
      <c r="C243" s="43" t="s">
        <v>477</v>
      </c>
      <c r="D243" s="37" t="s">
        <v>4446</v>
      </c>
      <c r="E243" s="39" t="s">
        <v>4530</v>
      </c>
      <c r="F243" s="37" t="s">
        <v>1725</v>
      </c>
      <c r="G243" s="44" t="s">
        <v>42</v>
      </c>
      <c r="H243" s="44" t="s">
        <v>43</v>
      </c>
      <c r="I243" s="44" t="s">
        <v>44</v>
      </c>
      <c r="J243" s="37" t="s">
        <v>4400</v>
      </c>
      <c r="K243" s="37" t="s">
        <v>480</v>
      </c>
      <c r="L243" s="43" t="s">
        <v>132</v>
      </c>
      <c r="M243" s="37" t="s">
        <v>48</v>
      </c>
      <c r="N243" s="98" t="s">
        <v>4538</v>
      </c>
      <c r="O243" s="102" t="s">
        <v>586</v>
      </c>
      <c r="P243" s="43" t="s">
        <v>4402</v>
      </c>
      <c r="Q243" s="37" t="s">
        <v>68</v>
      </c>
      <c r="R243" s="47" t="s">
        <v>4416</v>
      </c>
      <c r="S243" s="37" t="s">
        <v>52</v>
      </c>
      <c r="T243" s="37" t="s">
        <v>4531</v>
      </c>
      <c r="U243" s="37" t="s">
        <v>4532</v>
      </c>
      <c r="V243" s="45"/>
      <c r="W243" s="45"/>
      <c r="X243" s="45"/>
      <c r="Y243" s="45"/>
      <c r="Z243" s="37" t="s">
        <v>1728</v>
      </c>
      <c r="AA243" s="37" t="s">
        <v>88</v>
      </c>
      <c r="AB243" s="37" t="s">
        <v>57</v>
      </c>
      <c r="AD243" s="37">
        <v>63.25</v>
      </c>
      <c r="AE243" s="37">
        <v>63.25</v>
      </c>
      <c r="AG243" s="47" t="s">
        <v>4556</v>
      </c>
      <c r="AH243" s="47" t="s">
        <v>4553</v>
      </c>
      <c r="AK243" s="37" t="s">
        <v>58</v>
      </c>
      <c r="AL243" s="37">
        <v>79.900000000000006</v>
      </c>
      <c r="AM243" t="s">
        <v>5520</v>
      </c>
      <c r="AN243" s="74" t="s">
        <v>5631</v>
      </c>
    </row>
    <row r="244" spans="1:40" s="37" customFormat="1" ht="14.25" customHeight="1" x14ac:dyDescent="0.3">
      <c r="A244" s="37" t="s">
        <v>475</v>
      </c>
      <c r="B244" s="37" t="s">
        <v>4501</v>
      </c>
      <c r="C244" s="43" t="s">
        <v>477</v>
      </c>
      <c r="D244" s="37" t="s">
        <v>4447</v>
      </c>
      <c r="E244" s="39" t="s">
        <v>4530</v>
      </c>
      <c r="F244" s="37" t="s">
        <v>1725</v>
      </c>
      <c r="G244" s="44" t="s">
        <v>42</v>
      </c>
      <c r="H244" s="44" t="s">
        <v>43</v>
      </c>
      <c r="I244" s="44" t="s">
        <v>44</v>
      </c>
      <c r="J244" s="37" t="s">
        <v>4400</v>
      </c>
      <c r="K244" s="37" t="s">
        <v>480</v>
      </c>
      <c r="L244" s="43" t="s">
        <v>132</v>
      </c>
      <c r="M244" s="37" t="s">
        <v>48</v>
      </c>
      <c r="N244" s="98" t="s">
        <v>4543</v>
      </c>
      <c r="O244" s="102" t="s">
        <v>586</v>
      </c>
      <c r="P244" s="43" t="s">
        <v>50</v>
      </c>
      <c r="Q244" s="37" t="s">
        <v>68</v>
      </c>
      <c r="R244" s="47" t="s">
        <v>4415</v>
      </c>
      <c r="S244" s="37" t="s">
        <v>52</v>
      </c>
      <c r="T244" s="37" t="s">
        <v>4531</v>
      </c>
      <c r="U244" s="37" t="s">
        <v>4532</v>
      </c>
      <c r="V244" s="45"/>
      <c r="W244" s="45"/>
      <c r="X244" s="45"/>
      <c r="Y244" s="45"/>
      <c r="Z244" s="37" t="s">
        <v>1728</v>
      </c>
      <c r="AA244" s="37" t="s">
        <v>88</v>
      </c>
      <c r="AB244" s="37" t="s">
        <v>57</v>
      </c>
      <c r="AD244" s="37">
        <v>30.75</v>
      </c>
      <c r="AE244" s="37">
        <v>30.75</v>
      </c>
      <c r="AG244" s="47" t="s">
        <v>4557</v>
      </c>
      <c r="AH244" s="47" t="s">
        <v>4554</v>
      </c>
      <c r="AK244" s="37" t="s">
        <v>58</v>
      </c>
      <c r="AL244" s="37">
        <v>79.900000000000006</v>
      </c>
      <c r="AM244" t="s">
        <v>5520</v>
      </c>
      <c r="AN244" s="74" t="s">
        <v>5631</v>
      </c>
    </row>
    <row r="245" spans="1:40" s="37" customFormat="1" ht="14.25" customHeight="1" x14ac:dyDescent="0.3">
      <c r="A245" s="37" t="s">
        <v>475</v>
      </c>
      <c r="B245" s="37" t="s">
        <v>4502</v>
      </c>
      <c r="C245" s="43" t="s">
        <v>477</v>
      </c>
      <c r="D245" s="37" t="s">
        <v>4448</v>
      </c>
      <c r="E245" s="39" t="s">
        <v>4530</v>
      </c>
      <c r="F245" s="37" t="s">
        <v>1725</v>
      </c>
      <c r="G245" s="44" t="s">
        <v>42</v>
      </c>
      <c r="H245" s="44" t="s">
        <v>43</v>
      </c>
      <c r="I245" s="44" t="s">
        <v>44</v>
      </c>
      <c r="J245" s="37" t="s">
        <v>4400</v>
      </c>
      <c r="K245" s="37" t="s">
        <v>480</v>
      </c>
      <c r="L245" s="43" t="s">
        <v>132</v>
      </c>
      <c r="M245" s="37" t="s">
        <v>48</v>
      </c>
      <c r="N245" s="98" t="s">
        <v>4545</v>
      </c>
      <c r="O245" s="102" t="s">
        <v>61</v>
      </c>
      <c r="P245" s="43" t="s">
        <v>50</v>
      </c>
      <c r="Q245" s="43" t="s">
        <v>68</v>
      </c>
      <c r="R245" s="47" t="s">
        <v>4415</v>
      </c>
      <c r="S245" s="37" t="s">
        <v>52</v>
      </c>
      <c r="T245" s="37" t="s">
        <v>4531</v>
      </c>
      <c r="U245" s="37" t="s">
        <v>4532</v>
      </c>
      <c r="V245" s="45"/>
      <c r="W245" s="45"/>
      <c r="X245" s="45"/>
      <c r="Y245" s="45"/>
      <c r="Z245" s="37" t="s">
        <v>1728</v>
      </c>
      <c r="AA245" s="37" t="s">
        <v>88</v>
      </c>
      <c r="AB245" s="37" t="s">
        <v>57</v>
      </c>
      <c r="AD245" s="37">
        <v>30.45</v>
      </c>
      <c r="AE245" s="37">
        <v>30.45</v>
      </c>
      <c r="AG245" s="47" t="s">
        <v>4557</v>
      </c>
      <c r="AH245" s="47" t="s">
        <v>4554</v>
      </c>
      <c r="AK245" s="37" t="s">
        <v>58</v>
      </c>
      <c r="AL245" s="37">
        <v>79.900000000000006</v>
      </c>
      <c r="AM245" t="s">
        <v>5520</v>
      </c>
      <c r="AN245" s="74" t="s">
        <v>5631</v>
      </c>
    </row>
    <row r="246" spans="1:40" s="37" customFormat="1" ht="14.25" customHeight="1" x14ac:dyDescent="0.3">
      <c r="A246" s="37" t="s">
        <v>475</v>
      </c>
      <c r="B246" s="37" t="s">
        <v>4503</v>
      </c>
      <c r="C246" s="43" t="s">
        <v>477</v>
      </c>
      <c r="D246" s="37" t="s">
        <v>4449</v>
      </c>
      <c r="E246" s="39" t="s">
        <v>4530</v>
      </c>
      <c r="F246" s="37" t="s">
        <v>1725</v>
      </c>
      <c r="G246" s="44" t="s">
        <v>42</v>
      </c>
      <c r="H246" s="44" t="s">
        <v>43</v>
      </c>
      <c r="I246" s="44" t="s">
        <v>44</v>
      </c>
      <c r="J246" s="37" t="s">
        <v>4400</v>
      </c>
      <c r="K246" s="37" t="s">
        <v>480</v>
      </c>
      <c r="L246" s="43" t="s">
        <v>132</v>
      </c>
      <c r="M246" s="37" t="s">
        <v>48</v>
      </c>
      <c r="N246" s="98" t="s">
        <v>4544</v>
      </c>
      <c r="O246" s="102" t="s">
        <v>64</v>
      </c>
      <c r="P246" s="43" t="s">
        <v>50</v>
      </c>
      <c r="Q246" s="43" t="s">
        <v>68</v>
      </c>
      <c r="R246" s="47" t="s">
        <v>4415</v>
      </c>
      <c r="S246" s="37" t="s">
        <v>52</v>
      </c>
      <c r="T246" s="37" t="s">
        <v>4531</v>
      </c>
      <c r="U246" s="37" t="s">
        <v>4532</v>
      </c>
      <c r="V246" s="45"/>
      <c r="W246" s="45"/>
      <c r="X246" s="45"/>
      <c r="Y246" s="45"/>
      <c r="Z246" s="37" t="s">
        <v>1728</v>
      </c>
      <c r="AA246" s="37" t="s">
        <v>88</v>
      </c>
      <c r="AB246" s="37" t="s">
        <v>57</v>
      </c>
      <c r="AD246" s="37">
        <v>30.78</v>
      </c>
      <c r="AE246" s="37">
        <v>30.78</v>
      </c>
      <c r="AG246" s="47" t="s">
        <v>4557</v>
      </c>
      <c r="AH246" s="47" t="s">
        <v>4554</v>
      </c>
      <c r="AK246" s="37" t="s">
        <v>58</v>
      </c>
      <c r="AL246" s="37">
        <v>79.900000000000006</v>
      </c>
      <c r="AM246" t="s">
        <v>5520</v>
      </c>
      <c r="AN246" s="74" t="s">
        <v>5631</v>
      </c>
    </row>
    <row r="247" spans="1:40" s="37" customFormat="1" ht="14.25" customHeight="1" x14ac:dyDescent="0.3">
      <c r="A247" s="37" t="s">
        <v>475</v>
      </c>
      <c r="B247" s="37" t="s">
        <v>4504</v>
      </c>
      <c r="C247" s="43" t="s">
        <v>477</v>
      </c>
      <c r="D247" s="37" t="s">
        <v>4450</v>
      </c>
      <c r="E247" s="39" t="s">
        <v>4530</v>
      </c>
      <c r="F247" s="37" t="s">
        <v>1725</v>
      </c>
      <c r="G247" s="44" t="s">
        <v>42</v>
      </c>
      <c r="H247" s="44" t="s">
        <v>43</v>
      </c>
      <c r="I247" s="44" t="s">
        <v>44</v>
      </c>
      <c r="J247" s="37" t="s">
        <v>4400</v>
      </c>
      <c r="K247" s="37" t="s">
        <v>480</v>
      </c>
      <c r="L247" s="43" t="s">
        <v>132</v>
      </c>
      <c r="M247" s="37" t="s">
        <v>48</v>
      </c>
      <c r="N247" s="98" t="s">
        <v>4550</v>
      </c>
      <c r="O247" s="102" t="s">
        <v>64</v>
      </c>
      <c r="P247" s="43" t="s">
        <v>50</v>
      </c>
      <c r="Q247" s="43" t="s">
        <v>68</v>
      </c>
      <c r="R247" s="47" t="s">
        <v>4415</v>
      </c>
      <c r="S247" s="37" t="s">
        <v>52</v>
      </c>
      <c r="T247" s="37" t="s">
        <v>4531</v>
      </c>
      <c r="U247" s="37" t="s">
        <v>4532</v>
      </c>
      <c r="V247" s="45"/>
      <c r="W247" s="45"/>
      <c r="X247" s="45"/>
      <c r="Y247" s="45"/>
      <c r="Z247" s="37" t="s">
        <v>1728</v>
      </c>
      <c r="AA247" s="37" t="s">
        <v>88</v>
      </c>
      <c r="AB247" s="37" t="s">
        <v>57</v>
      </c>
      <c r="AD247" s="37">
        <v>30.78</v>
      </c>
      <c r="AE247" s="37">
        <v>30.78</v>
      </c>
      <c r="AG247" s="47" t="s">
        <v>4557</v>
      </c>
      <c r="AH247" s="47" t="s">
        <v>4554</v>
      </c>
      <c r="AK247" s="37" t="s">
        <v>58</v>
      </c>
      <c r="AL247" s="37">
        <v>79.900000000000006</v>
      </c>
      <c r="AM247" t="s">
        <v>5520</v>
      </c>
      <c r="AN247" s="74" t="s">
        <v>5631</v>
      </c>
    </row>
    <row r="248" spans="1:40" s="37" customFormat="1" ht="14.25" customHeight="1" x14ac:dyDescent="0.3">
      <c r="A248" s="37" t="s">
        <v>475</v>
      </c>
      <c r="B248" s="37" t="s">
        <v>4505</v>
      </c>
      <c r="C248" s="43" t="s">
        <v>477</v>
      </c>
      <c r="D248" s="37" t="s">
        <v>4451</v>
      </c>
      <c r="E248" s="39" t="s">
        <v>4530</v>
      </c>
      <c r="F248" s="37" t="s">
        <v>1725</v>
      </c>
      <c r="G248" s="44" t="s">
        <v>42</v>
      </c>
      <c r="H248" s="44" t="s">
        <v>43</v>
      </c>
      <c r="I248" s="44" t="s">
        <v>44</v>
      </c>
      <c r="J248" s="37" t="s">
        <v>4400</v>
      </c>
      <c r="K248" s="37" t="s">
        <v>480</v>
      </c>
      <c r="L248" s="43" t="s">
        <v>132</v>
      </c>
      <c r="M248" s="37" t="s">
        <v>48</v>
      </c>
      <c r="N248" s="98" t="s">
        <v>4548</v>
      </c>
      <c r="O248" s="102" t="s">
        <v>586</v>
      </c>
      <c r="P248" s="43" t="s">
        <v>50</v>
      </c>
      <c r="Q248" s="43" t="s">
        <v>68</v>
      </c>
      <c r="R248" s="47" t="s">
        <v>4415</v>
      </c>
      <c r="S248" s="37" t="s">
        <v>52</v>
      </c>
      <c r="T248" s="37" t="s">
        <v>4531</v>
      </c>
      <c r="U248" s="37" t="s">
        <v>4532</v>
      </c>
      <c r="V248" s="45"/>
      <c r="W248" s="45"/>
      <c r="X248" s="45"/>
      <c r="Y248" s="45"/>
      <c r="Z248" s="37" t="s">
        <v>1728</v>
      </c>
      <c r="AA248" s="37" t="s">
        <v>88</v>
      </c>
      <c r="AB248" s="37" t="s">
        <v>57</v>
      </c>
      <c r="AD248" s="37">
        <v>30.78</v>
      </c>
      <c r="AE248" s="37">
        <v>30.78</v>
      </c>
      <c r="AG248" s="47" t="s">
        <v>4557</v>
      </c>
      <c r="AH248" s="47" t="s">
        <v>4554</v>
      </c>
      <c r="AK248" s="37" t="s">
        <v>58</v>
      </c>
      <c r="AL248" s="37">
        <v>79.900000000000006</v>
      </c>
      <c r="AM248" t="s">
        <v>5520</v>
      </c>
      <c r="AN248" s="74" t="s">
        <v>5631</v>
      </c>
    </row>
    <row r="249" spans="1:40" s="37" customFormat="1" ht="14.25" customHeight="1" x14ac:dyDescent="0.3">
      <c r="A249" s="37" t="s">
        <v>475</v>
      </c>
      <c r="B249" s="37" t="s">
        <v>4506</v>
      </c>
      <c r="C249" s="43" t="s">
        <v>477</v>
      </c>
      <c r="D249" s="37" t="s">
        <v>4452</v>
      </c>
      <c r="E249" s="39" t="s">
        <v>4530</v>
      </c>
      <c r="F249" s="37" t="s">
        <v>1725</v>
      </c>
      <c r="G249" s="44" t="s">
        <v>42</v>
      </c>
      <c r="H249" s="44" t="s">
        <v>43</v>
      </c>
      <c r="I249" s="44" t="s">
        <v>44</v>
      </c>
      <c r="J249" s="37" t="s">
        <v>4400</v>
      </c>
      <c r="K249" s="37" t="s">
        <v>480</v>
      </c>
      <c r="L249" s="43" t="s">
        <v>132</v>
      </c>
      <c r="M249" s="37" t="s">
        <v>48</v>
      </c>
      <c r="N249" s="98" t="s">
        <v>4541</v>
      </c>
      <c r="O249" s="102" t="s">
        <v>586</v>
      </c>
      <c r="P249" s="43" t="s">
        <v>50</v>
      </c>
      <c r="Q249" s="37" t="s">
        <v>68</v>
      </c>
      <c r="R249" s="47" t="s">
        <v>4415</v>
      </c>
      <c r="S249" s="37" t="s">
        <v>52</v>
      </c>
      <c r="T249" s="37" t="s">
        <v>4531</v>
      </c>
      <c r="U249" s="37" t="s">
        <v>4532</v>
      </c>
      <c r="V249" s="45"/>
      <c r="W249" s="45"/>
      <c r="X249" s="45"/>
      <c r="Y249" s="45"/>
      <c r="Z249" s="37" t="s">
        <v>1728</v>
      </c>
      <c r="AA249" s="37" t="s">
        <v>88</v>
      </c>
      <c r="AB249" s="37" t="s">
        <v>57</v>
      </c>
      <c r="AD249" s="37">
        <v>30.78</v>
      </c>
      <c r="AE249" s="37">
        <v>30.78</v>
      </c>
      <c r="AG249" s="47" t="s">
        <v>4557</v>
      </c>
      <c r="AH249" s="47" t="s">
        <v>4554</v>
      </c>
      <c r="AK249" s="37" t="s">
        <v>58</v>
      </c>
      <c r="AL249" s="37">
        <v>79.900000000000006</v>
      </c>
      <c r="AM249" t="s">
        <v>5520</v>
      </c>
      <c r="AN249" s="74" t="s">
        <v>5631</v>
      </c>
    </row>
    <row r="250" spans="1:40" s="37" customFormat="1" ht="14.25" customHeight="1" x14ac:dyDescent="0.3">
      <c r="A250" s="37" t="s">
        <v>475</v>
      </c>
      <c r="B250" s="37" t="s">
        <v>4507</v>
      </c>
      <c r="C250" s="43" t="s">
        <v>477</v>
      </c>
      <c r="D250" s="37" t="s">
        <v>4453</v>
      </c>
      <c r="E250" s="39" t="s">
        <v>4530</v>
      </c>
      <c r="F250" s="37" t="s">
        <v>1725</v>
      </c>
      <c r="G250" s="44" t="s">
        <v>42</v>
      </c>
      <c r="H250" s="44" t="s">
        <v>43</v>
      </c>
      <c r="I250" s="44" t="s">
        <v>44</v>
      </c>
      <c r="J250" s="37" t="s">
        <v>4400</v>
      </c>
      <c r="K250" s="37" t="s">
        <v>480</v>
      </c>
      <c r="L250" s="43" t="s">
        <v>132</v>
      </c>
      <c r="M250" s="37" t="s">
        <v>48</v>
      </c>
      <c r="N250" s="98" t="s">
        <v>4542</v>
      </c>
      <c r="O250" s="102" t="s">
        <v>61</v>
      </c>
      <c r="P250" s="43" t="s">
        <v>50</v>
      </c>
      <c r="Q250" s="37" t="s">
        <v>68</v>
      </c>
      <c r="R250" s="47" t="s">
        <v>4415</v>
      </c>
      <c r="S250" s="37" t="s">
        <v>52</v>
      </c>
      <c r="T250" s="37" t="s">
        <v>4531</v>
      </c>
      <c r="U250" s="37" t="s">
        <v>4532</v>
      </c>
      <c r="V250" s="45"/>
      <c r="W250" s="45"/>
      <c r="X250" s="45"/>
      <c r="Y250" s="45"/>
      <c r="Z250" s="37" t="s">
        <v>1728</v>
      </c>
      <c r="AA250" s="37" t="s">
        <v>88</v>
      </c>
      <c r="AB250" s="37" t="s">
        <v>57</v>
      </c>
      <c r="AD250" s="37">
        <v>30.78</v>
      </c>
      <c r="AE250" s="37">
        <v>30.78</v>
      </c>
      <c r="AG250" s="47" t="s">
        <v>4557</v>
      </c>
      <c r="AH250" s="47" t="s">
        <v>4554</v>
      </c>
      <c r="AK250" s="37" t="s">
        <v>58</v>
      </c>
      <c r="AL250" s="37">
        <v>79.900000000000006</v>
      </c>
      <c r="AM250" t="s">
        <v>5520</v>
      </c>
      <c r="AN250" s="74" t="s">
        <v>5631</v>
      </c>
    </row>
    <row r="251" spans="1:40" s="37" customFormat="1" ht="14.25" customHeight="1" x14ac:dyDescent="0.3">
      <c r="A251" s="37" t="s">
        <v>475</v>
      </c>
      <c r="B251" s="37" t="s">
        <v>4508</v>
      </c>
      <c r="C251" s="43" t="s">
        <v>477</v>
      </c>
      <c r="D251" s="37" t="s">
        <v>4454</v>
      </c>
      <c r="E251" s="39" t="s">
        <v>4530</v>
      </c>
      <c r="F251" s="37" t="s">
        <v>1725</v>
      </c>
      <c r="G251" s="44" t="s">
        <v>42</v>
      </c>
      <c r="H251" s="44" t="s">
        <v>43</v>
      </c>
      <c r="I251" s="44" t="s">
        <v>44</v>
      </c>
      <c r="J251" s="37" t="s">
        <v>4400</v>
      </c>
      <c r="K251" s="37" t="s">
        <v>480</v>
      </c>
      <c r="L251" s="43" t="s">
        <v>132</v>
      </c>
      <c r="M251" s="37" t="s">
        <v>48</v>
      </c>
      <c r="N251" s="98" t="s">
        <v>4538</v>
      </c>
      <c r="O251" s="102" t="s">
        <v>586</v>
      </c>
      <c r="P251" s="43" t="s">
        <v>50</v>
      </c>
      <c r="Q251" s="37" t="s">
        <v>68</v>
      </c>
      <c r="R251" s="47" t="s">
        <v>4415</v>
      </c>
      <c r="S251" s="37" t="s">
        <v>52</v>
      </c>
      <c r="T251" s="37" t="s">
        <v>4531</v>
      </c>
      <c r="U251" s="37" t="s">
        <v>4532</v>
      </c>
      <c r="V251" s="45"/>
      <c r="W251" s="45"/>
      <c r="X251" s="45"/>
      <c r="Y251" s="45"/>
      <c r="Z251" s="37" t="s">
        <v>1728</v>
      </c>
      <c r="AA251" s="37" t="s">
        <v>88</v>
      </c>
      <c r="AB251" s="37" t="s">
        <v>57</v>
      </c>
      <c r="AD251" s="37">
        <v>31.06</v>
      </c>
      <c r="AE251" s="37">
        <v>31.06</v>
      </c>
      <c r="AG251" s="47" t="s">
        <v>4557</v>
      </c>
      <c r="AH251" s="47" t="s">
        <v>4554</v>
      </c>
      <c r="AK251" s="37" t="s">
        <v>58</v>
      </c>
      <c r="AL251" s="37">
        <v>79.900000000000006</v>
      </c>
      <c r="AM251" t="s">
        <v>5520</v>
      </c>
      <c r="AN251" s="74" t="s">
        <v>5631</v>
      </c>
    </row>
    <row r="252" spans="1:40" s="37" customFormat="1" ht="14.25" customHeight="1" x14ac:dyDescent="0.3">
      <c r="A252" s="37" t="s">
        <v>475</v>
      </c>
      <c r="B252" s="37" t="s">
        <v>4509</v>
      </c>
      <c r="C252" s="43" t="s">
        <v>477</v>
      </c>
      <c r="D252" s="37" t="s">
        <v>4455</v>
      </c>
      <c r="E252" s="39" t="s">
        <v>4530</v>
      </c>
      <c r="F252" s="37" t="s">
        <v>1725</v>
      </c>
      <c r="G252" s="44" t="s">
        <v>42</v>
      </c>
      <c r="H252" s="44" t="s">
        <v>43</v>
      </c>
      <c r="I252" s="44" t="s">
        <v>44</v>
      </c>
      <c r="J252" s="37" t="s">
        <v>4400</v>
      </c>
      <c r="K252" s="37" t="s">
        <v>480</v>
      </c>
      <c r="L252" s="43" t="s">
        <v>242</v>
      </c>
      <c r="M252" s="37" t="s">
        <v>48</v>
      </c>
      <c r="N252" s="98" t="s">
        <v>4551</v>
      </c>
      <c r="O252" s="102" t="s">
        <v>586</v>
      </c>
      <c r="P252" s="43" t="s">
        <v>4402</v>
      </c>
      <c r="Q252" s="37" t="s">
        <v>68</v>
      </c>
      <c r="R252" s="47" t="s">
        <v>4416</v>
      </c>
      <c r="S252" s="37" t="s">
        <v>52</v>
      </c>
      <c r="T252" s="37" t="s">
        <v>4531</v>
      </c>
      <c r="U252" s="37" t="s">
        <v>4532</v>
      </c>
      <c r="V252" s="45"/>
      <c r="W252" s="45"/>
      <c r="X252" s="45"/>
      <c r="Y252" s="45"/>
      <c r="Z252" s="37" t="s">
        <v>1728</v>
      </c>
      <c r="AA252" s="37" t="s">
        <v>88</v>
      </c>
      <c r="AB252" s="37" t="s">
        <v>57</v>
      </c>
      <c r="AD252" s="37">
        <v>28.5</v>
      </c>
      <c r="AE252" s="37">
        <v>28.5</v>
      </c>
      <c r="AG252" s="47" t="s">
        <v>4558</v>
      </c>
      <c r="AH252" s="47" t="s">
        <v>4555</v>
      </c>
      <c r="AK252" s="37" t="s">
        <v>58</v>
      </c>
      <c r="AL252" s="37">
        <v>59.9</v>
      </c>
      <c r="AM252" t="s">
        <v>5520</v>
      </c>
      <c r="AN252" s="74" t="s">
        <v>5631</v>
      </c>
    </row>
    <row r="253" spans="1:40" s="37" customFormat="1" ht="14.25" customHeight="1" x14ac:dyDescent="0.3">
      <c r="A253" s="37" t="s">
        <v>475</v>
      </c>
      <c r="B253" s="37" t="s">
        <v>4510</v>
      </c>
      <c r="C253" s="43" t="s">
        <v>477</v>
      </c>
      <c r="D253" s="37" t="s">
        <v>4456</v>
      </c>
      <c r="E253" s="39" t="s">
        <v>4530</v>
      </c>
      <c r="F253" s="37" t="s">
        <v>1725</v>
      </c>
      <c r="G253" s="44" t="s">
        <v>42</v>
      </c>
      <c r="H253" s="44" t="s">
        <v>43</v>
      </c>
      <c r="I253" s="44" t="s">
        <v>44</v>
      </c>
      <c r="J253" s="37" t="s">
        <v>4400</v>
      </c>
      <c r="K253" s="37" t="s">
        <v>480</v>
      </c>
      <c r="L253" s="43" t="s">
        <v>242</v>
      </c>
      <c r="M253" s="37" t="s">
        <v>48</v>
      </c>
      <c r="N253" s="98" t="s">
        <v>4548</v>
      </c>
      <c r="O253" s="102" t="s">
        <v>586</v>
      </c>
      <c r="P253" s="43" t="s">
        <v>4402</v>
      </c>
      <c r="Q253" s="37" t="s">
        <v>68</v>
      </c>
      <c r="R253" s="47" t="s">
        <v>4416</v>
      </c>
      <c r="S253" s="37" t="s">
        <v>52</v>
      </c>
      <c r="T253" s="37" t="s">
        <v>4531</v>
      </c>
      <c r="U253" s="37" t="s">
        <v>4532</v>
      </c>
      <c r="V253" s="45"/>
      <c r="W253" s="45"/>
      <c r="X253" s="45"/>
      <c r="Y253" s="45"/>
      <c r="Z253" s="37" t="s">
        <v>1728</v>
      </c>
      <c r="AA253" s="37" t="s">
        <v>88</v>
      </c>
      <c r="AB253" s="37" t="s">
        <v>57</v>
      </c>
      <c r="AD253" s="37">
        <v>27.48</v>
      </c>
      <c r="AE253" s="37">
        <v>27.48</v>
      </c>
      <c r="AG253" s="47" t="s">
        <v>4558</v>
      </c>
      <c r="AH253" s="47" t="s">
        <v>4555</v>
      </c>
      <c r="AK253" s="37" t="s">
        <v>58</v>
      </c>
      <c r="AL253" s="37">
        <v>59.9</v>
      </c>
      <c r="AM253" t="s">
        <v>5520</v>
      </c>
      <c r="AN253" s="74" t="s">
        <v>5631</v>
      </c>
    </row>
    <row r="254" spans="1:40" s="37" customFormat="1" ht="14.25" customHeight="1" x14ac:dyDescent="0.3">
      <c r="A254" s="37" t="s">
        <v>475</v>
      </c>
      <c r="B254" s="37" t="s">
        <v>4511</v>
      </c>
      <c r="C254" s="43" t="s">
        <v>477</v>
      </c>
      <c r="D254" s="37" t="s">
        <v>4457</v>
      </c>
      <c r="E254" s="39" t="s">
        <v>4530</v>
      </c>
      <c r="F254" s="37" t="s">
        <v>1725</v>
      </c>
      <c r="G254" s="44" t="s">
        <v>42</v>
      </c>
      <c r="H254" s="44" t="s">
        <v>43</v>
      </c>
      <c r="I254" s="44" t="s">
        <v>44</v>
      </c>
      <c r="J254" s="37" t="s">
        <v>4400</v>
      </c>
      <c r="K254" s="37" t="s">
        <v>480</v>
      </c>
      <c r="L254" s="43" t="s">
        <v>242</v>
      </c>
      <c r="M254" s="37" t="s">
        <v>48</v>
      </c>
      <c r="N254" s="98" t="s">
        <v>4549</v>
      </c>
      <c r="O254" s="102" t="s">
        <v>64</v>
      </c>
      <c r="P254" s="43" t="s">
        <v>4402</v>
      </c>
      <c r="Q254" s="37" t="s">
        <v>68</v>
      </c>
      <c r="R254" s="47" t="s">
        <v>4416</v>
      </c>
      <c r="S254" s="37" t="s">
        <v>52</v>
      </c>
      <c r="T254" s="37" t="s">
        <v>4531</v>
      </c>
      <c r="U254" s="37" t="s">
        <v>4532</v>
      </c>
      <c r="V254" s="45"/>
      <c r="W254" s="45"/>
      <c r="X254" s="45"/>
      <c r="Y254" s="45"/>
      <c r="Z254" s="37" t="s">
        <v>1728</v>
      </c>
      <c r="AA254" s="37" t="s">
        <v>88</v>
      </c>
      <c r="AB254" s="37" t="s">
        <v>57</v>
      </c>
      <c r="AD254" s="37">
        <v>27.88</v>
      </c>
      <c r="AE254" s="37">
        <v>27.88</v>
      </c>
      <c r="AG254" s="47" t="s">
        <v>4558</v>
      </c>
      <c r="AH254" s="47" t="s">
        <v>4555</v>
      </c>
      <c r="AK254" s="37" t="s">
        <v>58</v>
      </c>
      <c r="AL254" s="37">
        <v>59.9</v>
      </c>
      <c r="AM254" t="s">
        <v>5520</v>
      </c>
      <c r="AN254" s="74" t="s">
        <v>5631</v>
      </c>
    </row>
    <row r="255" spans="1:40" s="37" customFormat="1" ht="14.25" customHeight="1" x14ac:dyDescent="0.3">
      <c r="A255" s="37" t="s">
        <v>475</v>
      </c>
      <c r="B255" s="37" t="s">
        <v>4512</v>
      </c>
      <c r="C255" s="43" t="s">
        <v>477</v>
      </c>
      <c r="D255" s="37" t="s">
        <v>4458</v>
      </c>
      <c r="E255" s="39" t="s">
        <v>4530</v>
      </c>
      <c r="F255" s="37" t="s">
        <v>1725</v>
      </c>
      <c r="G255" s="44" t="s">
        <v>42</v>
      </c>
      <c r="H255" s="44" t="s">
        <v>43</v>
      </c>
      <c r="I255" s="44" t="s">
        <v>44</v>
      </c>
      <c r="J255" s="37" t="s">
        <v>4400</v>
      </c>
      <c r="K255" s="37" t="s">
        <v>480</v>
      </c>
      <c r="L255" s="37" t="s">
        <v>242</v>
      </c>
      <c r="M255" s="37" t="s">
        <v>48</v>
      </c>
      <c r="N255" s="98" t="s">
        <v>4550</v>
      </c>
      <c r="O255" s="102" t="s">
        <v>64</v>
      </c>
      <c r="P255" s="43" t="s">
        <v>4402</v>
      </c>
      <c r="Q255" s="43" t="s">
        <v>68</v>
      </c>
      <c r="R255" s="47" t="s">
        <v>4416</v>
      </c>
      <c r="S255" s="37" t="s">
        <v>52</v>
      </c>
      <c r="T255" s="37" t="s">
        <v>4531</v>
      </c>
      <c r="U255" s="37" t="s">
        <v>4532</v>
      </c>
      <c r="V255" s="45"/>
      <c r="W255" s="45"/>
      <c r="X255" s="45"/>
      <c r="Y255" s="45"/>
      <c r="Z255" s="37" t="s">
        <v>1728</v>
      </c>
      <c r="AA255" s="37" t="s">
        <v>88</v>
      </c>
      <c r="AB255" s="37" t="s">
        <v>57</v>
      </c>
      <c r="AD255" s="37">
        <v>27.51</v>
      </c>
      <c r="AE255" s="37">
        <v>27.51</v>
      </c>
      <c r="AG255" s="47" t="s">
        <v>4558</v>
      </c>
      <c r="AH255" s="47" t="s">
        <v>4555</v>
      </c>
      <c r="AK255" s="37" t="s">
        <v>58</v>
      </c>
      <c r="AL255" s="37">
        <v>59.9</v>
      </c>
      <c r="AM255" t="s">
        <v>5520</v>
      </c>
      <c r="AN255" s="74" t="s">
        <v>5631</v>
      </c>
    </row>
    <row r="256" spans="1:40" s="37" customFormat="1" ht="14.25" customHeight="1" x14ac:dyDescent="0.3">
      <c r="A256" s="37" t="s">
        <v>475</v>
      </c>
      <c r="B256" s="37" t="s">
        <v>4513</v>
      </c>
      <c r="C256" s="43" t="s">
        <v>477</v>
      </c>
      <c r="D256" s="37" t="s">
        <v>4459</v>
      </c>
      <c r="E256" s="39" t="s">
        <v>4530</v>
      </c>
      <c r="F256" s="37" t="s">
        <v>1725</v>
      </c>
      <c r="G256" s="44" t="s">
        <v>42</v>
      </c>
      <c r="H256" s="44" t="s">
        <v>43</v>
      </c>
      <c r="I256" s="44" t="s">
        <v>44</v>
      </c>
      <c r="J256" s="37" t="s">
        <v>4400</v>
      </c>
      <c r="K256" s="37" t="s">
        <v>480</v>
      </c>
      <c r="L256" s="37" t="s">
        <v>242</v>
      </c>
      <c r="M256" s="37" t="s">
        <v>48</v>
      </c>
      <c r="N256" s="98" t="s">
        <v>4540</v>
      </c>
      <c r="O256" s="102" t="s">
        <v>64</v>
      </c>
      <c r="P256" s="43" t="s">
        <v>4402</v>
      </c>
      <c r="Q256" s="43" t="s">
        <v>68</v>
      </c>
      <c r="R256" s="47" t="s">
        <v>4416</v>
      </c>
      <c r="S256" s="37" t="s">
        <v>52</v>
      </c>
      <c r="T256" s="37" t="s">
        <v>4531</v>
      </c>
      <c r="U256" s="37" t="s">
        <v>4532</v>
      </c>
      <c r="V256" s="45"/>
      <c r="W256" s="45"/>
      <c r="X256" s="45"/>
      <c r="Y256" s="45"/>
      <c r="Z256" s="37" t="s">
        <v>1728</v>
      </c>
      <c r="AA256" s="37" t="s">
        <v>88</v>
      </c>
      <c r="AB256" s="37" t="s">
        <v>57</v>
      </c>
      <c r="AD256" s="37">
        <v>28.5</v>
      </c>
      <c r="AE256" s="37">
        <v>28.5</v>
      </c>
      <c r="AG256" s="47" t="s">
        <v>4558</v>
      </c>
      <c r="AH256" s="47" t="s">
        <v>4555</v>
      </c>
      <c r="AK256" s="37" t="s">
        <v>58</v>
      </c>
      <c r="AL256" s="37">
        <v>59.9</v>
      </c>
      <c r="AM256" t="s">
        <v>5520</v>
      </c>
      <c r="AN256" s="74" t="s">
        <v>5631</v>
      </c>
    </row>
    <row r="257" spans="1:40" s="37" customFormat="1" ht="14.25" customHeight="1" x14ac:dyDescent="0.3">
      <c r="A257" s="37" t="s">
        <v>475</v>
      </c>
      <c r="B257" s="37" t="s">
        <v>4514</v>
      </c>
      <c r="C257" s="43" t="s">
        <v>477</v>
      </c>
      <c r="D257" s="37" t="s">
        <v>4460</v>
      </c>
      <c r="E257" s="39" t="s">
        <v>4530</v>
      </c>
      <c r="F257" s="37" t="s">
        <v>1725</v>
      </c>
      <c r="G257" s="44" t="s">
        <v>42</v>
      </c>
      <c r="H257" s="44" t="s">
        <v>43</v>
      </c>
      <c r="I257" s="44" t="s">
        <v>44</v>
      </c>
      <c r="J257" s="37" t="s">
        <v>4400</v>
      </c>
      <c r="K257" s="37" t="s">
        <v>480</v>
      </c>
      <c r="L257" s="37" t="s">
        <v>242</v>
      </c>
      <c r="M257" s="37" t="s">
        <v>48</v>
      </c>
      <c r="N257" s="75" t="s">
        <v>4539</v>
      </c>
      <c r="O257" s="76" t="s">
        <v>64</v>
      </c>
      <c r="P257" s="37" t="s">
        <v>4402</v>
      </c>
      <c r="Q257" s="37" t="s">
        <v>68</v>
      </c>
      <c r="R257" s="47" t="s">
        <v>4416</v>
      </c>
      <c r="S257" s="37" t="s">
        <v>52</v>
      </c>
      <c r="T257" s="37" t="s">
        <v>4531</v>
      </c>
      <c r="U257" s="37" t="s">
        <v>4532</v>
      </c>
      <c r="V257" s="45"/>
      <c r="W257" s="45"/>
      <c r="X257" s="45"/>
      <c r="Y257" s="45"/>
      <c r="Z257" s="37" t="s">
        <v>1728</v>
      </c>
      <c r="AA257" s="37" t="s">
        <v>88</v>
      </c>
      <c r="AB257" s="37" t="s">
        <v>57</v>
      </c>
      <c r="AD257" s="37">
        <v>27.83</v>
      </c>
      <c r="AE257" s="37">
        <v>27.83</v>
      </c>
      <c r="AG257" s="47" t="s">
        <v>4558</v>
      </c>
      <c r="AH257" s="47" t="s">
        <v>4555</v>
      </c>
      <c r="AK257" s="37" t="s">
        <v>58</v>
      </c>
      <c r="AL257" s="37">
        <v>59.9</v>
      </c>
      <c r="AM257" t="s">
        <v>5520</v>
      </c>
      <c r="AN257" s="74" t="s">
        <v>5631</v>
      </c>
    </row>
    <row r="258" spans="1:40" s="37" customFormat="1" ht="14.25" customHeight="1" x14ac:dyDescent="0.3">
      <c r="A258" s="37" t="s">
        <v>475</v>
      </c>
      <c r="B258" s="37" t="s">
        <v>4515</v>
      </c>
      <c r="C258" s="43" t="s">
        <v>477</v>
      </c>
      <c r="D258" s="37" t="s">
        <v>4461</v>
      </c>
      <c r="E258" s="39" t="s">
        <v>4530</v>
      </c>
      <c r="F258" s="37" t="s">
        <v>1725</v>
      </c>
      <c r="G258" s="44" t="s">
        <v>42</v>
      </c>
      <c r="H258" s="44" t="s">
        <v>43</v>
      </c>
      <c r="I258" s="44" t="s">
        <v>44</v>
      </c>
      <c r="J258" s="37" t="s">
        <v>4400</v>
      </c>
      <c r="K258" s="37" t="s">
        <v>480</v>
      </c>
      <c r="L258" s="37" t="s">
        <v>242</v>
      </c>
      <c r="M258" s="37" t="s">
        <v>48</v>
      </c>
      <c r="N258" s="75" t="s">
        <v>4540</v>
      </c>
      <c r="O258" s="76" t="s">
        <v>64</v>
      </c>
      <c r="P258" s="37" t="s">
        <v>4402</v>
      </c>
      <c r="Q258" s="37" t="s">
        <v>68</v>
      </c>
      <c r="R258" s="47" t="s">
        <v>4416</v>
      </c>
      <c r="S258" s="37" t="s">
        <v>52</v>
      </c>
      <c r="T258" s="37" t="s">
        <v>4531</v>
      </c>
      <c r="U258" s="37" t="s">
        <v>4532</v>
      </c>
      <c r="V258" s="45"/>
      <c r="W258" s="45"/>
      <c r="X258" s="45"/>
      <c r="Y258" s="45"/>
      <c r="Z258" s="37" t="s">
        <v>1728</v>
      </c>
      <c r="AA258" s="37" t="s">
        <v>88</v>
      </c>
      <c r="AB258" s="37" t="s">
        <v>57</v>
      </c>
      <c r="AD258" s="37">
        <v>28.13</v>
      </c>
      <c r="AE258" s="37">
        <v>28.13</v>
      </c>
      <c r="AG258" s="47" t="s">
        <v>4558</v>
      </c>
      <c r="AH258" s="47" t="s">
        <v>4555</v>
      </c>
      <c r="AK258" s="37" t="s">
        <v>58</v>
      </c>
      <c r="AL258" s="37">
        <v>59.9</v>
      </c>
      <c r="AM258" t="s">
        <v>5520</v>
      </c>
      <c r="AN258" s="74" t="s">
        <v>5631</v>
      </c>
    </row>
    <row r="259" spans="1:40" s="37" customFormat="1" ht="14.25" customHeight="1" x14ac:dyDescent="0.3">
      <c r="A259" s="37" t="s">
        <v>475</v>
      </c>
      <c r="B259" s="37" t="s">
        <v>4516</v>
      </c>
      <c r="C259" s="43" t="s">
        <v>477</v>
      </c>
      <c r="D259" s="37" t="s">
        <v>4462</v>
      </c>
      <c r="E259" s="39" t="s">
        <v>4530</v>
      </c>
      <c r="F259" s="37" t="s">
        <v>1725</v>
      </c>
      <c r="G259" s="44" t="s">
        <v>42</v>
      </c>
      <c r="H259" s="44" t="s">
        <v>43</v>
      </c>
      <c r="I259" s="44" t="s">
        <v>44</v>
      </c>
      <c r="J259" s="37" t="s">
        <v>4400</v>
      </c>
      <c r="K259" s="37" t="s">
        <v>480</v>
      </c>
      <c r="L259" s="37" t="s">
        <v>242</v>
      </c>
      <c r="M259" s="37" t="s">
        <v>48</v>
      </c>
      <c r="N259" s="75" t="s">
        <v>4541</v>
      </c>
      <c r="O259" s="76" t="s">
        <v>586</v>
      </c>
      <c r="P259" s="37" t="s">
        <v>4402</v>
      </c>
      <c r="Q259" s="37" t="s">
        <v>68</v>
      </c>
      <c r="R259" s="47" t="s">
        <v>4416</v>
      </c>
      <c r="S259" s="37" t="s">
        <v>52</v>
      </c>
      <c r="T259" s="37" t="s">
        <v>4531</v>
      </c>
      <c r="U259" s="37" t="s">
        <v>4532</v>
      </c>
      <c r="V259" s="45"/>
      <c r="W259" s="45"/>
      <c r="X259" s="45"/>
      <c r="Y259" s="45"/>
      <c r="Z259" s="37" t="s">
        <v>1728</v>
      </c>
      <c r="AA259" s="37" t="s">
        <v>88</v>
      </c>
      <c r="AB259" s="37" t="s">
        <v>57</v>
      </c>
      <c r="AD259" s="37">
        <v>27.9</v>
      </c>
      <c r="AE259" s="37">
        <v>27.9</v>
      </c>
      <c r="AG259" s="47" t="s">
        <v>4558</v>
      </c>
      <c r="AH259" s="47" t="s">
        <v>4555</v>
      </c>
      <c r="AK259" s="37" t="s">
        <v>58</v>
      </c>
      <c r="AL259" s="37">
        <v>59.9</v>
      </c>
      <c r="AM259" t="s">
        <v>5520</v>
      </c>
      <c r="AN259" s="74" t="s">
        <v>5631</v>
      </c>
    </row>
    <row r="260" spans="1:40" s="37" customFormat="1" ht="14.25" customHeight="1" x14ac:dyDescent="0.3">
      <c r="A260" s="37" t="s">
        <v>475</v>
      </c>
      <c r="B260" s="37" t="s">
        <v>4517</v>
      </c>
      <c r="C260" s="43" t="s">
        <v>477</v>
      </c>
      <c r="D260" s="37" t="s">
        <v>4463</v>
      </c>
      <c r="E260" s="39" t="s">
        <v>4530</v>
      </c>
      <c r="F260" s="37" t="s">
        <v>1725</v>
      </c>
      <c r="G260" s="44" t="s">
        <v>42</v>
      </c>
      <c r="H260" s="44" t="s">
        <v>43</v>
      </c>
      <c r="I260" s="44" t="s">
        <v>44</v>
      </c>
      <c r="J260" s="37" t="s">
        <v>4400</v>
      </c>
      <c r="K260" s="37" t="s">
        <v>480</v>
      </c>
      <c r="L260" s="37" t="s">
        <v>242</v>
      </c>
      <c r="M260" s="37" t="s">
        <v>48</v>
      </c>
      <c r="N260" s="75" t="s">
        <v>4542</v>
      </c>
      <c r="O260" s="76" t="s">
        <v>61</v>
      </c>
      <c r="P260" s="37" t="s">
        <v>4402</v>
      </c>
      <c r="Q260" s="37" t="s">
        <v>68</v>
      </c>
      <c r="R260" s="47" t="s">
        <v>4416</v>
      </c>
      <c r="S260" s="37" t="s">
        <v>52</v>
      </c>
      <c r="T260" s="37" t="s">
        <v>4531</v>
      </c>
      <c r="U260" s="37" t="s">
        <v>4532</v>
      </c>
      <c r="V260" s="45"/>
      <c r="W260" s="45"/>
      <c r="X260" s="45"/>
      <c r="Y260" s="45"/>
      <c r="Z260" s="37" t="s">
        <v>1728</v>
      </c>
      <c r="AA260" s="37" t="s">
        <v>88</v>
      </c>
      <c r="AB260" s="37" t="s">
        <v>57</v>
      </c>
      <c r="AD260" s="37">
        <v>27.66</v>
      </c>
      <c r="AE260" s="37">
        <v>27.66</v>
      </c>
      <c r="AG260" s="47" t="s">
        <v>4558</v>
      </c>
      <c r="AH260" s="47" t="s">
        <v>4555</v>
      </c>
      <c r="AK260" s="37" t="s">
        <v>58</v>
      </c>
      <c r="AL260" s="37">
        <v>59.9</v>
      </c>
      <c r="AM260" t="s">
        <v>5520</v>
      </c>
      <c r="AN260" s="74" t="s">
        <v>5631</v>
      </c>
    </row>
    <row r="261" spans="1:40" s="37" customFormat="1" ht="14.25" customHeight="1" x14ac:dyDescent="0.3">
      <c r="A261" s="37" t="s">
        <v>475</v>
      </c>
      <c r="B261" s="37" t="s">
        <v>4518</v>
      </c>
      <c r="C261" s="43" t="s">
        <v>477</v>
      </c>
      <c r="D261" s="37" t="s">
        <v>4464</v>
      </c>
      <c r="E261" s="39" t="s">
        <v>4530</v>
      </c>
      <c r="F261" s="37" t="s">
        <v>1725</v>
      </c>
      <c r="G261" s="44" t="s">
        <v>42</v>
      </c>
      <c r="H261" s="44" t="s">
        <v>43</v>
      </c>
      <c r="I261" s="44" t="s">
        <v>44</v>
      </c>
      <c r="J261" s="37" t="s">
        <v>4400</v>
      </c>
      <c r="K261" s="37" t="s">
        <v>480</v>
      </c>
      <c r="L261" s="37" t="s">
        <v>242</v>
      </c>
      <c r="M261" s="37" t="s">
        <v>48</v>
      </c>
      <c r="N261" s="75" t="s">
        <v>4538</v>
      </c>
      <c r="O261" s="76" t="s">
        <v>586</v>
      </c>
      <c r="P261" s="37" t="s">
        <v>4402</v>
      </c>
      <c r="Q261" s="43" t="s">
        <v>68</v>
      </c>
      <c r="R261" s="47" t="s">
        <v>4416</v>
      </c>
      <c r="S261" s="37" t="s">
        <v>52</v>
      </c>
      <c r="T261" s="37" t="s">
        <v>4531</v>
      </c>
      <c r="U261" s="37" t="s">
        <v>4532</v>
      </c>
      <c r="V261" s="45"/>
      <c r="W261" s="45"/>
      <c r="X261" s="45"/>
      <c r="Y261" s="45"/>
      <c r="Z261" s="37" t="s">
        <v>1728</v>
      </c>
      <c r="AA261" s="37" t="s">
        <v>88</v>
      </c>
      <c r="AB261" s="37" t="s">
        <v>57</v>
      </c>
      <c r="AD261" s="37">
        <v>27.73</v>
      </c>
      <c r="AE261" s="37">
        <v>27.73</v>
      </c>
      <c r="AG261" s="47" t="s">
        <v>4558</v>
      </c>
      <c r="AH261" s="47" t="s">
        <v>4555</v>
      </c>
      <c r="AK261" s="37" t="s">
        <v>58</v>
      </c>
      <c r="AL261" s="37">
        <v>59.9</v>
      </c>
      <c r="AM261" t="s">
        <v>5520</v>
      </c>
      <c r="AN261" s="74" t="s">
        <v>5631</v>
      </c>
    </row>
    <row r="262" spans="1:40" s="37" customFormat="1" ht="14.25" customHeight="1" x14ac:dyDescent="0.3">
      <c r="A262" s="37" t="s">
        <v>475</v>
      </c>
      <c r="B262" s="37" t="s">
        <v>4519</v>
      </c>
      <c r="C262" s="43" t="s">
        <v>477</v>
      </c>
      <c r="D262" s="37" t="s">
        <v>4465</v>
      </c>
      <c r="E262" s="39" t="s">
        <v>4530</v>
      </c>
      <c r="F262" s="37" t="s">
        <v>1725</v>
      </c>
      <c r="G262" s="44" t="s">
        <v>42</v>
      </c>
      <c r="H262" s="44" t="s">
        <v>43</v>
      </c>
      <c r="I262" s="44" t="s">
        <v>44</v>
      </c>
      <c r="J262" s="37" t="s">
        <v>4400</v>
      </c>
      <c r="K262" s="37" t="s">
        <v>480</v>
      </c>
      <c r="L262" s="37" t="s">
        <v>242</v>
      </c>
      <c r="M262" s="37" t="s">
        <v>48</v>
      </c>
      <c r="N262" s="75" t="s">
        <v>4546</v>
      </c>
      <c r="O262" s="76" t="s">
        <v>61</v>
      </c>
      <c r="P262" s="37" t="s">
        <v>4402</v>
      </c>
      <c r="Q262" s="43" t="s">
        <v>68</v>
      </c>
      <c r="R262" s="47" t="s">
        <v>4416</v>
      </c>
      <c r="S262" s="37" t="s">
        <v>52</v>
      </c>
      <c r="T262" s="37" t="s">
        <v>4531</v>
      </c>
      <c r="U262" s="37" t="s">
        <v>4532</v>
      </c>
      <c r="V262" s="45"/>
      <c r="W262" s="45"/>
      <c r="X262" s="45"/>
      <c r="Y262" s="45"/>
      <c r="Z262" s="37" t="s">
        <v>1728</v>
      </c>
      <c r="AA262" s="37" t="s">
        <v>88</v>
      </c>
      <c r="AB262" s="37" t="s">
        <v>57</v>
      </c>
      <c r="AD262" s="37">
        <v>27.72</v>
      </c>
      <c r="AE262" s="37">
        <v>27.72</v>
      </c>
      <c r="AG262" s="47" t="s">
        <v>4558</v>
      </c>
      <c r="AH262" s="47" t="s">
        <v>4555</v>
      </c>
      <c r="AK262" s="37" t="s">
        <v>58</v>
      </c>
      <c r="AL262" s="37">
        <v>59.9</v>
      </c>
      <c r="AM262" t="s">
        <v>5520</v>
      </c>
      <c r="AN262" s="74" t="s">
        <v>5631</v>
      </c>
    </row>
    <row r="263" spans="1:40" s="37" customFormat="1" ht="14.25" customHeight="1" x14ac:dyDescent="0.3">
      <c r="A263" s="37" t="s">
        <v>475</v>
      </c>
      <c r="B263" s="37" t="s">
        <v>4520</v>
      </c>
      <c r="C263" s="43" t="s">
        <v>477</v>
      </c>
      <c r="D263" s="37" t="s">
        <v>4466</v>
      </c>
      <c r="E263" s="39" t="s">
        <v>4530</v>
      </c>
      <c r="F263" s="37" t="s">
        <v>1725</v>
      </c>
      <c r="G263" s="44" t="s">
        <v>42</v>
      </c>
      <c r="H263" s="44" t="s">
        <v>43</v>
      </c>
      <c r="I263" s="44" t="s">
        <v>44</v>
      </c>
      <c r="J263" s="37" t="s">
        <v>4400</v>
      </c>
      <c r="K263" s="37" t="s">
        <v>480</v>
      </c>
      <c r="L263" s="37" t="s">
        <v>67</v>
      </c>
      <c r="M263" s="37" t="s">
        <v>48</v>
      </c>
      <c r="N263" s="75" t="s">
        <v>4539</v>
      </c>
      <c r="O263" s="76" t="s">
        <v>64</v>
      </c>
      <c r="P263" s="37" t="s">
        <v>4402</v>
      </c>
      <c r="Q263" s="43" t="s">
        <v>68</v>
      </c>
      <c r="R263" s="47" t="s">
        <v>4415</v>
      </c>
      <c r="S263" s="37" t="s">
        <v>52</v>
      </c>
      <c r="T263" s="37" t="s">
        <v>4531</v>
      </c>
      <c r="U263" s="37" t="s">
        <v>4532</v>
      </c>
      <c r="V263" s="45"/>
      <c r="W263" s="45"/>
      <c r="X263" s="45"/>
      <c r="Y263" s="45"/>
      <c r="Z263" s="37" t="s">
        <v>1728</v>
      </c>
      <c r="AA263" s="37" t="s">
        <v>88</v>
      </c>
      <c r="AB263" s="37" t="s">
        <v>57</v>
      </c>
      <c r="AD263" s="37">
        <v>15.69</v>
      </c>
      <c r="AE263" s="37">
        <v>15.69</v>
      </c>
      <c r="AG263" s="47" t="s">
        <v>4417</v>
      </c>
      <c r="AH263" s="47" t="s">
        <v>4419</v>
      </c>
      <c r="AK263" s="37" t="s">
        <v>58</v>
      </c>
      <c r="AL263" s="37">
        <v>49.9</v>
      </c>
      <c r="AM263" t="s">
        <v>5520</v>
      </c>
      <c r="AN263" s="74" t="s">
        <v>5631</v>
      </c>
    </row>
    <row r="264" spans="1:40" s="37" customFormat="1" ht="14.25" customHeight="1" x14ac:dyDescent="0.3">
      <c r="A264" s="37" t="s">
        <v>475</v>
      </c>
      <c r="B264" s="37" t="s">
        <v>4521</v>
      </c>
      <c r="C264" s="43" t="s">
        <v>477</v>
      </c>
      <c r="D264" s="37" t="s">
        <v>4467</v>
      </c>
      <c r="E264" s="39" t="s">
        <v>4530</v>
      </c>
      <c r="F264" s="37" t="s">
        <v>1725</v>
      </c>
      <c r="G264" s="44" t="s">
        <v>42</v>
      </c>
      <c r="H264" s="44" t="s">
        <v>43</v>
      </c>
      <c r="I264" s="44" t="s">
        <v>44</v>
      </c>
      <c r="J264" s="37" t="s">
        <v>4400</v>
      </c>
      <c r="K264" s="37" t="s">
        <v>480</v>
      </c>
      <c r="L264" s="37" t="s">
        <v>67</v>
      </c>
      <c r="M264" s="37" t="s">
        <v>48</v>
      </c>
      <c r="N264" s="75" t="s">
        <v>4540</v>
      </c>
      <c r="O264" s="76" t="s">
        <v>64</v>
      </c>
      <c r="P264" s="37" t="s">
        <v>4402</v>
      </c>
      <c r="Q264" s="43" t="s">
        <v>68</v>
      </c>
      <c r="R264" s="47" t="s">
        <v>4415</v>
      </c>
      <c r="S264" s="37" t="s">
        <v>52</v>
      </c>
      <c r="T264" s="37" t="s">
        <v>4531</v>
      </c>
      <c r="U264" s="37" t="s">
        <v>4532</v>
      </c>
      <c r="V264" s="45"/>
      <c r="W264" s="45"/>
      <c r="X264" s="45"/>
      <c r="Y264" s="45"/>
      <c r="Z264" s="37" t="s">
        <v>1728</v>
      </c>
      <c r="AA264" s="37" t="s">
        <v>88</v>
      </c>
      <c r="AB264" s="37" t="s">
        <v>57</v>
      </c>
      <c r="AD264" s="37">
        <v>15.65</v>
      </c>
      <c r="AE264" s="37">
        <v>15.65</v>
      </c>
      <c r="AG264" s="47" t="s">
        <v>4417</v>
      </c>
      <c r="AH264" s="47" t="s">
        <v>4419</v>
      </c>
      <c r="AK264" s="37" t="s">
        <v>58</v>
      </c>
      <c r="AL264" s="37">
        <v>49.9</v>
      </c>
      <c r="AM264" t="s">
        <v>5520</v>
      </c>
      <c r="AN264" s="74" t="s">
        <v>5631</v>
      </c>
    </row>
    <row r="265" spans="1:40" s="37" customFormat="1" ht="14.25" customHeight="1" x14ac:dyDescent="0.3">
      <c r="A265" s="37" t="s">
        <v>475</v>
      </c>
      <c r="B265" s="37" t="s">
        <v>4522</v>
      </c>
      <c r="C265" s="43" t="s">
        <v>477</v>
      </c>
      <c r="D265" s="37" t="s">
        <v>4468</v>
      </c>
      <c r="E265" s="39" t="s">
        <v>4530</v>
      </c>
      <c r="F265" s="37" t="s">
        <v>1725</v>
      </c>
      <c r="G265" s="44" t="s">
        <v>42</v>
      </c>
      <c r="H265" s="44" t="s">
        <v>43</v>
      </c>
      <c r="I265" s="44" t="s">
        <v>44</v>
      </c>
      <c r="J265" s="37" t="s">
        <v>4400</v>
      </c>
      <c r="K265" s="37" t="s">
        <v>480</v>
      </c>
      <c r="L265" s="37" t="s">
        <v>67</v>
      </c>
      <c r="M265" s="37" t="s">
        <v>48</v>
      </c>
      <c r="N265" s="75" t="s">
        <v>4541</v>
      </c>
      <c r="O265" s="76" t="s">
        <v>586</v>
      </c>
      <c r="P265" s="37" t="s">
        <v>4402</v>
      </c>
      <c r="Q265" s="43" t="s">
        <v>68</v>
      </c>
      <c r="R265" s="47" t="s">
        <v>4415</v>
      </c>
      <c r="S265" s="37" t="s">
        <v>52</v>
      </c>
      <c r="T265" s="37" t="s">
        <v>4531</v>
      </c>
      <c r="U265" s="37" t="s">
        <v>4532</v>
      </c>
      <c r="V265" s="45"/>
      <c r="W265" s="45"/>
      <c r="X265" s="45"/>
      <c r="Y265" s="45"/>
      <c r="Z265" s="37" t="s">
        <v>1728</v>
      </c>
      <c r="AA265" s="37" t="s">
        <v>88</v>
      </c>
      <c r="AB265" s="37" t="s">
        <v>57</v>
      </c>
      <c r="AD265" s="37">
        <v>15.57</v>
      </c>
      <c r="AE265" s="37">
        <v>15.57</v>
      </c>
      <c r="AG265" s="47" t="s">
        <v>4417</v>
      </c>
      <c r="AH265" s="47" t="s">
        <v>4419</v>
      </c>
      <c r="AK265" s="37" t="s">
        <v>58</v>
      </c>
      <c r="AL265" s="37">
        <v>49.9</v>
      </c>
      <c r="AM265" t="s">
        <v>5520</v>
      </c>
      <c r="AN265" s="74" t="s">
        <v>5631</v>
      </c>
    </row>
    <row r="266" spans="1:40" s="37" customFormat="1" ht="14.25" customHeight="1" x14ac:dyDescent="0.3">
      <c r="A266" s="37" t="s">
        <v>475</v>
      </c>
      <c r="B266" s="37" t="s">
        <v>4523</v>
      </c>
      <c r="C266" s="43" t="s">
        <v>477</v>
      </c>
      <c r="D266" s="37" t="s">
        <v>4469</v>
      </c>
      <c r="E266" s="39" t="s">
        <v>4530</v>
      </c>
      <c r="F266" s="37" t="s">
        <v>1725</v>
      </c>
      <c r="G266" s="44" t="s">
        <v>42</v>
      </c>
      <c r="H266" s="44" t="s">
        <v>43</v>
      </c>
      <c r="I266" s="44" t="s">
        <v>44</v>
      </c>
      <c r="J266" s="37" t="s">
        <v>4400</v>
      </c>
      <c r="K266" s="37" t="s">
        <v>480</v>
      </c>
      <c r="L266" s="37" t="s">
        <v>67</v>
      </c>
      <c r="M266" s="37" t="s">
        <v>48</v>
      </c>
      <c r="N266" s="75" t="s">
        <v>4542</v>
      </c>
      <c r="O266" s="76" t="s">
        <v>61</v>
      </c>
      <c r="P266" s="37" t="s">
        <v>4402</v>
      </c>
      <c r="Q266" s="43" t="s">
        <v>68</v>
      </c>
      <c r="R266" s="47" t="s">
        <v>4415</v>
      </c>
      <c r="S266" s="37" t="s">
        <v>52</v>
      </c>
      <c r="T266" s="37" t="s">
        <v>4531</v>
      </c>
      <c r="U266" s="37" t="s">
        <v>4532</v>
      </c>
      <c r="V266" s="45"/>
      <c r="W266" s="45"/>
      <c r="X266" s="45"/>
      <c r="Y266" s="45"/>
      <c r="Z266" s="37" t="s">
        <v>1728</v>
      </c>
      <c r="AA266" s="37" t="s">
        <v>88</v>
      </c>
      <c r="AB266" s="37" t="s">
        <v>57</v>
      </c>
      <c r="AD266" s="37">
        <v>15.58</v>
      </c>
      <c r="AE266" s="37">
        <v>15.58</v>
      </c>
      <c r="AG266" s="47" t="s">
        <v>4417</v>
      </c>
      <c r="AH266" s="47" t="s">
        <v>4419</v>
      </c>
      <c r="AK266" s="37" t="s">
        <v>58</v>
      </c>
      <c r="AL266" s="37">
        <v>49.9</v>
      </c>
      <c r="AM266" t="s">
        <v>5520</v>
      </c>
      <c r="AN266" s="74" t="s">
        <v>5631</v>
      </c>
    </row>
    <row r="267" spans="1:40" s="37" customFormat="1" ht="14.25" customHeight="1" x14ac:dyDescent="0.3">
      <c r="A267" s="37" t="s">
        <v>475</v>
      </c>
      <c r="B267" s="37" t="s">
        <v>4524</v>
      </c>
      <c r="C267" s="43" t="s">
        <v>477</v>
      </c>
      <c r="D267" s="37" t="s">
        <v>4470</v>
      </c>
      <c r="E267" s="39" t="s">
        <v>4530</v>
      </c>
      <c r="F267" s="37" t="s">
        <v>1725</v>
      </c>
      <c r="G267" s="44" t="s">
        <v>42</v>
      </c>
      <c r="H267" s="44" t="s">
        <v>43</v>
      </c>
      <c r="I267" s="44" t="s">
        <v>44</v>
      </c>
      <c r="J267" s="37" t="s">
        <v>4400</v>
      </c>
      <c r="K267" s="37" t="s">
        <v>480</v>
      </c>
      <c r="L267" s="37" t="s">
        <v>67</v>
      </c>
      <c r="M267" s="37" t="s">
        <v>48</v>
      </c>
      <c r="N267" s="75" t="s">
        <v>4546</v>
      </c>
      <c r="O267" s="76" t="s">
        <v>61</v>
      </c>
      <c r="P267" s="37" t="s">
        <v>4402</v>
      </c>
      <c r="Q267" s="43" t="s">
        <v>68</v>
      </c>
      <c r="R267" s="47" t="s">
        <v>4415</v>
      </c>
      <c r="S267" s="37" t="s">
        <v>52</v>
      </c>
      <c r="T267" s="37" t="s">
        <v>4531</v>
      </c>
      <c r="U267" s="37" t="s">
        <v>4532</v>
      </c>
      <c r="V267" s="45"/>
      <c r="W267" s="45"/>
      <c r="X267" s="45"/>
      <c r="Y267" s="45"/>
      <c r="Z267" s="37" t="s">
        <v>1728</v>
      </c>
      <c r="AA267" s="37" t="s">
        <v>88</v>
      </c>
      <c r="AB267" s="37" t="s">
        <v>57</v>
      </c>
      <c r="AD267" s="37">
        <v>15.99</v>
      </c>
      <c r="AE267" s="37">
        <v>15.99</v>
      </c>
      <c r="AG267" s="47" t="s">
        <v>4417</v>
      </c>
      <c r="AH267" s="47" t="s">
        <v>4419</v>
      </c>
      <c r="AK267" s="37" t="s">
        <v>58</v>
      </c>
      <c r="AL267" s="37">
        <v>49.9</v>
      </c>
      <c r="AM267" t="s">
        <v>5520</v>
      </c>
      <c r="AN267" s="74" t="s">
        <v>5631</v>
      </c>
    </row>
    <row r="268" spans="1:40" s="37" customFormat="1" ht="14.25" customHeight="1" x14ac:dyDescent="0.3">
      <c r="A268" s="37" t="s">
        <v>475</v>
      </c>
      <c r="B268" s="37" t="s">
        <v>4525</v>
      </c>
      <c r="C268" s="43" t="s">
        <v>477</v>
      </c>
      <c r="D268" s="37" t="s">
        <v>4471</v>
      </c>
      <c r="E268" s="39" t="s">
        <v>4530</v>
      </c>
      <c r="F268" s="37" t="s">
        <v>1725</v>
      </c>
      <c r="G268" s="44" t="s">
        <v>42</v>
      </c>
      <c r="H268" s="44" t="s">
        <v>43</v>
      </c>
      <c r="I268" s="44" t="s">
        <v>44</v>
      </c>
      <c r="J268" s="37" t="s">
        <v>4400</v>
      </c>
      <c r="K268" s="37" t="s">
        <v>480</v>
      </c>
      <c r="L268" s="37" t="s">
        <v>67</v>
      </c>
      <c r="M268" s="37" t="s">
        <v>48</v>
      </c>
      <c r="N268" s="75" t="s">
        <v>4538</v>
      </c>
      <c r="O268" s="76" t="s">
        <v>586</v>
      </c>
      <c r="P268" s="37" t="s">
        <v>4402</v>
      </c>
      <c r="Q268" s="43" t="s">
        <v>68</v>
      </c>
      <c r="R268" s="47" t="s">
        <v>4415</v>
      </c>
      <c r="S268" s="37" t="s">
        <v>52</v>
      </c>
      <c r="T268" s="37" t="s">
        <v>4531</v>
      </c>
      <c r="U268" s="37" t="s">
        <v>4532</v>
      </c>
      <c r="V268" s="45"/>
      <c r="W268" s="45"/>
      <c r="X268" s="45"/>
      <c r="Y268" s="45"/>
      <c r="Z268" s="37" t="s">
        <v>1728</v>
      </c>
      <c r="AA268" s="37" t="s">
        <v>88</v>
      </c>
      <c r="AB268" s="37" t="s">
        <v>57</v>
      </c>
      <c r="AD268" s="37">
        <v>16.18</v>
      </c>
      <c r="AE268" s="37">
        <v>16.18</v>
      </c>
      <c r="AG268" s="47" t="s">
        <v>4417</v>
      </c>
      <c r="AH268" s="47" t="s">
        <v>4419</v>
      </c>
      <c r="AK268" s="37" t="s">
        <v>58</v>
      </c>
      <c r="AL268" s="37">
        <v>49.9</v>
      </c>
      <c r="AM268" t="s">
        <v>5520</v>
      </c>
      <c r="AN268" s="74" t="s">
        <v>5631</v>
      </c>
    </row>
    <row r="269" spans="1:40" s="37" customFormat="1" ht="14.25" customHeight="1" x14ac:dyDescent="0.3">
      <c r="A269" s="37" t="s">
        <v>475</v>
      </c>
      <c r="B269" s="37" t="s">
        <v>4526</v>
      </c>
      <c r="C269" s="43" t="s">
        <v>477</v>
      </c>
      <c r="D269" s="37" t="s">
        <v>4472</v>
      </c>
      <c r="E269" s="39" t="s">
        <v>4530</v>
      </c>
      <c r="F269" s="37" t="s">
        <v>1725</v>
      </c>
      <c r="G269" s="44" t="s">
        <v>42</v>
      </c>
      <c r="H269" s="44" t="s">
        <v>43</v>
      </c>
      <c r="I269" s="44" t="s">
        <v>44</v>
      </c>
      <c r="J269" s="37" t="s">
        <v>4400</v>
      </c>
      <c r="K269" s="37" t="s">
        <v>480</v>
      </c>
      <c r="L269" s="37" t="s">
        <v>67</v>
      </c>
      <c r="M269" s="37" t="s">
        <v>48</v>
      </c>
      <c r="N269" s="75" t="s">
        <v>4550</v>
      </c>
      <c r="O269" s="76" t="s">
        <v>64</v>
      </c>
      <c r="P269" s="37" t="s">
        <v>4402</v>
      </c>
      <c r="Q269" s="37" t="s">
        <v>68</v>
      </c>
      <c r="R269" s="47" t="s">
        <v>4415</v>
      </c>
      <c r="S269" s="37" t="s">
        <v>52</v>
      </c>
      <c r="T269" s="37" t="s">
        <v>4531</v>
      </c>
      <c r="U269" s="37" t="s">
        <v>4532</v>
      </c>
      <c r="V269" s="45"/>
      <c r="W269" s="45"/>
      <c r="X269" s="45"/>
      <c r="Y269" s="45"/>
      <c r="Z269" s="37" t="s">
        <v>1728</v>
      </c>
      <c r="AA269" s="37" t="s">
        <v>88</v>
      </c>
      <c r="AB269" s="37" t="s">
        <v>57</v>
      </c>
      <c r="AD269" s="37">
        <v>15.7</v>
      </c>
      <c r="AE269" s="37">
        <v>15.7</v>
      </c>
      <c r="AF269" s="43"/>
      <c r="AG269" s="47" t="s">
        <v>4417</v>
      </c>
      <c r="AH269" s="107" t="s">
        <v>4419</v>
      </c>
      <c r="AK269" s="37" t="s">
        <v>58</v>
      </c>
      <c r="AL269" s="37">
        <v>49.9</v>
      </c>
      <c r="AM269" t="s">
        <v>5520</v>
      </c>
      <c r="AN269" s="74" t="s">
        <v>5631</v>
      </c>
    </row>
    <row r="270" spans="1:40" s="37" customFormat="1" ht="14.25" customHeight="1" x14ac:dyDescent="0.3">
      <c r="A270" s="37" t="s">
        <v>475</v>
      </c>
      <c r="B270" s="37" t="s">
        <v>4527</v>
      </c>
      <c r="C270" s="43" t="s">
        <v>477</v>
      </c>
      <c r="D270" s="37" t="s">
        <v>4473</v>
      </c>
      <c r="E270" s="39" t="s">
        <v>4530</v>
      </c>
      <c r="F270" s="37" t="s">
        <v>1725</v>
      </c>
      <c r="G270" s="44" t="s">
        <v>42</v>
      </c>
      <c r="H270" s="44" t="s">
        <v>43</v>
      </c>
      <c r="I270" s="44" t="s">
        <v>44</v>
      </c>
      <c r="J270" s="37" t="s">
        <v>4400</v>
      </c>
      <c r="K270" s="37" t="s">
        <v>480</v>
      </c>
      <c r="L270" s="37" t="s">
        <v>67</v>
      </c>
      <c r="M270" s="37" t="s">
        <v>48</v>
      </c>
      <c r="N270" s="75" t="s">
        <v>4548</v>
      </c>
      <c r="O270" s="76" t="s">
        <v>586</v>
      </c>
      <c r="P270" s="37" t="s">
        <v>4402</v>
      </c>
      <c r="Q270" s="37" t="s">
        <v>68</v>
      </c>
      <c r="R270" s="47" t="s">
        <v>4415</v>
      </c>
      <c r="S270" s="37" t="s">
        <v>52</v>
      </c>
      <c r="T270" s="37" t="s">
        <v>4531</v>
      </c>
      <c r="U270" s="37" t="s">
        <v>4532</v>
      </c>
      <c r="V270" s="45"/>
      <c r="W270" s="45"/>
      <c r="X270" s="45"/>
      <c r="Y270" s="45"/>
      <c r="Z270" s="37" t="s">
        <v>1728</v>
      </c>
      <c r="AA270" s="37" t="s">
        <v>88</v>
      </c>
      <c r="AB270" s="37" t="s">
        <v>57</v>
      </c>
      <c r="AD270" s="37">
        <v>15.7</v>
      </c>
      <c r="AE270" s="37">
        <v>15.7</v>
      </c>
      <c r="AF270" s="43"/>
      <c r="AG270" s="47" t="s">
        <v>4417</v>
      </c>
      <c r="AH270" s="107" t="s">
        <v>4419</v>
      </c>
      <c r="AK270" s="37" t="s">
        <v>58</v>
      </c>
      <c r="AL270" s="37">
        <v>49.9</v>
      </c>
      <c r="AM270" t="s">
        <v>5520</v>
      </c>
      <c r="AN270" s="74" t="s">
        <v>5631</v>
      </c>
    </row>
    <row r="271" spans="1:40" s="37" customFormat="1" ht="14.25" customHeight="1" x14ac:dyDescent="0.3">
      <c r="A271" s="37" t="s">
        <v>475</v>
      </c>
      <c r="B271" s="37" t="s">
        <v>4528</v>
      </c>
      <c r="C271" s="43" t="s">
        <v>477</v>
      </c>
      <c r="D271" s="37" t="s">
        <v>4474</v>
      </c>
      <c r="E271" s="39" t="s">
        <v>4530</v>
      </c>
      <c r="F271" s="37" t="s">
        <v>1725</v>
      </c>
      <c r="G271" s="44" t="s">
        <v>42</v>
      </c>
      <c r="H271" s="44" t="s">
        <v>43</v>
      </c>
      <c r="I271" s="44" t="s">
        <v>44</v>
      </c>
      <c r="J271" s="37" t="s">
        <v>4400</v>
      </c>
      <c r="K271" s="37" t="s">
        <v>480</v>
      </c>
      <c r="L271" s="37" t="s">
        <v>67</v>
      </c>
      <c r="M271" s="37" t="s">
        <v>48</v>
      </c>
      <c r="N271" s="75" t="s">
        <v>4551</v>
      </c>
      <c r="O271" s="76" t="s">
        <v>586</v>
      </c>
      <c r="P271" s="37" t="s">
        <v>4402</v>
      </c>
      <c r="Q271" s="37" t="s">
        <v>68</v>
      </c>
      <c r="R271" s="47" t="s">
        <v>4415</v>
      </c>
      <c r="S271" s="37" t="s">
        <v>52</v>
      </c>
      <c r="T271" s="37" t="s">
        <v>4531</v>
      </c>
      <c r="U271" s="37" t="s">
        <v>4532</v>
      </c>
      <c r="V271" s="45"/>
      <c r="W271" s="45"/>
      <c r="X271" s="45"/>
      <c r="Y271" s="45"/>
      <c r="Z271" s="37" t="s">
        <v>1728</v>
      </c>
      <c r="AA271" s="37" t="s">
        <v>88</v>
      </c>
      <c r="AB271" s="37" t="s">
        <v>57</v>
      </c>
      <c r="AD271" s="37">
        <v>15.75</v>
      </c>
      <c r="AE271" s="37">
        <v>15.75</v>
      </c>
      <c r="AF271" s="43"/>
      <c r="AG271" s="47" t="s">
        <v>4417</v>
      </c>
      <c r="AH271" s="107" t="s">
        <v>4419</v>
      </c>
      <c r="AK271" s="37" t="s">
        <v>58</v>
      </c>
      <c r="AL271" s="37">
        <v>49.9</v>
      </c>
      <c r="AM271" t="s">
        <v>5520</v>
      </c>
      <c r="AN271" s="74" t="s">
        <v>5631</v>
      </c>
    </row>
    <row r="272" spans="1:40" s="37" customFormat="1" ht="14.25" customHeight="1" x14ac:dyDescent="0.3">
      <c r="A272" s="37" t="s">
        <v>475</v>
      </c>
      <c r="B272" s="37" t="s">
        <v>4529</v>
      </c>
      <c r="C272" s="43" t="s">
        <v>477</v>
      </c>
      <c r="D272" s="37" t="s">
        <v>4475</v>
      </c>
      <c r="E272" s="39" t="s">
        <v>4530</v>
      </c>
      <c r="F272" s="37" t="s">
        <v>1725</v>
      </c>
      <c r="G272" s="44" t="s">
        <v>42</v>
      </c>
      <c r="H272" s="44" t="s">
        <v>43</v>
      </c>
      <c r="I272" s="44" t="s">
        <v>44</v>
      </c>
      <c r="J272" s="37" t="s">
        <v>4400</v>
      </c>
      <c r="K272" s="37" t="s">
        <v>480</v>
      </c>
      <c r="L272" s="37" t="s">
        <v>67</v>
      </c>
      <c r="M272" s="37" t="s">
        <v>48</v>
      </c>
      <c r="N272" s="75" t="s">
        <v>4549</v>
      </c>
      <c r="O272" s="76" t="s">
        <v>64</v>
      </c>
      <c r="P272" s="37" t="s">
        <v>4402</v>
      </c>
      <c r="Q272" s="37" t="s">
        <v>68</v>
      </c>
      <c r="R272" s="47" t="s">
        <v>4415</v>
      </c>
      <c r="S272" s="37" t="s">
        <v>52</v>
      </c>
      <c r="T272" s="37" t="s">
        <v>4531</v>
      </c>
      <c r="U272" s="37" t="s">
        <v>4532</v>
      </c>
      <c r="V272" s="45"/>
      <c r="W272" s="45"/>
      <c r="X272" s="45"/>
      <c r="Y272" s="45"/>
      <c r="Z272" s="37" t="s">
        <v>1728</v>
      </c>
      <c r="AA272" s="37" t="s">
        <v>88</v>
      </c>
      <c r="AB272" s="37" t="s">
        <v>57</v>
      </c>
      <c r="AD272" s="37">
        <v>15.7</v>
      </c>
      <c r="AE272" s="37">
        <v>15.7</v>
      </c>
      <c r="AF272" s="43"/>
      <c r="AG272" s="47" t="s">
        <v>4417</v>
      </c>
      <c r="AH272" s="107" t="s">
        <v>4419</v>
      </c>
      <c r="AK272" s="37" t="s">
        <v>58</v>
      </c>
      <c r="AL272" s="37">
        <v>49.9</v>
      </c>
      <c r="AM272" t="s">
        <v>5520</v>
      </c>
      <c r="AN272" s="74" t="s">
        <v>5631</v>
      </c>
    </row>
    <row r="273" spans="22:25" ht="14.25" customHeight="1" x14ac:dyDescent="0.3">
      <c r="V273" s="7"/>
      <c r="W273" s="7"/>
      <c r="X273" s="7"/>
      <c r="Y273" s="7"/>
    </row>
    <row r="274" spans="22:25" ht="14.25" customHeight="1" x14ac:dyDescent="0.3">
      <c r="V274" s="7"/>
      <c r="W274" s="7"/>
      <c r="X274" s="7"/>
      <c r="Y274" s="7"/>
    </row>
    <row r="275" spans="22:25" ht="14.25" customHeight="1" x14ac:dyDescent="0.3">
      <c r="V275" s="7"/>
      <c r="W275" s="7"/>
      <c r="X275" s="7"/>
      <c r="Y275" s="7"/>
    </row>
    <row r="276" spans="22:25" ht="14.25" customHeight="1" x14ac:dyDescent="0.3">
      <c r="V276" s="7"/>
      <c r="W276" s="7"/>
      <c r="X276" s="7"/>
      <c r="Y276" s="7"/>
    </row>
    <row r="277" spans="22:25" ht="14.25" customHeight="1" x14ac:dyDescent="0.3">
      <c r="V277" s="7"/>
      <c r="W277" s="7"/>
      <c r="X277" s="7"/>
      <c r="Y277" s="7"/>
    </row>
    <row r="278" spans="22:25" ht="14.25" customHeight="1" x14ac:dyDescent="0.3">
      <c r="V278" s="7"/>
      <c r="W278" s="7"/>
      <c r="X278" s="7"/>
      <c r="Y278" s="7"/>
    </row>
    <row r="279" spans="22:25" ht="14.25" customHeight="1" x14ac:dyDescent="0.3">
      <c r="V279" s="7"/>
      <c r="W279" s="7"/>
      <c r="X279" s="7"/>
      <c r="Y279" s="7"/>
    </row>
    <row r="280" spans="22:25" ht="14.25" customHeight="1" x14ac:dyDescent="0.3">
      <c r="V280" s="7"/>
      <c r="W280" s="7"/>
      <c r="X280" s="7"/>
      <c r="Y280" s="7"/>
    </row>
    <row r="281" spans="22:25" ht="14.25" customHeight="1" x14ac:dyDescent="0.3">
      <c r="V281" s="7"/>
      <c r="W281" s="7"/>
      <c r="X281" s="7"/>
      <c r="Y281" s="7"/>
    </row>
    <row r="282" spans="22:25" ht="14.25" customHeight="1" x14ac:dyDescent="0.3">
      <c r="V282" s="7"/>
      <c r="W282" s="7"/>
      <c r="X282" s="7"/>
      <c r="Y282" s="7"/>
    </row>
    <row r="283" spans="22:25" ht="14.25" customHeight="1" x14ac:dyDescent="0.3">
      <c r="V283" s="7"/>
      <c r="W283" s="7"/>
      <c r="X283" s="7"/>
      <c r="Y283" s="7"/>
    </row>
    <row r="284" spans="22:25" ht="14.25" customHeight="1" x14ac:dyDescent="0.3">
      <c r="V284" s="7"/>
      <c r="W284" s="7"/>
      <c r="X284" s="7"/>
      <c r="Y284" s="7"/>
    </row>
    <row r="285" spans="22:25" ht="14.25" customHeight="1" x14ac:dyDescent="0.3">
      <c r="V285" s="7"/>
      <c r="W285" s="7"/>
      <c r="X285" s="7"/>
      <c r="Y285" s="7"/>
    </row>
    <row r="286" spans="22:25" ht="14.25" customHeight="1" x14ac:dyDescent="0.3">
      <c r="V286" s="7"/>
      <c r="W286" s="7"/>
      <c r="X286" s="7"/>
      <c r="Y286" s="7"/>
    </row>
    <row r="287" spans="22:25" ht="14.25" customHeight="1" x14ac:dyDescent="0.3">
      <c r="V287" s="7"/>
      <c r="W287" s="7"/>
      <c r="X287" s="7"/>
      <c r="Y287" s="7"/>
    </row>
    <row r="288" spans="22:25" ht="14.25" customHeight="1" x14ac:dyDescent="0.3">
      <c r="V288" s="7"/>
      <c r="W288" s="7"/>
      <c r="X288" s="7"/>
      <c r="Y288" s="7"/>
    </row>
    <row r="289" spans="22:25" ht="14.25" customHeight="1" x14ac:dyDescent="0.3">
      <c r="V289" s="7"/>
      <c r="W289" s="7"/>
      <c r="X289" s="7"/>
      <c r="Y289" s="7"/>
    </row>
    <row r="290" spans="22:25" ht="14.25" customHeight="1" x14ac:dyDescent="0.3">
      <c r="V290" s="7"/>
      <c r="W290" s="7"/>
      <c r="X290" s="7"/>
      <c r="Y290" s="7"/>
    </row>
    <row r="291" spans="22:25" ht="14.25" customHeight="1" x14ac:dyDescent="0.3">
      <c r="V291" s="7"/>
      <c r="W291" s="7"/>
      <c r="X291" s="7"/>
      <c r="Y291" s="7"/>
    </row>
    <row r="292" spans="22:25" ht="14.25" customHeight="1" x14ac:dyDescent="0.3">
      <c r="V292" s="7"/>
      <c r="W292" s="7"/>
      <c r="X292" s="7"/>
      <c r="Y292" s="7"/>
    </row>
    <row r="293" spans="22:25" ht="14.25" customHeight="1" x14ac:dyDescent="0.3">
      <c r="V293" s="7"/>
      <c r="W293" s="7"/>
      <c r="X293" s="7"/>
      <c r="Y293" s="7"/>
    </row>
    <row r="294" spans="22:25" ht="14.25" customHeight="1" x14ac:dyDescent="0.3">
      <c r="V294" s="7"/>
      <c r="W294" s="7"/>
      <c r="X294" s="7"/>
      <c r="Y294" s="7"/>
    </row>
    <row r="295" spans="22:25" ht="14.25" customHeight="1" x14ac:dyDescent="0.3">
      <c r="V295" s="7"/>
      <c r="W295" s="7"/>
      <c r="X295" s="7"/>
      <c r="Y295" s="7"/>
    </row>
    <row r="296" spans="22:25" ht="14.25" customHeight="1" x14ac:dyDescent="0.3">
      <c r="V296" s="7"/>
      <c r="W296" s="7"/>
      <c r="X296" s="7"/>
      <c r="Y296" s="7"/>
    </row>
    <row r="297" spans="22:25" ht="14.25" customHeight="1" x14ac:dyDescent="0.3">
      <c r="V297" s="7"/>
      <c r="W297" s="7"/>
      <c r="X297" s="7"/>
      <c r="Y297" s="7"/>
    </row>
    <row r="298" spans="22:25" ht="14.25" customHeight="1" x14ac:dyDescent="0.3">
      <c r="V298" s="7"/>
      <c r="W298" s="7"/>
      <c r="X298" s="7"/>
      <c r="Y298" s="7"/>
    </row>
    <row r="299" spans="22:25" ht="14.25" customHeight="1" x14ac:dyDescent="0.3">
      <c r="V299" s="7"/>
      <c r="W299" s="7"/>
      <c r="X299" s="7"/>
      <c r="Y299" s="7"/>
    </row>
    <row r="300" spans="22:25" ht="14.25" customHeight="1" x14ac:dyDescent="0.3">
      <c r="V300" s="7"/>
      <c r="W300" s="7"/>
      <c r="X300" s="7"/>
      <c r="Y300" s="7"/>
    </row>
    <row r="301" spans="22:25" ht="14.25" customHeight="1" x14ac:dyDescent="0.3">
      <c r="V301" s="7"/>
      <c r="W301" s="7"/>
      <c r="X301" s="7"/>
      <c r="Y301" s="7"/>
    </row>
    <row r="302" spans="22:25" ht="14.25" customHeight="1" x14ac:dyDescent="0.3">
      <c r="V302" s="7"/>
      <c r="W302" s="7"/>
      <c r="X302" s="7"/>
      <c r="Y302" s="7"/>
    </row>
    <row r="303" spans="22:25" ht="14.25" customHeight="1" x14ac:dyDescent="0.3">
      <c r="V303" s="7"/>
      <c r="W303" s="7"/>
      <c r="X303" s="7"/>
      <c r="Y303" s="7"/>
    </row>
    <row r="304" spans="22:25" ht="14.25" customHeight="1" x14ac:dyDescent="0.3">
      <c r="V304" s="7"/>
      <c r="W304" s="7"/>
      <c r="X304" s="7"/>
      <c r="Y304" s="7"/>
    </row>
    <row r="305" spans="22:25" ht="14.25" customHeight="1" x14ac:dyDescent="0.3">
      <c r="V305" s="7"/>
      <c r="W305" s="7"/>
      <c r="X305" s="7"/>
      <c r="Y305" s="7"/>
    </row>
    <row r="306" spans="22:25" ht="14.25" customHeight="1" x14ac:dyDescent="0.3">
      <c r="V306" s="7"/>
      <c r="W306" s="7"/>
      <c r="X306" s="7"/>
      <c r="Y306" s="7"/>
    </row>
    <row r="307" spans="22:25" ht="14.25" customHeight="1" x14ac:dyDescent="0.3">
      <c r="V307" s="7"/>
      <c r="W307" s="7"/>
      <c r="X307" s="7"/>
      <c r="Y307" s="7"/>
    </row>
    <row r="308" spans="22:25" ht="14.25" customHeight="1" x14ac:dyDescent="0.3">
      <c r="V308" s="7"/>
      <c r="W308" s="7"/>
      <c r="X308" s="7"/>
      <c r="Y308" s="7"/>
    </row>
    <row r="309" spans="22:25" ht="14.25" customHeight="1" x14ac:dyDescent="0.3">
      <c r="V309" s="7"/>
      <c r="W309" s="7"/>
      <c r="X309" s="7"/>
      <c r="Y309" s="7"/>
    </row>
    <row r="310" spans="22:25" ht="14.25" customHeight="1" x14ac:dyDescent="0.3">
      <c r="V310" s="7"/>
      <c r="W310" s="7"/>
      <c r="X310" s="7"/>
      <c r="Y310" s="7"/>
    </row>
    <row r="311" spans="22:25" ht="14.25" customHeight="1" x14ac:dyDescent="0.3">
      <c r="V311" s="7"/>
      <c r="W311" s="7"/>
      <c r="X311" s="7"/>
      <c r="Y311" s="7"/>
    </row>
    <row r="312" spans="22:25" ht="14.25" customHeight="1" x14ac:dyDescent="0.3">
      <c r="V312" s="7"/>
      <c r="W312" s="7"/>
      <c r="X312" s="7"/>
      <c r="Y312" s="7"/>
    </row>
    <row r="313" spans="22:25" ht="14.25" customHeight="1" x14ac:dyDescent="0.3">
      <c r="V313" s="7"/>
      <c r="W313" s="7"/>
      <c r="X313" s="7"/>
      <c r="Y313" s="7"/>
    </row>
    <row r="314" spans="22:25" ht="14.25" customHeight="1" x14ac:dyDescent="0.3">
      <c r="V314" s="7"/>
      <c r="W314" s="7"/>
      <c r="X314" s="7"/>
      <c r="Y314" s="7"/>
    </row>
    <row r="315" spans="22:25" ht="14.25" customHeight="1" x14ac:dyDescent="0.3">
      <c r="V315" s="7"/>
      <c r="W315" s="7"/>
      <c r="X315" s="7"/>
      <c r="Y315" s="7"/>
    </row>
    <row r="316" spans="22:25" ht="14.25" customHeight="1" x14ac:dyDescent="0.3">
      <c r="V316" s="7"/>
      <c r="W316" s="7"/>
      <c r="X316" s="7"/>
      <c r="Y316" s="7"/>
    </row>
    <row r="317" spans="22:25" ht="14.25" customHeight="1" x14ac:dyDescent="0.3">
      <c r="V317" s="7"/>
      <c r="W317" s="7"/>
      <c r="X317" s="7"/>
      <c r="Y317" s="7"/>
    </row>
    <row r="318" spans="22:25" ht="14.25" customHeight="1" x14ac:dyDescent="0.3">
      <c r="V318" s="7"/>
      <c r="W318" s="7"/>
      <c r="X318" s="7"/>
      <c r="Y318" s="7"/>
    </row>
    <row r="319" spans="22:25" ht="14.25" customHeight="1" x14ac:dyDescent="0.3">
      <c r="V319" s="7"/>
      <c r="W319" s="7"/>
      <c r="X319" s="7"/>
      <c r="Y319" s="7"/>
    </row>
    <row r="320" spans="22:25" ht="14.25" customHeight="1" x14ac:dyDescent="0.3">
      <c r="V320" s="7"/>
      <c r="W320" s="7"/>
      <c r="X320" s="7"/>
      <c r="Y320" s="7"/>
    </row>
    <row r="321" spans="22:25" ht="14.25" customHeight="1" x14ac:dyDescent="0.3">
      <c r="V321" s="7"/>
      <c r="W321" s="7"/>
      <c r="X321" s="7"/>
      <c r="Y321" s="7"/>
    </row>
    <row r="322" spans="22:25" ht="14.25" customHeight="1" x14ac:dyDescent="0.3">
      <c r="V322" s="7"/>
      <c r="W322" s="7"/>
      <c r="X322" s="7"/>
      <c r="Y322" s="7"/>
    </row>
    <row r="323" spans="22:25" ht="14.25" customHeight="1" x14ac:dyDescent="0.3">
      <c r="V323" s="7"/>
      <c r="W323" s="7"/>
      <c r="X323" s="7"/>
      <c r="Y323" s="7"/>
    </row>
    <row r="324" spans="22:25" ht="14.25" customHeight="1" x14ac:dyDescent="0.3">
      <c r="V324" s="7"/>
      <c r="W324" s="7"/>
      <c r="X324" s="7"/>
      <c r="Y324" s="7"/>
    </row>
    <row r="325" spans="22:25" ht="14.25" customHeight="1" x14ac:dyDescent="0.3">
      <c r="V325" s="7"/>
      <c r="W325" s="7"/>
      <c r="X325" s="7"/>
      <c r="Y325" s="7"/>
    </row>
    <row r="326" spans="22:25" ht="14.25" customHeight="1" x14ac:dyDescent="0.3">
      <c r="V326" s="7"/>
      <c r="W326" s="7"/>
      <c r="X326" s="7"/>
      <c r="Y326" s="7"/>
    </row>
    <row r="327" spans="22:25" ht="14.25" customHeight="1" x14ac:dyDescent="0.3">
      <c r="V327" s="7"/>
      <c r="W327" s="7"/>
      <c r="X327" s="7"/>
      <c r="Y327" s="7"/>
    </row>
    <row r="328" spans="22:25" ht="14.25" customHeight="1" x14ac:dyDescent="0.3">
      <c r="V328" s="7"/>
      <c r="W328" s="7"/>
      <c r="X328" s="7"/>
      <c r="Y328" s="7"/>
    </row>
    <row r="329" spans="22:25" ht="14.25" customHeight="1" x14ac:dyDescent="0.3">
      <c r="V329" s="7"/>
      <c r="W329" s="7"/>
      <c r="X329" s="7"/>
      <c r="Y329" s="7"/>
    </row>
    <row r="330" spans="22:25" ht="14.25" customHeight="1" x14ac:dyDescent="0.3">
      <c r="V330" s="7"/>
      <c r="W330" s="7"/>
      <c r="X330" s="7"/>
      <c r="Y330" s="7"/>
    </row>
    <row r="331" spans="22:25" ht="14.25" customHeight="1" x14ac:dyDescent="0.3">
      <c r="V331" s="7"/>
      <c r="W331" s="7"/>
      <c r="X331" s="7"/>
      <c r="Y331" s="7"/>
    </row>
    <row r="332" spans="22:25" ht="14.25" customHeight="1" x14ac:dyDescent="0.3">
      <c r="V332" s="7"/>
      <c r="W332" s="7"/>
      <c r="X332" s="7"/>
      <c r="Y332" s="7"/>
    </row>
    <row r="333" spans="22:25" ht="14.25" customHeight="1" x14ac:dyDescent="0.3">
      <c r="V333" s="7"/>
      <c r="W333" s="7"/>
      <c r="X333" s="7"/>
      <c r="Y333" s="7"/>
    </row>
    <row r="334" spans="22:25" ht="14.25" customHeight="1" x14ac:dyDescent="0.3">
      <c r="V334" s="7"/>
      <c r="W334" s="7"/>
      <c r="X334" s="7"/>
      <c r="Y334" s="7"/>
    </row>
    <row r="335" spans="22:25" ht="14.25" customHeight="1" x14ac:dyDescent="0.3">
      <c r="V335" s="7"/>
      <c r="W335" s="7"/>
      <c r="X335" s="7"/>
      <c r="Y335" s="7"/>
    </row>
    <row r="336" spans="22:25" ht="14.25" customHeight="1" x14ac:dyDescent="0.3">
      <c r="V336" s="7"/>
      <c r="W336" s="7"/>
      <c r="X336" s="7"/>
      <c r="Y336" s="7"/>
    </row>
    <row r="337" spans="22:25" ht="14.25" customHeight="1" x14ac:dyDescent="0.3">
      <c r="V337" s="7"/>
      <c r="W337" s="7"/>
      <c r="X337" s="7"/>
      <c r="Y337" s="7"/>
    </row>
    <row r="338" spans="22:25" ht="14.25" customHeight="1" x14ac:dyDescent="0.3">
      <c r="V338" s="7"/>
      <c r="W338" s="7"/>
      <c r="X338" s="7"/>
      <c r="Y338" s="7"/>
    </row>
    <row r="339" spans="22:25" ht="14.25" customHeight="1" x14ac:dyDescent="0.3">
      <c r="V339" s="7"/>
      <c r="W339" s="7"/>
      <c r="X339" s="7"/>
      <c r="Y339" s="7"/>
    </row>
    <row r="340" spans="22:25" ht="14.25" customHeight="1" x14ac:dyDescent="0.3">
      <c r="V340" s="7"/>
      <c r="W340" s="7"/>
      <c r="X340" s="7"/>
      <c r="Y340" s="7"/>
    </row>
    <row r="341" spans="22:25" ht="14.25" customHeight="1" x14ac:dyDescent="0.3">
      <c r="V341" s="7"/>
      <c r="W341" s="7"/>
      <c r="X341" s="7"/>
      <c r="Y341" s="7"/>
    </row>
    <row r="342" spans="22:25" ht="14.25" customHeight="1" x14ac:dyDescent="0.3">
      <c r="V342" s="7"/>
      <c r="W342" s="7"/>
      <c r="X342" s="7"/>
      <c r="Y342" s="7"/>
    </row>
    <row r="343" spans="22:25" ht="14.25" customHeight="1" x14ac:dyDescent="0.3">
      <c r="V343" s="7"/>
      <c r="W343" s="7"/>
      <c r="X343" s="7"/>
      <c r="Y343" s="7"/>
    </row>
    <row r="344" spans="22:25" ht="14.25" customHeight="1" x14ac:dyDescent="0.3">
      <c r="V344" s="7"/>
      <c r="W344" s="7"/>
      <c r="X344" s="7"/>
      <c r="Y344" s="7"/>
    </row>
    <row r="345" spans="22:25" ht="14.25" customHeight="1" x14ac:dyDescent="0.3">
      <c r="V345" s="7"/>
      <c r="W345" s="7"/>
      <c r="X345" s="7"/>
      <c r="Y345" s="7"/>
    </row>
    <row r="346" spans="22:25" ht="14.25" customHeight="1" x14ac:dyDescent="0.3">
      <c r="V346" s="7"/>
      <c r="W346" s="7"/>
      <c r="X346" s="7"/>
      <c r="Y346" s="7"/>
    </row>
    <row r="347" spans="22:25" ht="14.25" customHeight="1" x14ac:dyDescent="0.3">
      <c r="V347" s="7"/>
      <c r="W347" s="7"/>
      <c r="X347" s="7"/>
      <c r="Y347" s="7"/>
    </row>
    <row r="348" spans="22:25" ht="14.25" customHeight="1" x14ac:dyDescent="0.3">
      <c r="V348" s="7"/>
      <c r="W348" s="7"/>
      <c r="X348" s="7"/>
      <c r="Y348" s="7"/>
    </row>
    <row r="349" spans="22:25" ht="14.25" customHeight="1" x14ac:dyDescent="0.3">
      <c r="V349" s="7"/>
      <c r="W349" s="7"/>
      <c r="X349" s="7"/>
      <c r="Y349" s="7"/>
    </row>
    <row r="350" spans="22:25" ht="14.25" customHeight="1" x14ac:dyDescent="0.3">
      <c r="V350" s="7"/>
      <c r="W350" s="7"/>
      <c r="X350" s="7"/>
      <c r="Y350" s="7"/>
    </row>
    <row r="351" spans="22:25" ht="14.25" customHeight="1" x14ac:dyDescent="0.3">
      <c r="V351" s="7"/>
      <c r="W351" s="7"/>
      <c r="X351" s="7"/>
      <c r="Y351" s="7"/>
    </row>
    <row r="352" spans="22:25" ht="14.25" customHeight="1" x14ac:dyDescent="0.3">
      <c r="V352" s="7"/>
      <c r="W352" s="7"/>
      <c r="X352" s="7"/>
      <c r="Y352" s="7"/>
    </row>
    <row r="353" spans="22:25" ht="14.25" customHeight="1" x14ac:dyDescent="0.3">
      <c r="V353" s="7"/>
      <c r="W353" s="7"/>
      <c r="X353" s="7"/>
      <c r="Y353" s="7"/>
    </row>
    <row r="354" spans="22:25" ht="14.25" customHeight="1" x14ac:dyDescent="0.3">
      <c r="V354" s="7"/>
      <c r="W354" s="7"/>
      <c r="X354" s="7"/>
      <c r="Y354" s="7"/>
    </row>
    <row r="355" spans="22:25" ht="14.25" customHeight="1" x14ac:dyDescent="0.3">
      <c r="V355" s="7"/>
      <c r="W355" s="7"/>
      <c r="X355" s="7"/>
      <c r="Y355" s="7"/>
    </row>
    <row r="356" spans="22:25" ht="14.25" customHeight="1" x14ac:dyDescent="0.3">
      <c r="V356" s="7"/>
      <c r="W356" s="7"/>
      <c r="X356" s="7"/>
      <c r="Y356" s="7"/>
    </row>
    <row r="357" spans="22:25" ht="14.25" customHeight="1" x14ac:dyDescent="0.3">
      <c r="V357" s="7"/>
      <c r="W357" s="7"/>
      <c r="X357" s="7"/>
      <c r="Y357" s="7"/>
    </row>
    <row r="358" spans="22:25" ht="14.25" customHeight="1" x14ac:dyDescent="0.3">
      <c r="V358" s="7"/>
      <c r="W358" s="7"/>
      <c r="X358" s="7"/>
      <c r="Y358" s="7"/>
    </row>
    <row r="359" spans="22:25" ht="14.25" customHeight="1" x14ac:dyDescent="0.3">
      <c r="V359" s="7"/>
      <c r="W359" s="7"/>
      <c r="X359" s="7"/>
      <c r="Y359" s="7"/>
    </row>
    <row r="360" spans="22:25" ht="14.25" customHeight="1" x14ac:dyDescent="0.3">
      <c r="V360" s="7"/>
      <c r="W360" s="7"/>
      <c r="X360" s="7"/>
      <c r="Y360" s="7"/>
    </row>
    <row r="361" spans="22:25" ht="14.25" customHeight="1" x14ac:dyDescent="0.3">
      <c r="V361" s="7"/>
      <c r="W361" s="7"/>
      <c r="X361" s="7"/>
      <c r="Y361" s="7"/>
    </row>
    <row r="362" spans="22:25" ht="14.25" customHeight="1" x14ac:dyDescent="0.3">
      <c r="V362" s="7"/>
      <c r="W362" s="7"/>
      <c r="X362" s="7"/>
      <c r="Y362" s="7"/>
    </row>
    <row r="363" spans="22:25" ht="14.25" customHeight="1" x14ac:dyDescent="0.3">
      <c r="V363" s="7"/>
      <c r="W363" s="7"/>
      <c r="X363" s="7"/>
      <c r="Y363" s="7"/>
    </row>
    <row r="364" spans="22:25" ht="14.25" customHeight="1" x14ac:dyDescent="0.3">
      <c r="V364" s="7"/>
      <c r="W364" s="7"/>
      <c r="X364" s="7"/>
      <c r="Y364" s="7"/>
    </row>
    <row r="365" spans="22:25" ht="14.25" customHeight="1" x14ac:dyDescent="0.3">
      <c r="V365" s="7"/>
      <c r="W365" s="7"/>
      <c r="X365" s="7"/>
      <c r="Y365" s="7"/>
    </row>
    <row r="366" spans="22:25" ht="14.25" customHeight="1" x14ac:dyDescent="0.3">
      <c r="V366" s="7"/>
      <c r="W366" s="7"/>
      <c r="X366" s="7"/>
      <c r="Y366" s="7"/>
    </row>
    <row r="367" spans="22:25" ht="14.25" customHeight="1" x14ac:dyDescent="0.3">
      <c r="V367" s="7"/>
      <c r="W367" s="7"/>
      <c r="X367" s="7"/>
      <c r="Y367" s="7"/>
    </row>
    <row r="368" spans="22:25" ht="14.25" customHeight="1" x14ac:dyDescent="0.3">
      <c r="V368" s="7"/>
      <c r="W368" s="7"/>
      <c r="X368" s="7"/>
      <c r="Y368" s="7"/>
    </row>
    <row r="369" spans="22:25" ht="14.25" customHeight="1" x14ac:dyDescent="0.3">
      <c r="V369" s="7"/>
      <c r="W369" s="7"/>
      <c r="X369" s="7"/>
      <c r="Y369" s="7"/>
    </row>
    <row r="370" spans="22:25" ht="14.25" customHeight="1" x14ac:dyDescent="0.3">
      <c r="V370" s="7"/>
      <c r="W370" s="7"/>
      <c r="X370" s="7"/>
      <c r="Y370" s="7"/>
    </row>
    <row r="371" spans="22:25" ht="14.25" customHeight="1" x14ac:dyDescent="0.3">
      <c r="V371" s="7"/>
      <c r="W371" s="7"/>
      <c r="X371" s="7"/>
      <c r="Y371" s="7"/>
    </row>
    <row r="372" spans="22:25" ht="14.25" customHeight="1" x14ac:dyDescent="0.3">
      <c r="V372" s="7"/>
      <c r="W372" s="7"/>
      <c r="X372" s="7"/>
      <c r="Y372" s="7"/>
    </row>
    <row r="373" spans="22:25" ht="14.25" customHeight="1" x14ac:dyDescent="0.3">
      <c r="V373" s="7"/>
      <c r="W373" s="7"/>
      <c r="X373" s="7"/>
      <c r="Y373" s="7"/>
    </row>
    <row r="374" spans="22:25" ht="14.25" customHeight="1" x14ac:dyDescent="0.3">
      <c r="V374" s="7"/>
      <c r="W374" s="7"/>
      <c r="X374" s="7"/>
      <c r="Y374" s="7"/>
    </row>
    <row r="375" spans="22:25" ht="14.25" customHeight="1" x14ac:dyDescent="0.3">
      <c r="V375" s="7"/>
      <c r="W375" s="7"/>
      <c r="X375" s="7"/>
      <c r="Y375" s="7"/>
    </row>
    <row r="376" spans="22:25" ht="14.25" customHeight="1" x14ac:dyDescent="0.3">
      <c r="V376" s="7"/>
      <c r="W376" s="7"/>
      <c r="X376" s="7"/>
      <c r="Y376" s="7"/>
    </row>
    <row r="377" spans="22:25" ht="14.25" customHeight="1" x14ac:dyDescent="0.3">
      <c r="V377" s="7"/>
      <c r="W377" s="7"/>
      <c r="X377" s="7"/>
      <c r="Y377" s="7"/>
    </row>
    <row r="378" spans="22:25" ht="14.25" customHeight="1" x14ac:dyDescent="0.3">
      <c r="V378" s="7"/>
      <c r="W378" s="7"/>
      <c r="X378" s="7"/>
      <c r="Y378" s="7"/>
    </row>
    <row r="379" spans="22:25" ht="14.25" customHeight="1" x14ac:dyDescent="0.3">
      <c r="V379" s="7"/>
      <c r="W379" s="7"/>
      <c r="X379" s="7"/>
      <c r="Y379" s="7"/>
    </row>
    <row r="380" spans="22:25" ht="14.25" customHeight="1" x14ac:dyDescent="0.3">
      <c r="V380" s="7"/>
      <c r="W380" s="7"/>
      <c r="X380" s="7"/>
      <c r="Y380" s="7"/>
    </row>
    <row r="381" spans="22:25" ht="14.25" customHeight="1" x14ac:dyDescent="0.3">
      <c r="V381" s="7"/>
      <c r="W381" s="7"/>
      <c r="X381" s="7"/>
      <c r="Y381" s="7"/>
    </row>
    <row r="382" spans="22:25" ht="14.25" customHeight="1" x14ac:dyDescent="0.3">
      <c r="V382" s="7"/>
      <c r="W382" s="7"/>
      <c r="X382" s="7"/>
      <c r="Y382" s="7"/>
    </row>
    <row r="383" spans="22:25" ht="14.25" customHeight="1" x14ac:dyDescent="0.3">
      <c r="V383" s="7"/>
      <c r="W383" s="7"/>
      <c r="X383" s="7"/>
      <c r="Y383" s="7"/>
    </row>
    <row r="384" spans="22:25" ht="14.25" customHeight="1" x14ac:dyDescent="0.3">
      <c r="V384" s="7"/>
      <c r="W384" s="7"/>
      <c r="X384" s="7"/>
      <c r="Y384" s="7"/>
    </row>
    <row r="385" spans="22:25" ht="14.25" customHeight="1" x14ac:dyDescent="0.3">
      <c r="V385" s="7"/>
      <c r="W385" s="7"/>
      <c r="X385" s="7"/>
      <c r="Y385" s="7"/>
    </row>
    <row r="386" spans="22:25" ht="14.25" customHeight="1" x14ac:dyDescent="0.3">
      <c r="V386" s="7"/>
      <c r="W386" s="7"/>
      <c r="X386" s="7"/>
      <c r="Y386" s="7"/>
    </row>
    <row r="387" spans="22:25" ht="14.25" customHeight="1" x14ac:dyDescent="0.3">
      <c r="V387" s="7"/>
      <c r="W387" s="7"/>
      <c r="X387" s="7"/>
      <c r="Y387" s="7"/>
    </row>
    <row r="388" spans="22:25" ht="14.25" customHeight="1" x14ac:dyDescent="0.3">
      <c r="V388" s="7"/>
      <c r="W388" s="7"/>
      <c r="X388" s="7"/>
      <c r="Y388" s="7"/>
    </row>
    <row r="389" spans="22:25" ht="14.25" customHeight="1" x14ac:dyDescent="0.3">
      <c r="V389" s="7"/>
      <c r="W389" s="7"/>
      <c r="X389" s="7"/>
      <c r="Y389" s="7"/>
    </row>
    <row r="390" spans="22:25" ht="14.25" customHeight="1" x14ac:dyDescent="0.3">
      <c r="V390" s="7"/>
      <c r="W390" s="7"/>
      <c r="X390" s="7"/>
      <c r="Y390" s="7"/>
    </row>
    <row r="391" spans="22:25" ht="14.25" customHeight="1" x14ac:dyDescent="0.3">
      <c r="V391" s="7"/>
      <c r="W391" s="7"/>
      <c r="X391" s="7"/>
      <c r="Y391" s="7"/>
    </row>
    <row r="392" spans="22:25" ht="14.25" customHeight="1" x14ac:dyDescent="0.3">
      <c r="V392" s="7"/>
      <c r="W392" s="7"/>
      <c r="X392" s="7"/>
      <c r="Y392" s="7"/>
    </row>
    <row r="393" spans="22:25" ht="14.25" customHeight="1" x14ac:dyDescent="0.3">
      <c r="V393" s="7"/>
      <c r="W393" s="7"/>
      <c r="X393" s="7"/>
      <c r="Y393" s="7"/>
    </row>
    <row r="394" spans="22:25" ht="14.25" customHeight="1" x14ac:dyDescent="0.3">
      <c r="V394" s="7"/>
      <c r="W394" s="7"/>
      <c r="X394" s="7"/>
      <c r="Y394" s="7"/>
    </row>
    <row r="395" spans="22:25" ht="14.25" customHeight="1" x14ac:dyDescent="0.3">
      <c r="V395" s="7"/>
      <c r="W395" s="7"/>
      <c r="X395" s="7"/>
      <c r="Y395" s="7"/>
    </row>
    <row r="396" spans="22:25" ht="14.25" customHeight="1" x14ac:dyDescent="0.3">
      <c r="V396" s="7"/>
      <c r="W396" s="7"/>
      <c r="X396" s="7"/>
      <c r="Y396" s="7"/>
    </row>
    <row r="397" spans="22:25" ht="14.25" customHeight="1" x14ac:dyDescent="0.3">
      <c r="V397" s="7"/>
      <c r="W397" s="7"/>
      <c r="X397" s="7"/>
      <c r="Y397" s="7"/>
    </row>
    <row r="398" spans="22:25" ht="14.25" customHeight="1" x14ac:dyDescent="0.3">
      <c r="V398" s="7"/>
      <c r="W398" s="7"/>
      <c r="X398" s="7"/>
      <c r="Y398" s="7"/>
    </row>
    <row r="399" spans="22:25" ht="14.25" customHeight="1" x14ac:dyDescent="0.3">
      <c r="V399" s="7"/>
      <c r="W399" s="7"/>
      <c r="X399" s="7"/>
      <c r="Y399" s="7"/>
    </row>
    <row r="400" spans="22:25" ht="14.25" customHeight="1" x14ac:dyDescent="0.3">
      <c r="V400" s="7"/>
      <c r="W400" s="7"/>
      <c r="X400" s="7"/>
      <c r="Y400" s="7"/>
    </row>
    <row r="401" spans="22:25" ht="14.25" customHeight="1" x14ac:dyDescent="0.3">
      <c r="V401" s="7"/>
      <c r="W401" s="7"/>
      <c r="X401" s="7"/>
      <c r="Y401" s="7"/>
    </row>
    <row r="402" spans="22:25" ht="14.25" customHeight="1" x14ac:dyDescent="0.3">
      <c r="V402" s="7"/>
      <c r="W402" s="7"/>
      <c r="X402" s="7"/>
      <c r="Y402" s="7"/>
    </row>
    <row r="403" spans="22:25" ht="14.25" customHeight="1" x14ac:dyDescent="0.3">
      <c r="V403" s="7"/>
      <c r="W403" s="7"/>
      <c r="X403" s="7"/>
      <c r="Y403" s="7"/>
    </row>
    <row r="404" spans="22:25" ht="14.25" customHeight="1" x14ac:dyDescent="0.3">
      <c r="V404" s="7"/>
      <c r="W404" s="7"/>
      <c r="X404" s="7"/>
      <c r="Y404" s="7"/>
    </row>
    <row r="405" spans="22:25" ht="14.25" customHeight="1" x14ac:dyDescent="0.3">
      <c r="V405" s="7"/>
      <c r="W405" s="7"/>
      <c r="X405" s="7"/>
      <c r="Y405" s="7"/>
    </row>
    <row r="406" spans="22:25" ht="14.25" customHeight="1" x14ac:dyDescent="0.3">
      <c r="V406" s="7"/>
      <c r="W406" s="7"/>
      <c r="X406" s="7"/>
      <c r="Y406" s="7"/>
    </row>
    <row r="407" spans="22:25" ht="14.25" customHeight="1" x14ac:dyDescent="0.3">
      <c r="V407" s="7"/>
      <c r="W407" s="7"/>
      <c r="X407" s="7"/>
      <c r="Y407" s="7"/>
    </row>
    <row r="408" spans="22:25" ht="14.25" customHeight="1" x14ac:dyDescent="0.3">
      <c r="V408" s="7"/>
      <c r="W408" s="7"/>
      <c r="X408" s="7"/>
      <c r="Y408" s="7"/>
    </row>
    <row r="409" spans="22:25" ht="14.25" customHeight="1" x14ac:dyDescent="0.3">
      <c r="V409" s="7"/>
      <c r="W409" s="7"/>
      <c r="X409" s="7"/>
      <c r="Y409" s="7"/>
    </row>
    <row r="410" spans="22:25" ht="14.25" customHeight="1" x14ac:dyDescent="0.3">
      <c r="V410" s="7"/>
      <c r="W410" s="7"/>
      <c r="X410" s="7"/>
      <c r="Y410" s="7"/>
    </row>
    <row r="411" spans="22:25" ht="14.25" customHeight="1" x14ac:dyDescent="0.3">
      <c r="V411" s="7"/>
      <c r="W411" s="7"/>
      <c r="X411" s="7"/>
      <c r="Y411" s="7"/>
    </row>
    <row r="412" spans="22:25" ht="14.25" customHeight="1" x14ac:dyDescent="0.3">
      <c r="V412" s="7"/>
      <c r="W412" s="7"/>
      <c r="X412" s="7"/>
      <c r="Y412" s="7"/>
    </row>
    <row r="413" spans="22:25" ht="14.25" customHeight="1" x14ac:dyDescent="0.3">
      <c r="V413" s="7"/>
      <c r="W413" s="7"/>
      <c r="X413" s="7"/>
      <c r="Y413" s="7"/>
    </row>
    <row r="414" spans="22:25" ht="14.25" customHeight="1" x14ac:dyDescent="0.3">
      <c r="V414" s="7"/>
      <c r="W414" s="7"/>
      <c r="X414" s="7"/>
      <c r="Y414" s="7"/>
    </row>
    <row r="415" spans="22:25" ht="14.25" customHeight="1" x14ac:dyDescent="0.3">
      <c r="V415" s="7"/>
      <c r="W415" s="7"/>
      <c r="X415" s="7"/>
      <c r="Y415" s="7"/>
    </row>
    <row r="416" spans="22:25" ht="14.25" customHeight="1" x14ac:dyDescent="0.3">
      <c r="V416" s="7"/>
      <c r="W416" s="7"/>
      <c r="X416" s="7"/>
      <c r="Y416" s="7"/>
    </row>
    <row r="417" spans="22:25" ht="14.25" customHeight="1" x14ac:dyDescent="0.3">
      <c r="V417" s="7"/>
      <c r="W417" s="7"/>
      <c r="X417" s="7"/>
      <c r="Y417" s="7"/>
    </row>
    <row r="418" spans="22:25" ht="14.25" customHeight="1" x14ac:dyDescent="0.3">
      <c r="V418" s="7"/>
      <c r="W418" s="7"/>
      <c r="X418" s="7"/>
      <c r="Y418" s="7"/>
    </row>
    <row r="419" spans="22:25" ht="14.25" customHeight="1" x14ac:dyDescent="0.3">
      <c r="V419" s="7"/>
      <c r="W419" s="7"/>
      <c r="X419" s="7"/>
      <c r="Y419" s="7"/>
    </row>
    <row r="420" spans="22:25" ht="14.25" customHeight="1" x14ac:dyDescent="0.3">
      <c r="V420" s="7"/>
      <c r="W420" s="7"/>
      <c r="X420" s="7"/>
      <c r="Y420" s="7"/>
    </row>
    <row r="421" spans="22:25" ht="14.25" customHeight="1" x14ac:dyDescent="0.3">
      <c r="V421" s="7"/>
      <c r="W421" s="7"/>
      <c r="X421" s="7"/>
      <c r="Y421" s="7"/>
    </row>
    <row r="422" spans="22:25" ht="14.25" customHeight="1" x14ac:dyDescent="0.3">
      <c r="V422" s="7"/>
      <c r="W422" s="7"/>
      <c r="X422" s="7"/>
      <c r="Y422" s="7"/>
    </row>
    <row r="423" spans="22:25" ht="14.25" customHeight="1" x14ac:dyDescent="0.3">
      <c r="V423" s="7"/>
      <c r="W423" s="7"/>
      <c r="X423" s="7"/>
      <c r="Y423" s="7"/>
    </row>
    <row r="424" spans="22:25" ht="14.25" customHeight="1" x14ac:dyDescent="0.3">
      <c r="V424" s="7"/>
      <c r="W424" s="7"/>
      <c r="X424" s="7"/>
      <c r="Y424" s="7"/>
    </row>
    <row r="425" spans="22:25" ht="14.25" customHeight="1" x14ac:dyDescent="0.3">
      <c r="V425" s="7"/>
      <c r="W425" s="7"/>
      <c r="X425" s="7"/>
      <c r="Y425" s="7"/>
    </row>
    <row r="426" spans="22:25" ht="14.25" customHeight="1" x14ac:dyDescent="0.3">
      <c r="V426" s="7"/>
      <c r="W426" s="7"/>
      <c r="X426" s="7"/>
      <c r="Y426" s="7"/>
    </row>
    <row r="427" spans="22:25" ht="14.25" customHeight="1" x14ac:dyDescent="0.3">
      <c r="V427" s="7"/>
      <c r="W427" s="7"/>
      <c r="X427" s="7"/>
      <c r="Y427" s="7"/>
    </row>
    <row r="428" spans="22:25" ht="14.25" customHeight="1" x14ac:dyDescent="0.3">
      <c r="V428" s="7"/>
      <c r="W428" s="7"/>
      <c r="X428" s="7"/>
      <c r="Y428" s="7"/>
    </row>
    <row r="429" spans="22:25" ht="14.25" customHeight="1" x14ac:dyDescent="0.3">
      <c r="V429" s="7"/>
      <c r="W429" s="7"/>
      <c r="X429" s="7"/>
      <c r="Y429" s="7"/>
    </row>
    <row r="430" spans="22:25" ht="14.25" customHeight="1" x14ac:dyDescent="0.3">
      <c r="V430" s="7"/>
      <c r="W430" s="7"/>
      <c r="X430" s="7"/>
      <c r="Y430" s="7"/>
    </row>
    <row r="431" spans="22:25" ht="14.25" customHeight="1" x14ac:dyDescent="0.3">
      <c r="V431" s="7"/>
      <c r="W431" s="7"/>
      <c r="X431" s="7"/>
      <c r="Y431" s="7"/>
    </row>
    <row r="432" spans="22:25" ht="14.25" customHeight="1" x14ac:dyDescent="0.3">
      <c r="V432" s="7"/>
      <c r="W432" s="7"/>
      <c r="X432" s="7"/>
      <c r="Y432" s="7"/>
    </row>
    <row r="433" spans="22:25" ht="14.25" customHeight="1" x14ac:dyDescent="0.3">
      <c r="V433" s="7"/>
      <c r="W433" s="7"/>
      <c r="X433" s="7"/>
      <c r="Y433" s="7"/>
    </row>
    <row r="434" spans="22:25" ht="14.25" customHeight="1" x14ac:dyDescent="0.3">
      <c r="V434" s="7"/>
      <c r="W434" s="7"/>
      <c r="X434" s="7"/>
      <c r="Y434" s="7"/>
    </row>
    <row r="435" spans="22:25" ht="14.25" customHeight="1" x14ac:dyDescent="0.3">
      <c r="V435" s="7"/>
      <c r="W435" s="7"/>
      <c r="X435" s="7"/>
      <c r="Y435" s="7"/>
    </row>
    <row r="436" spans="22:25" ht="14.25" customHeight="1" x14ac:dyDescent="0.3">
      <c r="V436" s="7"/>
      <c r="W436" s="7"/>
      <c r="X436" s="7"/>
      <c r="Y436" s="7"/>
    </row>
    <row r="437" spans="22:25" ht="14.25" customHeight="1" x14ac:dyDescent="0.3">
      <c r="V437" s="7"/>
      <c r="W437" s="7"/>
      <c r="X437" s="7"/>
      <c r="Y437" s="7"/>
    </row>
    <row r="438" spans="22:25" ht="14.25" customHeight="1" x14ac:dyDescent="0.3">
      <c r="V438" s="7"/>
      <c r="W438" s="7"/>
      <c r="X438" s="7"/>
      <c r="Y438" s="7"/>
    </row>
    <row r="439" spans="22:25" ht="14.25" customHeight="1" x14ac:dyDescent="0.3">
      <c r="V439" s="7"/>
      <c r="W439" s="7"/>
      <c r="X439" s="7"/>
      <c r="Y439" s="7"/>
    </row>
    <row r="440" spans="22:25" ht="14.25" customHeight="1" x14ac:dyDescent="0.3">
      <c r="V440" s="7"/>
      <c r="W440" s="7"/>
      <c r="X440" s="7"/>
      <c r="Y440" s="7"/>
    </row>
    <row r="441" spans="22:25" ht="14.25" customHeight="1" x14ac:dyDescent="0.3">
      <c r="V441" s="7"/>
      <c r="W441" s="7"/>
      <c r="X441" s="7"/>
      <c r="Y441" s="7"/>
    </row>
    <row r="442" spans="22:25" ht="14.25" customHeight="1" x14ac:dyDescent="0.3">
      <c r="V442" s="7"/>
      <c r="W442" s="7"/>
      <c r="X442" s="7"/>
      <c r="Y442" s="7"/>
    </row>
    <row r="443" spans="22:25" ht="14.25" customHeight="1" x14ac:dyDescent="0.3">
      <c r="V443" s="7"/>
      <c r="W443" s="7"/>
      <c r="X443" s="7"/>
      <c r="Y443" s="7"/>
    </row>
    <row r="444" spans="22:25" ht="14.25" customHeight="1" x14ac:dyDescent="0.3">
      <c r="V444" s="7"/>
      <c r="W444" s="7"/>
      <c r="X444" s="7"/>
      <c r="Y444" s="7"/>
    </row>
    <row r="445" spans="22:25" ht="14.25" customHeight="1" x14ac:dyDescent="0.3">
      <c r="V445" s="7"/>
      <c r="W445" s="7"/>
      <c r="X445" s="7"/>
      <c r="Y445" s="7"/>
    </row>
    <row r="446" spans="22:25" ht="14.25" customHeight="1" x14ac:dyDescent="0.3">
      <c r="V446" s="7"/>
      <c r="W446" s="7"/>
      <c r="X446" s="7"/>
      <c r="Y446" s="7"/>
    </row>
    <row r="447" spans="22:25" ht="14.25" customHeight="1" x14ac:dyDescent="0.3">
      <c r="V447" s="7"/>
      <c r="W447" s="7"/>
      <c r="X447" s="7"/>
      <c r="Y447" s="7"/>
    </row>
    <row r="448" spans="22:25" ht="14.25" customHeight="1" x14ac:dyDescent="0.3">
      <c r="V448" s="7"/>
      <c r="W448" s="7"/>
      <c r="X448" s="7"/>
      <c r="Y448" s="7"/>
    </row>
    <row r="449" spans="22:25" ht="14.25" customHeight="1" x14ac:dyDescent="0.3">
      <c r="V449" s="7"/>
      <c r="W449" s="7"/>
      <c r="X449" s="7"/>
      <c r="Y449" s="7"/>
    </row>
    <row r="450" spans="22:25" ht="14.25" customHeight="1" x14ac:dyDescent="0.3">
      <c r="V450" s="7"/>
      <c r="W450" s="7"/>
      <c r="X450" s="7"/>
      <c r="Y450" s="7"/>
    </row>
    <row r="451" spans="22:25" ht="14.25" customHeight="1" x14ac:dyDescent="0.3">
      <c r="V451" s="7"/>
      <c r="W451" s="7"/>
      <c r="X451" s="7"/>
      <c r="Y451" s="7"/>
    </row>
    <row r="452" spans="22:25" ht="14.25" customHeight="1" x14ac:dyDescent="0.3">
      <c r="V452" s="7"/>
      <c r="W452" s="7"/>
      <c r="X452" s="7"/>
      <c r="Y452" s="7"/>
    </row>
    <row r="453" spans="22:25" ht="14.25" customHeight="1" x14ac:dyDescent="0.3">
      <c r="V453" s="7"/>
      <c r="W453" s="7"/>
      <c r="X453" s="7"/>
      <c r="Y453" s="7"/>
    </row>
    <row r="454" spans="22:25" ht="14.25" customHeight="1" x14ac:dyDescent="0.3">
      <c r="V454" s="7"/>
      <c r="W454" s="7"/>
      <c r="X454" s="7"/>
      <c r="Y454" s="7"/>
    </row>
    <row r="455" spans="22:25" ht="14.25" customHeight="1" x14ac:dyDescent="0.3">
      <c r="V455" s="7"/>
      <c r="W455" s="7"/>
      <c r="X455" s="7"/>
      <c r="Y455" s="7"/>
    </row>
    <row r="456" spans="22:25" ht="14.25" customHeight="1" x14ac:dyDescent="0.3">
      <c r="V456" s="7"/>
      <c r="W456" s="7"/>
      <c r="X456" s="7"/>
      <c r="Y456" s="7"/>
    </row>
    <row r="457" spans="22:25" ht="14.25" customHeight="1" x14ac:dyDescent="0.3">
      <c r="V457" s="7"/>
      <c r="W457" s="7"/>
      <c r="X457" s="7"/>
      <c r="Y457" s="7"/>
    </row>
    <row r="458" spans="22:25" ht="14.25" customHeight="1" x14ac:dyDescent="0.3">
      <c r="V458" s="7"/>
      <c r="W458" s="7"/>
      <c r="X458" s="7"/>
      <c r="Y458" s="7"/>
    </row>
    <row r="459" spans="22:25" ht="14.25" customHeight="1" x14ac:dyDescent="0.3">
      <c r="V459" s="7"/>
      <c r="W459" s="7"/>
      <c r="X459" s="7"/>
      <c r="Y459" s="7"/>
    </row>
    <row r="460" spans="22:25" ht="14.25" customHeight="1" x14ac:dyDescent="0.3">
      <c r="V460" s="7"/>
      <c r="W460" s="7"/>
      <c r="X460" s="7"/>
      <c r="Y460" s="7"/>
    </row>
    <row r="461" spans="22:25" ht="14.25" customHeight="1" x14ac:dyDescent="0.3">
      <c r="V461" s="7"/>
      <c r="W461" s="7"/>
      <c r="X461" s="7"/>
      <c r="Y461" s="7"/>
    </row>
    <row r="462" spans="22:25" ht="14.25" customHeight="1" x14ac:dyDescent="0.3">
      <c r="V462" s="7"/>
      <c r="W462" s="7"/>
      <c r="X462" s="7"/>
      <c r="Y462" s="7"/>
    </row>
    <row r="463" spans="22:25" ht="14.25" customHeight="1" x14ac:dyDescent="0.3">
      <c r="V463" s="7"/>
      <c r="W463" s="7"/>
      <c r="X463" s="7"/>
      <c r="Y463" s="7"/>
    </row>
    <row r="464" spans="22:25" ht="14.25" customHeight="1" x14ac:dyDescent="0.3">
      <c r="V464" s="7"/>
      <c r="W464" s="7"/>
      <c r="X464" s="7"/>
      <c r="Y464" s="7"/>
    </row>
    <row r="465" spans="22:25" ht="14.25" customHeight="1" x14ac:dyDescent="0.3">
      <c r="V465" s="7"/>
      <c r="W465" s="7"/>
      <c r="X465" s="7"/>
      <c r="Y465" s="7"/>
    </row>
    <row r="466" spans="22:25" ht="14.25" customHeight="1" x14ac:dyDescent="0.3">
      <c r="V466" s="7"/>
      <c r="W466" s="7"/>
      <c r="X466" s="7"/>
      <c r="Y466" s="7"/>
    </row>
    <row r="467" spans="22:25" ht="14.25" customHeight="1" x14ac:dyDescent="0.3">
      <c r="V467" s="7"/>
      <c r="W467" s="7"/>
      <c r="X467" s="7"/>
      <c r="Y467" s="7"/>
    </row>
    <row r="468" spans="22:25" ht="14.25" customHeight="1" x14ac:dyDescent="0.3">
      <c r="V468" s="7"/>
      <c r="W468" s="7"/>
      <c r="X468" s="7"/>
      <c r="Y468" s="7"/>
    </row>
    <row r="469" spans="22:25" ht="14.25" customHeight="1" x14ac:dyDescent="0.3">
      <c r="V469" s="7"/>
      <c r="W469" s="7"/>
      <c r="X469" s="7"/>
      <c r="Y469" s="7"/>
    </row>
    <row r="470" spans="22:25" ht="14.25" customHeight="1" x14ac:dyDescent="0.3">
      <c r="V470" s="7"/>
      <c r="W470" s="7"/>
      <c r="X470" s="7"/>
      <c r="Y470" s="7"/>
    </row>
    <row r="471" spans="22:25" ht="14.25" customHeight="1" x14ac:dyDescent="0.3">
      <c r="V471" s="7"/>
      <c r="W471" s="7"/>
      <c r="X471" s="7"/>
      <c r="Y471" s="7"/>
    </row>
    <row r="472" spans="22:25" ht="14.25" customHeight="1" x14ac:dyDescent="0.3">
      <c r="V472" s="7"/>
      <c r="W472" s="7"/>
      <c r="X472" s="7"/>
      <c r="Y472" s="7"/>
    </row>
    <row r="473" spans="22:25" ht="14.25" customHeight="1" x14ac:dyDescent="0.3">
      <c r="V473" s="7"/>
      <c r="W473" s="7"/>
      <c r="X473" s="7"/>
      <c r="Y473" s="7"/>
    </row>
    <row r="474" spans="22:25" ht="14.25" customHeight="1" x14ac:dyDescent="0.3">
      <c r="V474" s="7"/>
      <c r="W474" s="7"/>
      <c r="X474" s="7"/>
      <c r="Y474" s="7"/>
    </row>
    <row r="475" spans="22:25" ht="14.25" customHeight="1" x14ac:dyDescent="0.3">
      <c r="V475" s="7"/>
      <c r="W475" s="7"/>
      <c r="X475" s="7"/>
      <c r="Y475" s="7"/>
    </row>
    <row r="476" spans="22:25" ht="14.25" customHeight="1" x14ac:dyDescent="0.3">
      <c r="V476" s="7"/>
      <c r="W476" s="7"/>
      <c r="X476" s="7"/>
      <c r="Y476" s="7"/>
    </row>
    <row r="477" spans="22:25" ht="14.25" customHeight="1" x14ac:dyDescent="0.3">
      <c r="V477" s="7"/>
      <c r="W477" s="7"/>
      <c r="X477" s="7"/>
      <c r="Y477" s="7"/>
    </row>
    <row r="478" spans="22:25" ht="14.25" customHeight="1" x14ac:dyDescent="0.3">
      <c r="V478" s="7"/>
      <c r="W478" s="7"/>
      <c r="X478" s="7"/>
      <c r="Y478" s="7"/>
    </row>
    <row r="479" spans="22:25" ht="14.25" customHeight="1" x14ac:dyDescent="0.3">
      <c r="V479" s="7"/>
      <c r="W479" s="7"/>
      <c r="X479" s="7"/>
      <c r="Y479" s="7"/>
    </row>
    <row r="480" spans="22:25" ht="14.25" customHeight="1" x14ac:dyDescent="0.3">
      <c r="V480" s="7"/>
      <c r="W480" s="7"/>
      <c r="X480" s="7"/>
      <c r="Y480" s="7"/>
    </row>
    <row r="481" spans="22:25" ht="14.25" customHeight="1" x14ac:dyDescent="0.3">
      <c r="V481" s="7"/>
      <c r="W481" s="7"/>
      <c r="X481" s="7"/>
      <c r="Y481" s="7"/>
    </row>
    <row r="482" spans="22:25" ht="14.25" customHeight="1" x14ac:dyDescent="0.3">
      <c r="V482" s="7"/>
      <c r="W482" s="7"/>
      <c r="X482" s="7"/>
      <c r="Y482" s="7"/>
    </row>
    <row r="483" spans="22:25" ht="14.25" customHeight="1" x14ac:dyDescent="0.3">
      <c r="V483" s="7"/>
      <c r="W483" s="7"/>
      <c r="X483" s="7"/>
      <c r="Y483" s="7"/>
    </row>
    <row r="484" spans="22:25" ht="14.25" customHeight="1" x14ac:dyDescent="0.3">
      <c r="V484" s="7"/>
      <c r="W484" s="7"/>
      <c r="X484" s="7"/>
      <c r="Y484" s="7"/>
    </row>
    <row r="485" spans="22:25" ht="14.25" customHeight="1" x14ac:dyDescent="0.3">
      <c r="V485" s="7"/>
      <c r="W485" s="7"/>
      <c r="X485" s="7"/>
      <c r="Y485" s="7"/>
    </row>
    <row r="486" spans="22:25" ht="14.25" customHeight="1" x14ac:dyDescent="0.3">
      <c r="V486" s="7"/>
      <c r="W486" s="7"/>
      <c r="X486" s="7"/>
      <c r="Y486" s="7"/>
    </row>
    <row r="487" spans="22:25" ht="14.25" customHeight="1" x14ac:dyDescent="0.3">
      <c r="V487" s="7"/>
      <c r="W487" s="7"/>
      <c r="X487" s="7"/>
      <c r="Y487" s="7"/>
    </row>
    <row r="488" spans="22:25" ht="14.25" customHeight="1" x14ac:dyDescent="0.3">
      <c r="V488" s="7"/>
      <c r="W488" s="7"/>
      <c r="X488" s="7"/>
      <c r="Y488" s="7"/>
    </row>
    <row r="489" spans="22:25" ht="14.25" customHeight="1" x14ac:dyDescent="0.3">
      <c r="V489" s="7"/>
      <c r="W489" s="7"/>
      <c r="X489" s="7"/>
      <c r="Y489" s="7"/>
    </row>
    <row r="490" spans="22:25" ht="14.25" customHeight="1" x14ac:dyDescent="0.3">
      <c r="V490" s="7"/>
      <c r="W490" s="7"/>
      <c r="X490" s="7"/>
      <c r="Y490" s="7"/>
    </row>
    <row r="491" spans="22:25" ht="14.25" customHeight="1" x14ac:dyDescent="0.3">
      <c r="V491" s="7"/>
      <c r="W491" s="7"/>
      <c r="X491" s="7"/>
      <c r="Y491" s="7"/>
    </row>
    <row r="492" spans="22:25" ht="14.25" customHeight="1" x14ac:dyDescent="0.3">
      <c r="V492" s="7"/>
      <c r="W492" s="7"/>
      <c r="X492" s="7"/>
      <c r="Y492" s="7"/>
    </row>
    <row r="493" spans="22:25" ht="14.25" customHeight="1" x14ac:dyDescent="0.3">
      <c r="V493" s="7"/>
      <c r="W493" s="7"/>
      <c r="X493" s="7"/>
      <c r="Y493" s="7"/>
    </row>
    <row r="494" spans="22:25" ht="14.25" customHeight="1" x14ac:dyDescent="0.3">
      <c r="V494" s="7"/>
      <c r="W494" s="7"/>
      <c r="X494" s="7"/>
      <c r="Y494" s="7"/>
    </row>
    <row r="495" spans="22:25" ht="14.25" customHeight="1" x14ac:dyDescent="0.3">
      <c r="V495" s="7"/>
      <c r="W495" s="7"/>
      <c r="X495" s="7"/>
      <c r="Y495" s="7"/>
    </row>
    <row r="496" spans="22:25" ht="14.25" customHeight="1" x14ac:dyDescent="0.3">
      <c r="V496" s="7"/>
      <c r="W496" s="7"/>
      <c r="X496" s="7"/>
      <c r="Y496" s="7"/>
    </row>
    <row r="497" spans="22:25" ht="14.25" customHeight="1" x14ac:dyDescent="0.3">
      <c r="V497" s="7"/>
      <c r="W497" s="7"/>
      <c r="X497" s="7"/>
      <c r="Y497" s="7"/>
    </row>
    <row r="498" spans="22:25" ht="14.25" customHeight="1" x14ac:dyDescent="0.3">
      <c r="V498" s="7"/>
      <c r="W498" s="7"/>
      <c r="X498" s="7"/>
      <c r="Y498" s="7"/>
    </row>
    <row r="499" spans="22:25" ht="14.25" customHeight="1" x14ac:dyDescent="0.3">
      <c r="V499" s="7"/>
      <c r="W499" s="7"/>
      <c r="X499" s="7"/>
      <c r="Y499" s="7"/>
    </row>
    <row r="500" spans="22:25" ht="14.25" customHeight="1" x14ac:dyDescent="0.3">
      <c r="V500" s="7"/>
      <c r="W500" s="7"/>
      <c r="X500" s="7"/>
      <c r="Y500" s="7"/>
    </row>
    <row r="501" spans="22:25" ht="14.25" customHeight="1" x14ac:dyDescent="0.3">
      <c r="V501" s="7"/>
      <c r="W501" s="7"/>
      <c r="X501" s="7"/>
      <c r="Y501" s="7"/>
    </row>
    <row r="502" spans="22:25" ht="14.25" customHeight="1" x14ac:dyDescent="0.3">
      <c r="V502" s="7"/>
      <c r="W502" s="7"/>
      <c r="X502" s="7"/>
      <c r="Y502" s="7"/>
    </row>
    <row r="503" spans="22:25" ht="14.25" customHeight="1" x14ac:dyDescent="0.3">
      <c r="V503" s="7"/>
      <c r="W503" s="7"/>
      <c r="X503" s="7"/>
      <c r="Y503" s="7"/>
    </row>
    <row r="504" spans="22:25" ht="14.25" customHeight="1" x14ac:dyDescent="0.3">
      <c r="V504" s="7"/>
      <c r="W504" s="7"/>
      <c r="X504" s="7"/>
      <c r="Y504" s="7"/>
    </row>
    <row r="505" spans="22:25" ht="14.25" customHeight="1" x14ac:dyDescent="0.3">
      <c r="V505" s="7"/>
      <c r="W505" s="7"/>
      <c r="X505" s="7"/>
      <c r="Y505" s="7"/>
    </row>
    <row r="506" spans="22:25" ht="14.25" customHeight="1" x14ac:dyDescent="0.3">
      <c r="V506" s="7"/>
      <c r="W506" s="7"/>
      <c r="X506" s="7"/>
      <c r="Y506" s="7"/>
    </row>
    <row r="507" spans="22:25" ht="14.25" customHeight="1" x14ac:dyDescent="0.3">
      <c r="V507" s="7"/>
      <c r="W507" s="7"/>
      <c r="X507" s="7"/>
      <c r="Y507" s="7"/>
    </row>
    <row r="508" spans="22:25" ht="14.25" customHeight="1" x14ac:dyDescent="0.3">
      <c r="V508" s="7"/>
      <c r="W508" s="7"/>
      <c r="X508" s="7"/>
      <c r="Y508" s="7"/>
    </row>
    <row r="509" spans="22:25" ht="14.25" customHeight="1" x14ac:dyDescent="0.3">
      <c r="V509" s="7"/>
      <c r="W509" s="7"/>
      <c r="X509" s="7"/>
      <c r="Y509" s="7"/>
    </row>
    <row r="510" spans="22:25" ht="14.25" customHeight="1" x14ac:dyDescent="0.3">
      <c r="V510" s="7"/>
      <c r="W510" s="7"/>
      <c r="X510" s="7"/>
      <c r="Y510" s="7"/>
    </row>
    <row r="511" spans="22:25" ht="14.25" customHeight="1" x14ac:dyDescent="0.3">
      <c r="V511" s="7"/>
      <c r="W511" s="7"/>
      <c r="X511" s="7"/>
      <c r="Y511" s="7"/>
    </row>
    <row r="512" spans="22:25" ht="14.25" customHeight="1" x14ac:dyDescent="0.3">
      <c r="V512" s="7"/>
      <c r="W512" s="7"/>
      <c r="X512" s="7"/>
      <c r="Y512" s="7"/>
    </row>
    <row r="513" spans="22:25" ht="14.25" customHeight="1" x14ac:dyDescent="0.3">
      <c r="V513" s="7"/>
      <c r="W513" s="7"/>
      <c r="X513" s="7"/>
      <c r="Y513" s="7"/>
    </row>
    <row r="514" spans="22:25" ht="14.25" customHeight="1" x14ac:dyDescent="0.3">
      <c r="V514" s="7"/>
      <c r="W514" s="7"/>
      <c r="X514" s="7"/>
      <c r="Y514" s="7"/>
    </row>
    <row r="515" spans="22:25" ht="14.25" customHeight="1" x14ac:dyDescent="0.3">
      <c r="V515" s="7"/>
      <c r="W515" s="7"/>
      <c r="X515" s="7"/>
      <c r="Y515" s="7"/>
    </row>
    <row r="516" spans="22:25" ht="14.25" customHeight="1" x14ac:dyDescent="0.3">
      <c r="V516" s="7"/>
      <c r="W516" s="7"/>
      <c r="X516" s="7"/>
      <c r="Y516" s="7"/>
    </row>
    <row r="517" spans="22:25" ht="14.25" customHeight="1" x14ac:dyDescent="0.3">
      <c r="V517" s="7"/>
      <c r="W517" s="7"/>
      <c r="X517" s="7"/>
      <c r="Y517" s="7"/>
    </row>
    <row r="518" spans="22:25" ht="14.25" customHeight="1" x14ac:dyDescent="0.3">
      <c r="V518" s="7"/>
      <c r="W518" s="7"/>
      <c r="X518" s="7"/>
      <c r="Y518" s="7"/>
    </row>
    <row r="519" spans="22:25" ht="14.25" customHeight="1" x14ac:dyDescent="0.3">
      <c r="V519" s="7"/>
      <c r="W519" s="7"/>
      <c r="X519" s="7"/>
      <c r="Y519" s="7"/>
    </row>
    <row r="520" spans="22:25" ht="14.25" customHeight="1" x14ac:dyDescent="0.3">
      <c r="V520" s="7"/>
      <c r="W520" s="7"/>
      <c r="X520" s="7"/>
      <c r="Y520" s="7"/>
    </row>
    <row r="521" spans="22:25" ht="14.25" customHeight="1" x14ac:dyDescent="0.3">
      <c r="V521" s="7"/>
      <c r="W521" s="7"/>
      <c r="X521" s="7"/>
      <c r="Y521" s="7"/>
    </row>
    <row r="522" spans="22:25" ht="14.25" customHeight="1" x14ac:dyDescent="0.3">
      <c r="V522" s="7"/>
      <c r="W522" s="7"/>
      <c r="X522" s="7"/>
      <c r="Y522" s="7"/>
    </row>
    <row r="523" spans="22:25" ht="14.25" customHeight="1" x14ac:dyDescent="0.3">
      <c r="V523" s="7"/>
      <c r="W523" s="7"/>
      <c r="X523" s="7"/>
      <c r="Y523" s="7"/>
    </row>
    <row r="524" spans="22:25" ht="14.25" customHeight="1" x14ac:dyDescent="0.3">
      <c r="V524" s="7"/>
      <c r="W524" s="7"/>
      <c r="X524" s="7"/>
      <c r="Y524" s="7"/>
    </row>
    <row r="525" spans="22:25" ht="14.25" customHeight="1" x14ac:dyDescent="0.3">
      <c r="V525" s="7"/>
      <c r="W525" s="7"/>
      <c r="X525" s="7"/>
      <c r="Y525" s="7"/>
    </row>
    <row r="526" spans="22:25" ht="14.25" customHeight="1" x14ac:dyDescent="0.3">
      <c r="V526" s="7"/>
      <c r="W526" s="7"/>
      <c r="X526" s="7"/>
      <c r="Y526" s="7"/>
    </row>
    <row r="527" spans="22:25" ht="14.25" customHeight="1" x14ac:dyDescent="0.3">
      <c r="V527" s="7"/>
      <c r="W527" s="7"/>
      <c r="X527" s="7"/>
      <c r="Y527" s="7"/>
    </row>
    <row r="528" spans="22:25" ht="14.25" customHeight="1" x14ac:dyDescent="0.3">
      <c r="V528" s="7"/>
      <c r="W528" s="7"/>
      <c r="X528" s="7"/>
      <c r="Y528" s="7"/>
    </row>
    <row r="529" spans="22:25" ht="14.25" customHeight="1" x14ac:dyDescent="0.3">
      <c r="V529" s="7"/>
      <c r="W529" s="7"/>
      <c r="X529" s="7"/>
      <c r="Y529" s="7"/>
    </row>
    <row r="530" spans="22:25" ht="14.25" customHeight="1" x14ac:dyDescent="0.3">
      <c r="V530" s="7"/>
      <c r="W530" s="7"/>
      <c r="X530" s="7"/>
      <c r="Y530" s="7"/>
    </row>
    <row r="531" spans="22:25" ht="14.25" customHeight="1" x14ac:dyDescent="0.3">
      <c r="V531" s="7"/>
      <c r="W531" s="7"/>
      <c r="X531" s="7"/>
      <c r="Y531" s="7"/>
    </row>
    <row r="532" spans="22:25" ht="14.25" customHeight="1" x14ac:dyDescent="0.3">
      <c r="V532" s="7"/>
      <c r="W532" s="7"/>
      <c r="X532" s="7"/>
      <c r="Y532" s="7"/>
    </row>
    <row r="533" spans="22:25" ht="14.25" customHeight="1" x14ac:dyDescent="0.3">
      <c r="V533" s="7"/>
      <c r="W533" s="7"/>
      <c r="X533" s="7"/>
      <c r="Y533" s="7"/>
    </row>
    <row r="534" spans="22:25" ht="14.25" customHeight="1" x14ac:dyDescent="0.3">
      <c r="V534" s="7"/>
      <c r="W534" s="7"/>
      <c r="X534" s="7"/>
      <c r="Y534" s="7"/>
    </row>
    <row r="535" spans="22:25" ht="14.25" customHeight="1" x14ac:dyDescent="0.3">
      <c r="V535" s="7"/>
      <c r="W535" s="7"/>
      <c r="X535" s="7"/>
      <c r="Y535" s="7"/>
    </row>
    <row r="536" spans="22:25" ht="14.25" customHeight="1" x14ac:dyDescent="0.3">
      <c r="V536" s="7"/>
      <c r="W536" s="7"/>
      <c r="X536" s="7"/>
      <c r="Y536" s="7"/>
    </row>
    <row r="537" spans="22:25" ht="14.25" customHeight="1" x14ac:dyDescent="0.3">
      <c r="V537" s="7"/>
      <c r="W537" s="7"/>
      <c r="X537" s="7"/>
      <c r="Y537" s="7"/>
    </row>
    <row r="538" spans="22:25" ht="14.25" customHeight="1" x14ac:dyDescent="0.3">
      <c r="V538" s="7"/>
      <c r="W538" s="7"/>
      <c r="X538" s="7"/>
      <c r="Y538" s="7"/>
    </row>
    <row r="539" spans="22:25" ht="14.25" customHeight="1" x14ac:dyDescent="0.3">
      <c r="V539" s="7"/>
      <c r="W539" s="7"/>
      <c r="X539" s="7"/>
      <c r="Y539" s="7"/>
    </row>
    <row r="540" spans="22:25" ht="14.25" customHeight="1" x14ac:dyDescent="0.3">
      <c r="V540" s="7"/>
      <c r="W540" s="7"/>
      <c r="X540" s="7"/>
      <c r="Y540" s="7"/>
    </row>
    <row r="541" spans="22:25" ht="14.25" customHeight="1" x14ac:dyDescent="0.3">
      <c r="V541" s="7"/>
      <c r="W541" s="7"/>
      <c r="X541" s="7"/>
      <c r="Y541" s="7"/>
    </row>
    <row r="542" spans="22:25" ht="14.25" customHeight="1" x14ac:dyDescent="0.3">
      <c r="V542" s="7"/>
      <c r="W542" s="7"/>
      <c r="X542" s="7"/>
      <c r="Y542" s="7"/>
    </row>
    <row r="543" spans="22:25" ht="14.25" customHeight="1" x14ac:dyDescent="0.3">
      <c r="V543" s="7"/>
      <c r="W543" s="7"/>
      <c r="X543" s="7"/>
      <c r="Y543" s="7"/>
    </row>
    <row r="544" spans="22:25" ht="14.25" customHeight="1" x14ac:dyDescent="0.3">
      <c r="V544" s="7"/>
      <c r="W544" s="7"/>
      <c r="X544" s="7"/>
      <c r="Y544" s="7"/>
    </row>
    <row r="545" spans="22:25" ht="14.25" customHeight="1" x14ac:dyDescent="0.3">
      <c r="V545" s="7"/>
      <c r="W545" s="7"/>
      <c r="X545" s="7"/>
      <c r="Y545" s="7"/>
    </row>
    <row r="546" spans="22:25" ht="14.25" customHeight="1" x14ac:dyDescent="0.3">
      <c r="V546" s="7"/>
      <c r="W546" s="7"/>
      <c r="X546" s="7"/>
      <c r="Y546" s="7"/>
    </row>
    <row r="547" spans="22:25" ht="14.25" customHeight="1" x14ac:dyDescent="0.3">
      <c r="V547" s="7"/>
      <c r="W547" s="7"/>
      <c r="X547" s="7"/>
      <c r="Y547" s="7"/>
    </row>
    <row r="548" spans="22:25" ht="14.25" customHeight="1" x14ac:dyDescent="0.3">
      <c r="V548" s="7"/>
      <c r="W548" s="7"/>
      <c r="X548" s="7"/>
      <c r="Y548" s="7"/>
    </row>
    <row r="549" spans="22:25" ht="14.25" customHeight="1" x14ac:dyDescent="0.3">
      <c r="V549" s="7"/>
      <c r="W549" s="7"/>
      <c r="X549" s="7"/>
      <c r="Y549" s="7"/>
    </row>
    <row r="550" spans="22:25" ht="14.25" customHeight="1" x14ac:dyDescent="0.3">
      <c r="V550" s="7"/>
      <c r="W550" s="7"/>
      <c r="X550" s="7"/>
      <c r="Y550" s="7"/>
    </row>
    <row r="551" spans="22:25" ht="14.25" customHeight="1" x14ac:dyDescent="0.3">
      <c r="V551" s="7"/>
      <c r="W551" s="7"/>
      <c r="X551" s="7"/>
      <c r="Y551" s="7"/>
    </row>
    <row r="552" spans="22:25" ht="14.25" customHeight="1" x14ac:dyDescent="0.3">
      <c r="V552" s="7"/>
      <c r="W552" s="7"/>
      <c r="X552" s="7"/>
      <c r="Y552" s="7"/>
    </row>
    <row r="553" spans="22:25" ht="14.25" customHeight="1" x14ac:dyDescent="0.3">
      <c r="V553" s="7"/>
      <c r="W553" s="7"/>
      <c r="X553" s="7"/>
      <c r="Y553" s="7"/>
    </row>
    <row r="554" spans="22:25" ht="14.25" customHeight="1" x14ac:dyDescent="0.3">
      <c r="V554" s="7"/>
      <c r="W554" s="7"/>
      <c r="X554" s="7"/>
      <c r="Y554" s="7"/>
    </row>
    <row r="555" spans="22:25" ht="14.25" customHeight="1" x14ac:dyDescent="0.3">
      <c r="V555" s="7"/>
      <c r="W555" s="7"/>
      <c r="X555" s="7"/>
      <c r="Y555" s="7"/>
    </row>
    <row r="556" spans="22:25" ht="14.25" customHeight="1" x14ac:dyDescent="0.3">
      <c r="V556" s="7"/>
      <c r="W556" s="7"/>
      <c r="X556" s="7"/>
      <c r="Y556" s="7"/>
    </row>
    <row r="557" spans="22:25" ht="14.25" customHeight="1" x14ac:dyDescent="0.3">
      <c r="V557" s="7"/>
      <c r="W557" s="7"/>
      <c r="X557" s="7"/>
      <c r="Y557" s="7"/>
    </row>
    <row r="558" spans="22:25" ht="14.25" customHeight="1" x14ac:dyDescent="0.3">
      <c r="V558" s="7"/>
      <c r="W558" s="7"/>
      <c r="X558" s="7"/>
      <c r="Y558" s="7"/>
    </row>
    <row r="559" spans="22:25" ht="14.25" customHeight="1" x14ac:dyDescent="0.3">
      <c r="V559" s="7"/>
      <c r="W559" s="7"/>
      <c r="X559" s="7"/>
      <c r="Y559" s="7"/>
    </row>
    <row r="560" spans="22:25" ht="14.25" customHeight="1" x14ac:dyDescent="0.3">
      <c r="V560" s="7"/>
      <c r="W560" s="7"/>
      <c r="X560" s="7"/>
      <c r="Y560" s="7"/>
    </row>
    <row r="561" spans="22:25" ht="14.25" customHeight="1" x14ac:dyDescent="0.3">
      <c r="V561" s="7"/>
      <c r="W561" s="7"/>
      <c r="X561" s="7"/>
      <c r="Y561" s="7"/>
    </row>
    <row r="562" spans="22:25" ht="14.25" customHeight="1" x14ac:dyDescent="0.3">
      <c r="V562" s="7"/>
      <c r="W562" s="7"/>
      <c r="X562" s="7"/>
      <c r="Y562" s="7"/>
    </row>
    <row r="563" spans="22:25" ht="14.25" customHeight="1" x14ac:dyDescent="0.3">
      <c r="V563" s="7"/>
      <c r="W563" s="7"/>
      <c r="X563" s="7"/>
      <c r="Y563" s="7"/>
    </row>
    <row r="564" spans="22:25" ht="14.25" customHeight="1" x14ac:dyDescent="0.3">
      <c r="V564" s="7"/>
      <c r="W564" s="7"/>
      <c r="X564" s="7"/>
      <c r="Y564" s="7"/>
    </row>
    <row r="565" spans="22:25" ht="14.25" customHeight="1" x14ac:dyDescent="0.3">
      <c r="V565" s="7"/>
      <c r="W565" s="7"/>
      <c r="X565" s="7"/>
      <c r="Y565" s="7"/>
    </row>
    <row r="566" spans="22:25" ht="14.25" customHeight="1" x14ac:dyDescent="0.3">
      <c r="V566" s="7"/>
      <c r="W566" s="7"/>
      <c r="X566" s="7"/>
      <c r="Y566" s="7"/>
    </row>
    <row r="567" spans="22:25" ht="14.25" customHeight="1" x14ac:dyDescent="0.3">
      <c r="V567" s="7"/>
      <c r="W567" s="7"/>
      <c r="X567" s="7"/>
      <c r="Y567" s="7"/>
    </row>
    <row r="568" spans="22:25" ht="14.25" customHeight="1" x14ac:dyDescent="0.3">
      <c r="V568" s="7"/>
      <c r="W568" s="7"/>
      <c r="X568" s="7"/>
      <c r="Y568" s="7"/>
    </row>
    <row r="569" spans="22:25" ht="14.25" customHeight="1" x14ac:dyDescent="0.3">
      <c r="V569" s="7"/>
      <c r="W569" s="7"/>
      <c r="X569" s="7"/>
      <c r="Y569" s="7"/>
    </row>
    <row r="570" spans="22:25" ht="14.25" customHeight="1" x14ac:dyDescent="0.3">
      <c r="V570" s="7"/>
      <c r="W570" s="7"/>
      <c r="X570" s="7"/>
      <c r="Y570" s="7"/>
    </row>
    <row r="571" spans="22:25" ht="14.25" customHeight="1" x14ac:dyDescent="0.3">
      <c r="V571" s="7"/>
      <c r="W571" s="7"/>
      <c r="X571" s="7"/>
      <c r="Y571" s="7"/>
    </row>
    <row r="572" spans="22:25" ht="14.25" customHeight="1" x14ac:dyDescent="0.3">
      <c r="V572" s="7"/>
      <c r="W572" s="7"/>
      <c r="X572" s="7"/>
      <c r="Y572" s="7"/>
    </row>
    <row r="573" spans="22:25" ht="14.25" customHeight="1" x14ac:dyDescent="0.3">
      <c r="V573" s="7"/>
      <c r="W573" s="7"/>
      <c r="X573" s="7"/>
      <c r="Y573" s="7"/>
    </row>
    <row r="574" spans="22:25" ht="14.25" customHeight="1" x14ac:dyDescent="0.3">
      <c r="V574" s="7"/>
      <c r="W574" s="7"/>
      <c r="X574" s="7"/>
      <c r="Y574" s="7"/>
    </row>
    <row r="575" spans="22:25" ht="14.25" customHeight="1" x14ac:dyDescent="0.3">
      <c r="V575" s="7"/>
      <c r="W575" s="7"/>
      <c r="X575" s="7"/>
      <c r="Y575" s="7"/>
    </row>
    <row r="576" spans="22:25" ht="14.25" customHeight="1" x14ac:dyDescent="0.3">
      <c r="V576" s="7"/>
      <c r="W576" s="7"/>
      <c r="X576" s="7"/>
      <c r="Y576" s="7"/>
    </row>
    <row r="577" spans="22:25" ht="14.25" customHeight="1" x14ac:dyDescent="0.3">
      <c r="V577" s="7"/>
      <c r="W577" s="7"/>
      <c r="X577" s="7"/>
      <c r="Y577" s="7"/>
    </row>
    <row r="578" spans="22:25" ht="14.25" customHeight="1" x14ac:dyDescent="0.3">
      <c r="V578" s="7"/>
      <c r="W578" s="7"/>
      <c r="X578" s="7"/>
      <c r="Y578" s="7"/>
    </row>
    <row r="579" spans="22:25" ht="14.25" customHeight="1" x14ac:dyDescent="0.3">
      <c r="V579" s="7"/>
      <c r="W579" s="7"/>
      <c r="X579" s="7"/>
      <c r="Y579" s="7"/>
    </row>
    <row r="580" spans="22:25" ht="14.25" customHeight="1" x14ac:dyDescent="0.3">
      <c r="V580" s="7"/>
      <c r="W580" s="7"/>
      <c r="X580" s="7"/>
      <c r="Y580" s="7"/>
    </row>
    <row r="581" spans="22:25" ht="14.25" customHeight="1" x14ac:dyDescent="0.3">
      <c r="V581" s="7"/>
      <c r="W581" s="7"/>
      <c r="X581" s="7"/>
      <c r="Y581" s="7"/>
    </row>
    <row r="582" spans="22:25" ht="14.25" customHeight="1" x14ac:dyDescent="0.3">
      <c r="V582" s="7"/>
      <c r="W582" s="7"/>
      <c r="X582" s="7"/>
      <c r="Y582" s="7"/>
    </row>
    <row r="583" spans="22:25" ht="14.25" customHeight="1" x14ac:dyDescent="0.3">
      <c r="V583" s="7"/>
      <c r="W583" s="7"/>
      <c r="X583" s="7"/>
      <c r="Y583" s="7"/>
    </row>
    <row r="584" spans="22:25" ht="14.25" customHeight="1" x14ac:dyDescent="0.3">
      <c r="V584" s="7"/>
      <c r="W584" s="7"/>
      <c r="X584" s="7"/>
      <c r="Y584" s="7"/>
    </row>
    <row r="585" spans="22:25" ht="14.25" customHeight="1" x14ac:dyDescent="0.3">
      <c r="V585" s="7"/>
      <c r="W585" s="7"/>
      <c r="X585" s="7"/>
      <c r="Y585" s="7"/>
    </row>
    <row r="586" spans="22:25" ht="14.25" customHeight="1" x14ac:dyDescent="0.3">
      <c r="V586" s="7"/>
      <c r="W586" s="7"/>
      <c r="X586" s="7"/>
      <c r="Y586" s="7"/>
    </row>
    <row r="587" spans="22:25" ht="14.25" customHeight="1" x14ac:dyDescent="0.3">
      <c r="V587" s="7"/>
      <c r="W587" s="7"/>
      <c r="X587" s="7"/>
      <c r="Y587" s="7"/>
    </row>
    <row r="588" spans="22:25" ht="14.25" customHeight="1" x14ac:dyDescent="0.3">
      <c r="V588" s="7"/>
      <c r="W588" s="7"/>
      <c r="X588" s="7"/>
      <c r="Y588" s="7"/>
    </row>
    <row r="589" spans="22:25" ht="14.25" customHeight="1" x14ac:dyDescent="0.3">
      <c r="V589" s="7"/>
      <c r="W589" s="7"/>
      <c r="X589" s="7"/>
      <c r="Y589" s="7"/>
    </row>
    <row r="590" spans="22:25" ht="14.25" customHeight="1" x14ac:dyDescent="0.3">
      <c r="V590" s="7"/>
      <c r="W590" s="7"/>
      <c r="X590" s="7"/>
      <c r="Y590" s="7"/>
    </row>
    <row r="591" spans="22:25" ht="14.25" customHeight="1" x14ac:dyDescent="0.3">
      <c r="V591" s="7"/>
      <c r="W591" s="7"/>
      <c r="X591" s="7"/>
      <c r="Y591" s="7"/>
    </row>
    <row r="592" spans="22:25" ht="14.25" customHeight="1" x14ac:dyDescent="0.3">
      <c r="V592" s="7"/>
      <c r="W592" s="7"/>
      <c r="X592" s="7"/>
      <c r="Y592" s="7"/>
    </row>
    <row r="593" spans="22:25" ht="14.25" customHeight="1" x14ac:dyDescent="0.3">
      <c r="V593" s="7"/>
      <c r="W593" s="7"/>
      <c r="X593" s="7"/>
      <c r="Y593" s="7"/>
    </row>
    <row r="594" spans="22:25" ht="14.25" customHeight="1" x14ac:dyDescent="0.3">
      <c r="V594" s="7"/>
      <c r="W594" s="7"/>
      <c r="X594" s="7"/>
      <c r="Y594" s="7"/>
    </row>
    <row r="595" spans="22:25" ht="14.25" customHeight="1" x14ac:dyDescent="0.3">
      <c r="V595" s="7"/>
      <c r="W595" s="7"/>
      <c r="X595" s="7"/>
      <c r="Y595" s="7"/>
    </row>
    <row r="596" spans="22:25" ht="14.25" customHeight="1" x14ac:dyDescent="0.3">
      <c r="V596" s="7"/>
      <c r="W596" s="7"/>
      <c r="X596" s="7"/>
      <c r="Y596" s="7"/>
    </row>
    <row r="597" spans="22:25" ht="14.25" customHeight="1" x14ac:dyDescent="0.3">
      <c r="V597" s="7"/>
      <c r="W597" s="7"/>
      <c r="X597" s="7"/>
      <c r="Y597" s="7"/>
    </row>
    <row r="598" spans="22:25" ht="14.25" customHeight="1" x14ac:dyDescent="0.3">
      <c r="V598" s="7"/>
      <c r="W598" s="7"/>
      <c r="X598" s="7"/>
      <c r="Y598" s="7"/>
    </row>
    <row r="599" spans="22:25" ht="14.25" customHeight="1" x14ac:dyDescent="0.3">
      <c r="V599" s="7"/>
      <c r="W599" s="7"/>
      <c r="X599" s="7"/>
      <c r="Y599" s="7"/>
    </row>
    <row r="600" spans="22:25" ht="14.25" customHeight="1" x14ac:dyDescent="0.3">
      <c r="V600" s="7"/>
      <c r="W600" s="7"/>
      <c r="X600" s="7"/>
      <c r="Y600" s="7"/>
    </row>
    <row r="601" spans="22:25" ht="14.25" customHeight="1" x14ac:dyDescent="0.3">
      <c r="V601" s="7"/>
      <c r="W601" s="7"/>
      <c r="X601" s="7"/>
      <c r="Y601" s="7"/>
    </row>
    <row r="602" spans="22:25" ht="14.25" customHeight="1" x14ac:dyDescent="0.3">
      <c r="V602" s="7"/>
      <c r="W602" s="7"/>
      <c r="X602" s="7"/>
      <c r="Y602" s="7"/>
    </row>
    <row r="603" spans="22:25" ht="14.25" customHeight="1" x14ac:dyDescent="0.3">
      <c r="V603" s="7"/>
      <c r="W603" s="7"/>
      <c r="X603" s="7"/>
      <c r="Y603" s="7"/>
    </row>
    <row r="604" spans="22:25" ht="14.25" customHeight="1" x14ac:dyDescent="0.3">
      <c r="V604" s="7"/>
      <c r="W604" s="7"/>
      <c r="X604" s="7"/>
      <c r="Y604" s="7"/>
    </row>
    <row r="605" spans="22:25" ht="14.25" customHeight="1" x14ac:dyDescent="0.3">
      <c r="V605" s="7"/>
      <c r="W605" s="7"/>
      <c r="X605" s="7"/>
      <c r="Y605" s="7"/>
    </row>
    <row r="606" spans="22:25" ht="14.25" customHeight="1" x14ac:dyDescent="0.3">
      <c r="V606" s="7"/>
      <c r="W606" s="7"/>
      <c r="X606" s="7"/>
      <c r="Y606" s="7"/>
    </row>
    <row r="607" spans="22:25" ht="14.25" customHeight="1" x14ac:dyDescent="0.3">
      <c r="V607" s="7"/>
      <c r="W607" s="7"/>
      <c r="X607" s="7"/>
      <c r="Y607" s="7"/>
    </row>
    <row r="608" spans="22:25" ht="14.25" customHeight="1" x14ac:dyDescent="0.3">
      <c r="V608" s="7"/>
      <c r="W608" s="7"/>
      <c r="X608" s="7"/>
      <c r="Y608" s="7"/>
    </row>
    <row r="609" spans="22:25" ht="14.25" customHeight="1" x14ac:dyDescent="0.3">
      <c r="V609" s="7"/>
      <c r="W609" s="7"/>
      <c r="X609" s="7"/>
      <c r="Y609" s="7"/>
    </row>
    <row r="610" spans="22:25" ht="14.25" customHeight="1" x14ac:dyDescent="0.3">
      <c r="V610" s="7"/>
      <c r="W610" s="7"/>
      <c r="X610" s="7"/>
      <c r="Y610" s="7"/>
    </row>
    <row r="611" spans="22:25" ht="14.25" customHeight="1" x14ac:dyDescent="0.3">
      <c r="V611" s="7"/>
      <c r="W611" s="7"/>
      <c r="X611" s="7"/>
      <c r="Y611" s="7"/>
    </row>
    <row r="612" spans="22:25" ht="14.25" customHeight="1" x14ac:dyDescent="0.3">
      <c r="V612" s="7"/>
      <c r="W612" s="7"/>
      <c r="X612" s="7"/>
      <c r="Y612" s="7"/>
    </row>
    <row r="613" spans="22:25" ht="14.25" customHeight="1" x14ac:dyDescent="0.3">
      <c r="V613" s="7"/>
      <c r="W613" s="7"/>
      <c r="X613" s="7"/>
      <c r="Y613" s="7"/>
    </row>
    <row r="614" spans="22:25" ht="14.25" customHeight="1" x14ac:dyDescent="0.3">
      <c r="V614" s="7"/>
      <c r="W614" s="7"/>
      <c r="X614" s="7"/>
      <c r="Y614" s="7"/>
    </row>
    <row r="615" spans="22:25" ht="14.25" customHeight="1" x14ac:dyDescent="0.3">
      <c r="V615" s="7"/>
      <c r="W615" s="7"/>
      <c r="X615" s="7"/>
      <c r="Y615" s="7"/>
    </row>
    <row r="616" spans="22:25" ht="14.25" customHeight="1" x14ac:dyDescent="0.3">
      <c r="V616" s="7"/>
      <c r="W616" s="7"/>
      <c r="X616" s="7"/>
      <c r="Y616" s="7"/>
    </row>
    <row r="617" spans="22:25" ht="14.25" customHeight="1" x14ac:dyDescent="0.3">
      <c r="V617" s="7"/>
      <c r="W617" s="7"/>
      <c r="X617" s="7"/>
      <c r="Y617" s="7"/>
    </row>
    <row r="618" spans="22:25" ht="14.25" customHeight="1" x14ac:dyDescent="0.3">
      <c r="V618" s="7"/>
      <c r="W618" s="7"/>
      <c r="X618" s="7"/>
      <c r="Y618" s="7"/>
    </row>
    <row r="619" spans="22:25" ht="14.25" customHeight="1" x14ac:dyDescent="0.3">
      <c r="V619" s="7"/>
      <c r="W619" s="7"/>
      <c r="X619" s="7"/>
      <c r="Y619" s="7"/>
    </row>
    <row r="620" spans="22:25" ht="14.25" customHeight="1" x14ac:dyDescent="0.3">
      <c r="V620" s="7"/>
      <c r="W620" s="7"/>
      <c r="X620" s="7"/>
      <c r="Y620" s="7"/>
    </row>
    <row r="621" spans="22:25" ht="14.25" customHeight="1" x14ac:dyDescent="0.3">
      <c r="V621" s="7"/>
      <c r="W621" s="7"/>
      <c r="X621" s="7"/>
      <c r="Y621" s="7"/>
    </row>
    <row r="622" spans="22:25" ht="14.25" customHeight="1" x14ac:dyDescent="0.3">
      <c r="V622" s="7"/>
      <c r="W622" s="7"/>
      <c r="X622" s="7"/>
      <c r="Y622" s="7"/>
    </row>
    <row r="623" spans="22:25" ht="14.25" customHeight="1" x14ac:dyDescent="0.3">
      <c r="V623" s="7"/>
      <c r="W623" s="7"/>
      <c r="X623" s="7"/>
      <c r="Y623" s="7"/>
    </row>
    <row r="624" spans="22:25" ht="14.25" customHeight="1" x14ac:dyDescent="0.3">
      <c r="V624" s="7"/>
      <c r="W624" s="7"/>
      <c r="X624" s="7"/>
      <c r="Y624" s="7"/>
    </row>
    <row r="625" spans="22:25" ht="14.25" customHeight="1" x14ac:dyDescent="0.3">
      <c r="V625" s="7"/>
      <c r="W625" s="7"/>
      <c r="X625" s="7"/>
      <c r="Y625" s="7"/>
    </row>
    <row r="626" spans="22:25" ht="14.25" customHeight="1" x14ac:dyDescent="0.3">
      <c r="V626" s="7"/>
      <c r="W626" s="7"/>
      <c r="X626" s="7"/>
      <c r="Y626" s="7"/>
    </row>
    <row r="627" spans="22:25" ht="14.25" customHeight="1" x14ac:dyDescent="0.3">
      <c r="V627" s="7"/>
      <c r="W627" s="7"/>
      <c r="X627" s="7"/>
      <c r="Y627" s="7"/>
    </row>
    <row r="628" spans="22:25" ht="14.25" customHeight="1" x14ac:dyDescent="0.3">
      <c r="V628" s="7"/>
      <c r="W628" s="7"/>
      <c r="X628" s="7"/>
      <c r="Y628" s="7"/>
    </row>
    <row r="629" spans="22:25" ht="14.25" customHeight="1" x14ac:dyDescent="0.3">
      <c r="V629" s="7"/>
      <c r="W629" s="7"/>
      <c r="X629" s="7"/>
      <c r="Y629" s="7"/>
    </row>
    <row r="630" spans="22:25" ht="14.25" customHeight="1" x14ac:dyDescent="0.3">
      <c r="V630" s="7"/>
      <c r="W630" s="7"/>
      <c r="X630" s="7"/>
      <c r="Y630" s="7"/>
    </row>
    <row r="631" spans="22:25" ht="14.25" customHeight="1" x14ac:dyDescent="0.3">
      <c r="V631" s="7"/>
      <c r="W631" s="7"/>
      <c r="X631" s="7"/>
      <c r="Y631" s="7"/>
    </row>
    <row r="632" spans="22:25" ht="14.25" customHeight="1" x14ac:dyDescent="0.3">
      <c r="V632" s="7"/>
      <c r="W632" s="7"/>
      <c r="X632" s="7"/>
      <c r="Y632" s="7"/>
    </row>
    <row r="633" spans="22:25" ht="14.25" customHeight="1" x14ac:dyDescent="0.3">
      <c r="V633" s="7"/>
      <c r="W633" s="7"/>
      <c r="X633" s="7"/>
      <c r="Y633" s="7"/>
    </row>
    <row r="634" spans="22:25" ht="14.25" customHeight="1" x14ac:dyDescent="0.3">
      <c r="V634" s="7"/>
      <c r="W634" s="7"/>
      <c r="X634" s="7"/>
      <c r="Y634" s="7"/>
    </row>
    <row r="635" spans="22:25" ht="14.25" customHeight="1" x14ac:dyDescent="0.3">
      <c r="V635" s="7"/>
      <c r="W635" s="7"/>
      <c r="X635" s="7"/>
      <c r="Y635" s="7"/>
    </row>
    <row r="636" spans="22:25" ht="14.25" customHeight="1" x14ac:dyDescent="0.3">
      <c r="V636" s="7"/>
      <c r="W636" s="7"/>
      <c r="X636" s="7"/>
      <c r="Y636" s="7"/>
    </row>
    <row r="637" spans="22:25" ht="14.25" customHeight="1" x14ac:dyDescent="0.3">
      <c r="V637" s="7"/>
      <c r="W637" s="7"/>
      <c r="X637" s="7"/>
      <c r="Y637" s="7"/>
    </row>
    <row r="638" spans="22:25" ht="14.25" customHeight="1" x14ac:dyDescent="0.3">
      <c r="V638" s="7"/>
      <c r="W638" s="7"/>
      <c r="X638" s="7"/>
      <c r="Y638" s="7"/>
    </row>
    <row r="639" spans="22:25" ht="14.25" customHeight="1" x14ac:dyDescent="0.3">
      <c r="V639" s="7"/>
      <c r="W639" s="7"/>
      <c r="X639" s="7"/>
      <c r="Y639" s="7"/>
    </row>
    <row r="640" spans="22:25" ht="14.25" customHeight="1" x14ac:dyDescent="0.3">
      <c r="V640" s="7"/>
      <c r="W640" s="7"/>
      <c r="X640" s="7"/>
      <c r="Y640" s="7"/>
    </row>
    <row r="641" spans="22:25" ht="14.25" customHeight="1" x14ac:dyDescent="0.3">
      <c r="V641" s="7"/>
      <c r="W641" s="7"/>
      <c r="X641" s="7"/>
      <c r="Y641" s="7"/>
    </row>
    <row r="642" spans="22:25" ht="14.25" customHeight="1" x14ac:dyDescent="0.3">
      <c r="V642" s="7"/>
      <c r="W642" s="7"/>
      <c r="X642" s="7"/>
      <c r="Y642" s="7"/>
    </row>
    <row r="643" spans="22:25" ht="14.25" customHeight="1" x14ac:dyDescent="0.3">
      <c r="V643" s="7"/>
      <c r="W643" s="7"/>
      <c r="X643" s="7"/>
      <c r="Y643" s="7"/>
    </row>
    <row r="644" spans="22:25" ht="14.25" customHeight="1" x14ac:dyDescent="0.3">
      <c r="V644" s="7"/>
      <c r="W644" s="7"/>
      <c r="X644" s="7"/>
      <c r="Y644" s="7"/>
    </row>
    <row r="645" spans="22:25" ht="14.25" customHeight="1" x14ac:dyDescent="0.3">
      <c r="V645" s="7"/>
      <c r="W645" s="7"/>
      <c r="X645" s="7"/>
      <c r="Y645" s="7"/>
    </row>
    <row r="646" spans="22:25" ht="14.25" customHeight="1" x14ac:dyDescent="0.3">
      <c r="V646" s="7"/>
      <c r="W646" s="7"/>
      <c r="X646" s="7"/>
      <c r="Y646" s="7"/>
    </row>
    <row r="647" spans="22:25" ht="14.25" customHeight="1" x14ac:dyDescent="0.3">
      <c r="V647" s="7"/>
      <c r="W647" s="7"/>
      <c r="X647" s="7"/>
      <c r="Y647" s="7"/>
    </row>
    <row r="648" spans="22:25" ht="14.25" customHeight="1" x14ac:dyDescent="0.3">
      <c r="V648" s="7"/>
      <c r="W648" s="7"/>
      <c r="X648" s="7"/>
      <c r="Y648" s="7"/>
    </row>
    <row r="649" spans="22:25" ht="14.25" customHeight="1" x14ac:dyDescent="0.3">
      <c r="V649" s="7"/>
      <c r="W649" s="7"/>
      <c r="X649" s="7"/>
      <c r="Y649" s="7"/>
    </row>
    <row r="650" spans="22:25" ht="14.25" customHeight="1" x14ac:dyDescent="0.3">
      <c r="V650" s="7"/>
      <c r="W650" s="7"/>
      <c r="X650" s="7"/>
      <c r="Y650" s="7"/>
    </row>
    <row r="651" spans="22:25" ht="14.25" customHeight="1" x14ac:dyDescent="0.3">
      <c r="V651" s="7"/>
      <c r="W651" s="7"/>
      <c r="X651" s="7"/>
      <c r="Y651" s="7"/>
    </row>
    <row r="652" spans="22:25" ht="14.25" customHeight="1" x14ac:dyDescent="0.3">
      <c r="V652" s="7"/>
      <c r="W652" s="7"/>
      <c r="X652" s="7"/>
      <c r="Y652" s="7"/>
    </row>
    <row r="653" spans="22:25" ht="14.25" customHeight="1" x14ac:dyDescent="0.3">
      <c r="V653" s="7"/>
      <c r="W653" s="7"/>
      <c r="X653" s="7"/>
      <c r="Y653" s="7"/>
    </row>
    <row r="654" spans="22:25" ht="14.25" customHeight="1" x14ac:dyDescent="0.3">
      <c r="V654" s="7"/>
      <c r="W654" s="7"/>
      <c r="X654" s="7"/>
      <c r="Y654" s="7"/>
    </row>
    <row r="655" spans="22:25" ht="14.25" customHeight="1" x14ac:dyDescent="0.3">
      <c r="V655" s="7"/>
      <c r="W655" s="7"/>
      <c r="X655" s="7"/>
      <c r="Y655" s="7"/>
    </row>
    <row r="656" spans="22:25" ht="14.25" customHeight="1" x14ac:dyDescent="0.3">
      <c r="V656" s="7"/>
      <c r="W656" s="7"/>
      <c r="X656" s="7"/>
      <c r="Y656" s="7"/>
    </row>
    <row r="657" spans="22:25" ht="14.25" customHeight="1" x14ac:dyDescent="0.3">
      <c r="V657" s="7"/>
      <c r="W657" s="7"/>
      <c r="X657" s="7"/>
      <c r="Y657" s="7"/>
    </row>
    <row r="658" spans="22:25" ht="14.25" customHeight="1" x14ac:dyDescent="0.3">
      <c r="V658" s="7"/>
      <c r="W658" s="7"/>
      <c r="X658" s="7"/>
      <c r="Y658" s="7"/>
    </row>
    <row r="659" spans="22:25" ht="14.25" customHeight="1" x14ac:dyDescent="0.3">
      <c r="V659" s="7"/>
      <c r="W659" s="7"/>
      <c r="X659" s="7"/>
      <c r="Y659" s="7"/>
    </row>
    <row r="660" spans="22:25" ht="14.25" customHeight="1" x14ac:dyDescent="0.3">
      <c r="V660" s="7"/>
      <c r="W660" s="7"/>
      <c r="X660" s="7"/>
      <c r="Y660" s="7"/>
    </row>
    <row r="661" spans="22:25" ht="14.25" customHeight="1" x14ac:dyDescent="0.3">
      <c r="V661" s="7"/>
      <c r="W661" s="7"/>
      <c r="X661" s="7"/>
      <c r="Y661" s="7"/>
    </row>
    <row r="662" spans="22:25" ht="14.25" customHeight="1" x14ac:dyDescent="0.3">
      <c r="V662" s="7"/>
      <c r="W662" s="7"/>
      <c r="X662" s="7"/>
      <c r="Y662" s="7"/>
    </row>
    <row r="663" spans="22:25" ht="14.25" customHeight="1" x14ac:dyDescent="0.3">
      <c r="V663" s="7"/>
      <c r="W663" s="7"/>
      <c r="X663" s="7"/>
      <c r="Y663" s="7"/>
    </row>
    <row r="664" spans="22:25" ht="14.25" customHeight="1" x14ac:dyDescent="0.3">
      <c r="V664" s="7"/>
      <c r="W664" s="7"/>
      <c r="X664" s="7"/>
      <c r="Y664" s="7"/>
    </row>
    <row r="665" spans="22:25" ht="14.25" customHeight="1" x14ac:dyDescent="0.3">
      <c r="V665" s="7"/>
      <c r="W665" s="7"/>
      <c r="X665" s="7"/>
      <c r="Y665" s="7"/>
    </row>
    <row r="666" spans="22:25" ht="14.25" customHeight="1" x14ac:dyDescent="0.3">
      <c r="V666" s="7"/>
      <c r="W666" s="7"/>
      <c r="X666" s="7"/>
      <c r="Y666" s="7"/>
    </row>
    <row r="667" spans="22:25" ht="14.25" customHeight="1" x14ac:dyDescent="0.3">
      <c r="V667" s="7"/>
      <c r="W667" s="7"/>
      <c r="X667" s="7"/>
      <c r="Y667" s="7"/>
    </row>
    <row r="668" spans="22:25" ht="14.25" customHeight="1" x14ac:dyDescent="0.3">
      <c r="V668" s="7"/>
      <c r="W668" s="7"/>
      <c r="X668" s="7"/>
      <c r="Y668" s="7"/>
    </row>
    <row r="669" spans="22:25" ht="14.25" customHeight="1" x14ac:dyDescent="0.3">
      <c r="V669" s="7"/>
      <c r="W669" s="7"/>
      <c r="X669" s="7"/>
      <c r="Y669" s="7"/>
    </row>
    <row r="670" spans="22:25" ht="14.25" customHeight="1" x14ac:dyDescent="0.3">
      <c r="V670" s="7"/>
      <c r="W670" s="7"/>
      <c r="X670" s="7"/>
      <c r="Y670" s="7"/>
    </row>
    <row r="671" spans="22:25" ht="14.25" customHeight="1" x14ac:dyDescent="0.3">
      <c r="V671" s="7"/>
      <c r="W671" s="7"/>
      <c r="X671" s="7"/>
      <c r="Y671" s="7"/>
    </row>
    <row r="672" spans="22:25" ht="14.25" customHeight="1" x14ac:dyDescent="0.3">
      <c r="V672" s="7"/>
      <c r="W672" s="7"/>
      <c r="X672" s="7"/>
      <c r="Y672" s="7"/>
    </row>
    <row r="673" spans="22:25" ht="14.25" customHeight="1" x14ac:dyDescent="0.3">
      <c r="V673" s="7"/>
      <c r="W673" s="7"/>
      <c r="X673" s="7"/>
      <c r="Y673" s="7"/>
    </row>
    <row r="674" spans="22:25" ht="14.25" customHeight="1" x14ac:dyDescent="0.3">
      <c r="V674" s="7"/>
      <c r="W674" s="7"/>
      <c r="X674" s="7"/>
      <c r="Y674" s="7"/>
    </row>
    <row r="675" spans="22:25" ht="14.25" customHeight="1" x14ac:dyDescent="0.3">
      <c r="V675" s="7"/>
      <c r="W675" s="7"/>
      <c r="X675" s="7"/>
      <c r="Y675" s="7"/>
    </row>
    <row r="676" spans="22:25" ht="14.25" customHeight="1" x14ac:dyDescent="0.3">
      <c r="V676" s="7"/>
      <c r="W676" s="7"/>
      <c r="X676" s="7"/>
      <c r="Y676" s="7"/>
    </row>
    <row r="677" spans="22:25" ht="14.25" customHeight="1" x14ac:dyDescent="0.3">
      <c r="V677" s="7"/>
      <c r="W677" s="7"/>
      <c r="X677" s="7"/>
      <c r="Y677" s="7"/>
    </row>
    <row r="678" spans="22:25" ht="14.25" customHeight="1" x14ac:dyDescent="0.3">
      <c r="V678" s="7"/>
      <c r="W678" s="7"/>
      <c r="X678" s="7"/>
      <c r="Y678" s="7"/>
    </row>
    <row r="679" spans="22:25" ht="14.25" customHeight="1" x14ac:dyDescent="0.3">
      <c r="V679" s="7"/>
      <c r="W679" s="7"/>
      <c r="X679" s="7"/>
      <c r="Y679" s="7"/>
    </row>
    <row r="680" spans="22:25" ht="14.25" customHeight="1" x14ac:dyDescent="0.3">
      <c r="V680" s="7"/>
      <c r="W680" s="7"/>
      <c r="X680" s="7"/>
      <c r="Y680" s="7"/>
    </row>
    <row r="681" spans="22:25" ht="14.25" customHeight="1" x14ac:dyDescent="0.3">
      <c r="V681" s="7"/>
      <c r="W681" s="7"/>
      <c r="X681" s="7"/>
      <c r="Y681" s="7"/>
    </row>
    <row r="682" spans="22:25" ht="14.25" customHeight="1" x14ac:dyDescent="0.3">
      <c r="V682" s="7"/>
      <c r="W682" s="7"/>
      <c r="X682" s="7"/>
      <c r="Y682" s="7"/>
    </row>
    <row r="683" spans="22:25" ht="14.25" customHeight="1" x14ac:dyDescent="0.3">
      <c r="V683" s="7"/>
      <c r="W683" s="7"/>
      <c r="X683" s="7"/>
      <c r="Y683" s="7"/>
    </row>
    <row r="684" spans="22:25" ht="14.25" customHeight="1" x14ac:dyDescent="0.3">
      <c r="V684" s="7"/>
      <c r="W684" s="7"/>
      <c r="X684" s="7"/>
      <c r="Y684" s="7"/>
    </row>
    <row r="685" spans="22:25" ht="14.25" customHeight="1" x14ac:dyDescent="0.3">
      <c r="V685" s="7"/>
      <c r="W685" s="7"/>
      <c r="X685" s="7"/>
      <c r="Y685" s="7"/>
    </row>
    <row r="686" spans="22:25" ht="14.25" customHeight="1" x14ac:dyDescent="0.3">
      <c r="V686" s="7"/>
      <c r="W686" s="7"/>
      <c r="X686" s="7"/>
      <c r="Y686" s="7"/>
    </row>
    <row r="687" spans="22:25" ht="14.25" customHeight="1" x14ac:dyDescent="0.3">
      <c r="V687" s="7"/>
      <c r="W687" s="7"/>
      <c r="X687" s="7"/>
      <c r="Y687" s="7"/>
    </row>
    <row r="688" spans="22:25" ht="14.25" customHeight="1" x14ac:dyDescent="0.3">
      <c r="V688" s="7"/>
      <c r="W688" s="7"/>
      <c r="X688" s="7"/>
      <c r="Y688" s="7"/>
    </row>
    <row r="689" spans="22:25" ht="14.25" customHeight="1" x14ac:dyDescent="0.3">
      <c r="V689" s="7"/>
      <c r="W689" s="7"/>
      <c r="X689" s="7"/>
      <c r="Y689" s="7"/>
    </row>
    <row r="690" spans="22:25" ht="14.25" customHeight="1" x14ac:dyDescent="0.3">
      <c r="V690" s="7"/>
      <c r="W690" s="7"/>
      <c r="X690" s="7"/>
      <c r="Y690" s="7"/>
    </row>
    <row r="691" spans="22:25" ht="14.25" customHeight="1" x14ac:dyDescent="0.3">
      <c r="V691" s="7"/>
      <c r="W691" s="7"/>
      <c r="X691" s="7"/>
      <c r="Y691" s="7"/>
    </row>
    <row r="692" spans="22:25" ht="14.25" customHeight="1" x14ac:dyDescent="0.3">
      <c r="V692" s="7"/>
      <c r="W692" s="7"/>
      <c r="X692" s="7"/>
      <c r="Y692" s="7"/>
    </row>
    <row r="693" spans="22:25" ht="14.25" customHeight="1" x14ac:dyDescent="0.3">
      <c r="V693" s="7"/>
      <c r="W693" s="7"/>
      <c r="X693" s="7"/>
      <c r="Y693" s="7"/>
    </row>
    <row r="694" spans="22:25" ht="14.25" customHeight="1" x14ac:dyDescent="0.3">
      <c r="V694" s="7"/>
      <c r="W694" s="7"/>
      <c r="X694" s="7"/>
      <c r="Y694" s="7"/>
    </row>
    <row r="695" spans="22:25" ht="14.25" customHeight="1" x14ac:dyDescent="0.3">
      <c r="V695" s="7"/>
      <c r="W695" s="7"/>
      <c r="X695" s="7"/>
      <c r="Y695" s="7"/>
    </row>
    <row r="696" spans="22:25" ht="14.25" customHeight="1" x14ac:dyDescent="0.3">
      <c r="V696" s="7"/>
      <c r="W696" s="7"/>
      <c r="X696" s="7"/>
      <c r="Y696" s="7"/>
    </row>
    <row r="697" spans="22:25" ht="14.25" customHeight="1" x14ac:dyDescent="0.3">
      <c r="V697" s="7"/>
      <c r="W697" s="7"/>
      <c r="X697" s="7"/>
      <c r="Y697" s="7"/>
    </row>
    <row r="698" spans="22:25" ht="14.25" customHeight="1" x14ac:dyDescent="0.3">
      <c r="V698" s="7"/>
      <c r="W698" s="7"/>
      <c r="X698" s="7"/>
      <c r="Y698" s="7"/>
    </row>
    <row r="699" spans="22:25" ht="14.25" customHeight="1" x14ac:dyDescent="0.3">
      <c r="V699" s="7"/>
      <c r="W699" s="7"/>
      <c r="X699" s="7"/>
      <c r="Y699" s="7"/>
    </row>
    <row r="700" spans="22:25" ht="14.25" customHeight="1" x14ac:dyDescent="0.3">
      <c r="V700" s="7"/>
      <c r="W700" s="7"/>
      <c r="X700" s="7"/>
      <c r="Y700" s="7"/>
    </row>
    <row r="701" spans="22:25" ht="14.25" customHeight="1" x14ac:dyDescent="0.3">
      <c r="V701" s="7"/>
      <c r="W701" s="7"/>
      <c r="X701" s="7"/>
      <c r="Y701" s="7"/>
    </row>
    <row r="702" spans="22:25" ht="14.25" customHeight="1" x14ac:dyDescent="0.3">
      <c r="V702" s="7"/>
      <c r="W702" s="7"/>
      <c r="X702" s="7"/>
      <c r="Y702" s="7"/>
    </row>
    <row r="703" spans="22:25" ht="14.25" customHeight="1" x14ac:dyDescent="0.3">
      <c r="V703" s="7"/>
      <c r="W703" s="7"/>
      <c r="X703" s="7"/>
      <c r="Y703" s="7"/>
    </row>
    <row r="704" spans="22:25" ht="14.25" customHeight="1" x14ac:dyDescent="0.3">
      <c r="V704" s="7"/>
      <c r="W704" s="7"/>
      <c r="X704" s="7"/>
      <c r="Y704" s="7"/>
    </row>
    <row r="705" spans="22:25" ht="14.25" customHeight="1" x14ac:dyDescent="0.3">
      <c r="V705" s="7"/>
      <c r="W705" s="7"/>
      <c r="X705" s="7"/>
      <c r="Y705" s="7"/>
    </row>
    <row r="706" spans="22:25" ht="14.25" customHeight="1" x14ac:dyDescent="0.3">
      <c r="V706" s="7"/>
      <c r="W706" s="7"/>
      <c r="X706" s="7"/>
      <c r="Y706" s="7"/>
    </row>
    <row r="707" spans="22:25" ht="14.25" customHeight="1" x14ac:dyDescent="0.3">
      <c r="V707" s="7"/>
      <c r="W707" s="7"/>
      <c r="X707" s="7"/>
      <c r="Y707" s="7"/>
    </row>
    <row r="708" spans="22:25" ht="14.25" customHeight="1" x14ac:dyDescent="0.3">
      <c r="V708" s="7"/>
      <c r="W708" s="7"/>
      <c r="X708" s="7"/>
      <c r="Y708" s="7"/>
    </row>
    <row r="709" spans="22:25" ht="14.25" customHeight="1" x14ac:dyDescent="0.3">
      <c r="V709" s="7"/>
      <c r="W709" s="7"/>
      <c r="X709" s="7"/>
      <c r="Y709" s="7"/>
    </row>
    <row r="710" spans="22:25" ht="14.25" customHeight="1" x14ac:dyDescent="0.3">
      <c r="V710" s="7"/>
      <c r="W710" s="7"/>
      <c r="X710" s="7"/>
      <c r="Y710" s="7"/>
    </row>
    <row r="711" spans="22:25" ht="14.25" customHeight="1" x14ac:dyDescent="0.3">
      <c r="V711" s="7"/>
      <c r="W711" s="7"/>
      <c r="X711" s="7"/>
      <c r="Y711" s="7"/>
    </row>
    <row r="712" spans="22:25" ht="14.25" customHeight="1" x14ac:dyDescent="0.3">
      <c r="V712" s="7"/>
      <c r="W712" s="7"/>
      <c r="X712" s="7"/>
      <c r="Y712" s="7"/>
    </row>
    <row r="713" spans="22:25" ht="14.25" customHeight="1" x14ac:dyDescent="0.3">
      <c r="V713" s="7"/>
      <c r="W713" s="7"/>
      <c r="X713" s="7"/>
      <c r="Y713" s="7"/>
    </row>
    <row r="714" spans="22:25" ht="14.25" customHeight="1" x14ac:dyDescent="0.3">
      <c r="V714" s="7"/>
      <c r="W714" s="7"/>
      <c r="X714" s="7"/>
      <c r="Y714" s="7"/>
    </row>
    <row r="715" spans="22:25" ht="14.25" customHeight="1" x14ac:dyDescent="0.3">
      <c r="V715" s="7"/>
      <c r="W715" s="7"/>
      <c r="X715" s="7"/>
      <c r="Y715" s="7"/>
    </row>
    <row r="716" spans="22:25" ht="14.25" customHeight="1" x14ac:dyDescent="0.3">
      <c r="V716" s="7"/>
      <c r="W716" s="7"/>
      <c r="X716" s="7"/>
      <c r="Y716" s="7"/>
    </row>
    <row r="717" spans="22:25" ht="14.25" customHeight="1" x14ac:dyDescent="0.3">
      <c r="V717" s="7"/>
      <c r="W717" s="7"/>
      <c r="X717" s="7"/>
      <c r="Y717" s="7"/>
    </row>
    <row r="718" spans="22:25" ht="14.25" customHeight="1" x14ac:dyDescent="0.3">
      <c r="V718" s="7"/>
      <c r="W718" s="7"/>
      <c r="X718" s="7"/>
      <c r="Y718" s="7"/>
    </row>
    <row r="719" spans="22:25" ht="14.25" customHeight="1" x14ac:dyDescent="0.3">
      <c r="V719" s="7"/>
      <c r="W719" s="7"/>
      <c r="X719" s="7"/>
      <c r="Y719" s="7"/>
    </row>
    <row r="720" spans="22:25" ht="14.25" customHeight="1" x14ac:dyDescent="0.3">
      <c r="V720" s="7"/>
      <c r="W720" s="7"/>
      <c r="X720" s="7"/>
      <c r="Y720" s="7"/>
    </row>
    <row r="721" spans="22:25" ht="14.25" customHeight="1" x14ac:dyDescent="0.3">
      <c r="V721" s="7"/>
      <c r="W721" s="7"/>
      <c r="X721" s="7"/>
      <c r="Y721" s="7"/>
    </row>
    <row r="722" spans="22:25" ht="14.25" customHeight="1" x14ac:dyDescent="0.3">
      <c r="V722" s="7"/>
      <c r="W722" s="7"/>
      <c r="X722" s="7"/>
      <c r="Y722" s="7"/>
    </row>
    <row r="723" spans="22:25" ht="14.25" customHeight="1" x14ac:dyDescent="0.3">
      <c r="V723" s="7"/>
      <c r="W723" s="7"/>
      <c r="X723" s="7"/>
      <c r="Y723" s="7"/>
    </row>
    <row r="724" spans="22:25" ht="14.25" customHeight="1" x14ac:dyDescent="0.3">
      <c r="V724" s="7"/>
      <c r="W724" s="7"/>
      <c r="X724" s="7"/>
      <c r="Y724" s="7"/>
    </row>
    <row r="725" spans="22:25" ht="14.25" customHeight="1" x14ac:dyDescent="0.3">
      <c r="V725" s="7"/>
      <c r="W725" s="7"/>
      <c r="X725" s="7"/>
      <c r="Y725" s="7"/>
    </row>
    <row r="726" spans="22:25" ht="14.25" customHeight="1" x14ac:dyDescent="0.3">
      <c r="V726" s="7"/>
      <c r="W726" s="7"/>
      <c r="X726" s="7"/>
      <c r="Y726" s="7"/>
    </row>
    <row r="727" spans="22:25" ht="14.25" customHeight="1" x14ac:dyDescent="0.3">
      <c r="V727" s="7"/>
      <c r="W727" s="7"/>
      <c r="X727" s="7"/>
      <c r="Y727" s="7"/>
    </row>
    <row r="728" spans="22:25" ht="14.25" customHeight="1" x14ac:dyDescent="0.3">
      <c r="V728" s="7"/>
      <c r="W728" s="7"/>
      <c r="X728" s="7"/>
      <c r="Y728" s="7"/>
    </row>
    <row r="729" spans="22:25" ht="14.25" customHeight="1" x14ac:dyDescent="0.3">
      <c r="V729" s="7"/>
      <c r="W729" s="7"/>
      <c r="X729" s="7"/>
      <c r="Y729" s="7"/>
    </row>
    <row r="730" spans="22:25" ht="14.25" customHeight="1" x14ac:dyDescent="0.3">
      <c r="V730" s="7"/>
      <c r="W730" s="7"/>
      <c r="X730" s="7"/>
      <c r="Y730" s="7"/>
    </row>
    <row r="731" spans="22:25" ht="14.25" customHeight="1" x14ac:dyDescent="0.3">
      <c r="V731" s="7"/>
      <c r="W731" s="7"/>
      <c r="X731" s="7"/>
      <c r="Y731" s="7"/>
    </row>
    <row r="732" spans="22:25" ht="14.25" customHeight="1" x14ac:dyDescent="0.3">
      <c r="V732" s="7"/>
      <c r="W732" s="7"/>
      <c r="X732" s="7"/>
      <c r="Y732" s="7"/>
    </row>
    <row r="733" spans="22:25" ht="14.25" customHeight="1" x14ac:dyDescent="0.3">
      <c r="V733" s="7"/>
      <c r="W733" s="7"/>
      <c r="X733" s="7"/>
      <c r="Y733" s="7"/>
    </row>
    <row r="734" spans="22:25" ht="14.25" customHeight="1" x14ac:dyDescent="0.3">
      <c r="V734" s="7"/>
      <c r="W734" s="7"/>
      <c r="X734" s="7"/>
      <c r="Y734" s="7"/>
    </row>
    <row r="735" spans="22:25" ht="14.25" customHeight="1" x14ac:dyDescent="0.3">
      <c r="V735" s="7"/>
      <c r="W735" s="7"/>
      <c r="X735" s="7"/>
      <c r="Y735" s="7"/>
    </row>
    <row r="736" spans="22:25" ht="14.25" customHeight="1" x14ac:dyDescent="0.3">
      <c r="V736" s="7"/>
      <c r="W736" s="7"/>
      <c r="X736" s="7"/>
      <c r="Y736" s="7"/>
    </row>
    <row r="737" spans="22:25" ht="14.25" customHeight="1" x14ac:dyDescent="0.3">
      <c r="V737" s="7"/>
      <c r="W737" s="7"/>
      <c r="X737" s="7"/>
      <c r="Y737" s="7"/>
    </row>
    <row r="738" spans="22:25" ht="14.25" customHeight="1" x14ac:dyDescent="0.3">
      <c r="V738" s="7"/>
      <c r="W738" s="7"/>
      <c r="X738" s="7"/>
      <c r="Y738" s="7"/>
    </row>
    <row r="739" spans="22:25" ht="14.25" customHeight="1" x14ac:dyDescent="0.3">
      <c r="V739" s="7"/>
      <c r="W739" s="7"/>
      <c r="X739" s="7"/>
      <c r="Y739" s="7"/>
    </row>
    <row r="740" spans="22:25" ht="14.25" customHeight="1" x14ac:dyDescent="0.3">
      <c r="V740" s="7"/>
      <c r="W740" s="7"/>
      <c r="X740" s="7"/>
      <c r="Y740" s="7"/>
    </row>
    <row r="741" spans="22:25" ht="14.25" customHeight="1" x14ac:dyDescent="0.3">
      <c r="V741" s="7"/>
      <c r="W741" s="7"/>
      <c r="X741" s="7"/>
      <c r="Y741" s="7"/>
    </row>
    <row r="742" spans="22:25" ht="14.25" customHeight="1" x14ac:dyDescent="0.3">
      <c r="V742" s="7"/>
      <c r="W742" s="7"/>
      <c r="X742" s="7"/>
      <c r="Y742" s="7"/>
    </row>
    <row r="743" spans="22:25" ht="14.25" customHeight="1" x14ac:dyDescent="0.3">
      <c r="V743" s="7"/>
      <c r="W743" s="7"/>
      <c r="X743" s="7"/>
      <c r="Y743" s="7"/>
    </row>
    <row r="744" spans="22:25" ht="14.25" customHeight="1" x14ac:dyDescent="0.3">
      <c r="V744" s="7"/>
      <c r="W744" s="7"/>
      <c r="X744" s="7"/>
      <c r="Y744" s="7"/>
    </row>
    <row r="745" spans="22:25" ht="14.25" customHeight="1" x14ac:dyDescent="0.3">
      <c r="V745" s="7"/>
      <c r="W745" s="7"/>
      <c r="X745" s="7"/>
      <c r="Y745" s="7"/>
    </row>
    <row r="746" spans="22:25" ht="14.25" customHeight="1" x14ac:dyDescent="0.3">
      <c r="V746" s="7"/>
      <c r="W746" s="7"/>
      <c r="X746" s="7"/>
      <c r="Y746" s="7"/>
    </row>
    <row r="747" spans="22:25" ht="14.25" customHeight="1" x14ac:dyDescent="0.3">
      <c r="V747" s="7"/>
      <c r="W747" s="7"/>
      <c r="X747" s="7"/>
      <c r="Y747" s="7"/>
    </row>
    <row r="748" spans="22:25" ht="14.25" customHeight="1" x14ac:dyDescent="0.3">
      <c r="V748" s="7"/>
      <c r="W748" s="7"/>
      <c r="X748" s="7"/>
      <c r="Y748" s="7"/>
    </row>
    <row r="749" spans="22:25" ht="14.25" customHeight="1" x14ac:dyDescent="0.3">
      <c r="V749" s="7"/>
      <c r="W749" s="7"/>
      <c r="X749" s="7"/>
      <c r="Y749" s="7"/>
    </row>
    <row r="750" spans="22:25" ht="14.25" customHeight="1" x14ac:dyDescent="0.3">
      <c r="V750" s="7"/>
      <c r="W750" s="7"/>
      <c r="X750" s="7"/>
      <c r="Y750" s="7"/>
    </row>
    <row r="751" spans="22:25" ht="14.25" customHeight="1" x14ac:dyDescent="0.3">
      <c r="V751" s="7"/>
      <c r="W751" s="7"/>
      <c r="X751" s="7"/>
      <c r="Y751" s="7"/>
    </row>
    <row r="752" spans="22:25" ht="14.25" customHeight="1" x14ac:dyDescent="0.3">
      <c r="V752" s="7"/>
      <c r="W752" s="7"/>
      <c r="X752" s="7"/>
      <c r="Y752" s="7"/>
    </row>
    <row r="753" spans="22:25" ht="14.25" customHeight="1" x14ac:dyDescent="0.3">
      <c r="V753" s="7"/>
      <c r="W753" s="7"/>
      <c r="X753" s="7"/>
      <c r="Y753" s="7"/>
    </row>
    <row r="754" spans="22:25" ht="14.25" customHeight="1" x14ac:dyDescent="0.3">
      <c r="V754" s="7"/>
      <c r="W754" s="7"/>
      <c r="X754" s="7"/>
      <c r="Y754" s="7"/>
    </row>
    <row r="755" spans="22:25" ht="14.25" customHeight="1" x14ac:dyDescent="0.3">
      <c r="V755" s="7"/>
      <c r="W755" s="7"/>
      <c r="X755" s="7"/>
      <c r="Y755" s="7"/>
    </row>
    <row r="756" spans="22:25" ht="14.25" customHeight="1" x14ac:dyDescent="0.3">
      <c r="V756" s="7"/>
      <c r="W756" s="7"/>
      <c r="X756" s="7"/>
      <c r="Y756" s="7"/>
    </row>
    <row r="757" spans="22:25" ht="14.25" customHeight="1" x14ac:dyDescent="0.3">
      <c r="V757" s="7"/>
      <c r="W757" s="7"/>
      <c r="X757" s="7"/>
      <c r="Y757" s="7"/>
    </row>
    <row r="758" spans="22:25" ht="14.25" customHeight="1" x14ac:dyDescent="0.3">
      <c r="V758" s="7"/>
      <c r="W758" s="7"/>
      <c r="X758" s="7"/>
      <c r="Y758" s="7"/>
    </row>
    <row r="759" spans="22:25" ht="14.25" customHeight="1" x14ac:dyDescent="0.3">
      <c r="V759" s="7"/>
      <c r="W759" s="7"/>
      <c r="X759" s="7"/>
      <c r="Y759" s="7"/>
    </row>
    <row r="760" spans="22:25" ht="14.25" customHeight="1" x14ac:dyDescent="0.3">
      <c r="V760" s="7"/>
      <c r="W760" s="7"/>
      <c r="X760" s="7"/>
      <c r="Y760" s="7"/>
    </row>
    <row r="761" spans="22:25" ht="14.25" customHeight="1" x14ac:dyDescent="0.3">
      <c r="V761" s="7"/>
      <c r="W761" s="7"/>
      <c r="X761" s="7"/>
      <c r="Y761" s="7"/>
    </row>
    <row r="762" spans="22:25" ht="14.25" customHeight="1" x14ac:dyDescent="0.3">
      <c r="V762" s="7"/>
      <c r="W762" s="7"/>
      <c r="X762" s="7"/>
      <c r="Y762" s="7"/>
    </row>
    <row r="763" spans="22:25" ht="14.25" customHeight="1" x14ac:dyDescent="0.3">
      <c r="V763" s="7"/>
      <c r="W763" s="7"/>
      <c r="X763" s="7"/>
      <c r="Y763" s="7"/>
    </row>
    <row r="764" spans="22:25" ht="14.25" customHeight="1" x14ac:dyDescent="0.3">
      <c r="V764" s="7"/>
      <c r="W764" s="7"/>
      <c r="X764" s="7"/>
      <c r="Y764" s="7"/>
    </row>
    <row r="765" spans="22:25" ht="14.25" customHeight="1" x14ac:dyDescent="0.3">
      <c r="V765" s="7"/>
      <c r="W765" s="7"/>
      <c r="X765" s="7"/>
      <c r="Y765" s="7"/>
    </row>
    <row r="766" spans="22:25" ht="14.25" customHeight="1" x14ac:dyDescent="0.3">
      <c r="V766" s="7"/>
      <c r="W766" s="7"/>
      <c r="X766" s="7"/>
      <c r="Y766" s="7"/>
    </row>
    <row r="767" spans="22:25" ht="14.25" customHeight="1" x14ac:dyDescent="0.3">
      <c r="V767" s="7"/>
      <c r="W767" s="7"/>
      <c r="X767" s="7"/>
      <c r="Y767" s="7"/>
    </row>
    <row r="768" spans="22:25" ht="14.25" customHeight="1" x14ac:dyDescent="0.3">
      <c r="V768" s="7"/>
      <c r="W768" s="7"/>
      <c r="X768" s="7"/>
      <c r="Y768" s="7"/>
    </row>
    <row r="769" spans="22:25" ht="14.25" customHeight="1" x14ac:dyDescent="0.3">
      <c r="V769" s="7"/>
      <c r="W769" s="7"/>
      <c r="X769" s="7"/>
      <c r="Y769" s="7"/>
    </row>
    <row r="770" spans="22:25" ht="14.25" customHeight="1" x14ac:dyDescent="0.3">
      <c r="V770" s="7"/>
      <c r="W770" s="7"/>
      <c r="X770" s="7"/>
      <c r="Y770" s="7"/>
    </row>
    <row r="771" spans="22:25" ht="14.25" customHeight="1" x14ac:dyDescent="0.3">
      <c r="V771" s="7"/>
      <c r="W771" s="7"/>
      <c r="X771" s="7"/>
      <c r="Y771" s="7"/>
    </row>
    <row r="772" spans="22:25" ht="14.25" customHeight="1" x14ac:dyDescent="0.3">
      <c r="V772" s="7"/>
      <c r="W772" s="7"/>
      <c r="X772" s="7"/>
      <c r="Y772" s="7"/>
    </row>
    <row r="773" spans="22:25" ht="14.25" customHeight="1" x14ac:dyDescent="0.3">
      <c r="V773" s="7"/>
      <c r="W773" s="7"/>
      <c r="X773" s="7"/>
      <c r="Y773" s="7"/>
    </row>
    <row r="774" spans="22:25" ht="14.25" customHeight="1" x14ac:dyDescent="0.3">
      <c r="V774" s="7"/>
      <c r="W774" s="7"/>
      <c r="X774" s="7"/>
      <c r="Y774" s="7"/>
    </row>
    <row r="775" spans="22:25" ht="14.25" customHeight="1" x14ac:dyDescent="0.3">
      <c r="V775" s="7"/>
      <c r="W775" s="7"/>
      <c r="X775" s="7"/>
      <c r="Y775" s="7"/>
    </row>
    <row r="776" spans="22:25" ht="14.25" customHeight="1" x14ac:dyDescent="0.3">
      <c r="V776" s="7"/>
      <c r="W776" s="7"/>
      <c r="X776" s="7"/>
      <c r="Y776" s="7"/>
    </row>
    <row r="777" spans="22:25" ht="14.25" customHeight="1" x14ac:dyDescent="0.3">
      <c r="V777" s="7"/>
      <c r="W777" s="7"/>
      <c r="X777" s="7"/>
      <c r="Y777" s="7"/>
    </row>
    <row r="778" spans="22:25" ht="14.25" customHeight="1" x14ac:dyDescent="0.3">
      <c r="V778" s="7"/>
      <c r="W778" s="7"/>
      <c r="X778" s="7"/>
      <c r="Y778" s="7"/>
    </row>
    <row r="779" spans="22:25" ht="14.25" customHeight="1" x14ac:dyDescent="0.3">
      <c r="V779" s="7"/>
      <c r="W779" s="7"/>
      <c r="X779" s="7"/>
      <c r="Y779" s="7"/>
    </row>
    <row r="780" spans="22:25" ht="14.25" customHeight="1" x14ac:dyDescent="0.3">
      <c r="V780" s="7"/>
      <c r="W780" s="7"/>
      <c r="X780" s="7"/>
      <c r="Y780" s="7"/>
    </row>
    <row r="781" spans="22:25" ht="14.25" customHeight="1" x14ac:dyDescent="0.3">
      <c r="V781" s="7"/>
      <c r="W781" s="7"/>
      <c r="X781" s="7"/>
      <c r="Y781" s="7"/>
    </row>
    <row r="782" spans="22:25" ht="14.25" customHeight="1" x14ac:dyDescent="0.3">
      <c r="V782" s="7"/>
      <c r="W782" s="7"/>
      <c r="X782" s="7"/>
      <c r="Y782" s="7"/>
    </row>
    <row r="783" spans="22:25" ht="14.25" customHeight="1" x14ac:dyDescent="0.3">
      <c r="V783" s="7"/>
      <c r="W783" s="7"/>
      <c r="X783" s="7"/>
      <c r="Y783" s="7"/>
    </row>
    <row r="784" spans="22:25" ht="14.25" customHeight="1" x14ac:dyDescent="0.3">
      <c r="V784" s="7"/>
      <c r="W784" s="7"/>
      <c r="X784" s="7"/>
      <c r="Y784" s="7"/>
    </row>
    <row r="785" spans="22:25" ht="14.25" customHeight="1" x14ac:dyDescent="0.3">
      <c r="V785" s="7"/>
      <c r="W785" s="7"/>
      <c r="X785" s="7"/>
      <c r="Y785" s="7"/>
    </row>
    <row r="786" spans="22:25" ht="14.25" customHeight="1" x14ac:dyDescent="0.3">
      <c r="V786" s="7"/>
      <c r="W786" s="7"/>
      <c r="X786" s="7"/>
      <c r="Y786" s="7"/>
    </row>
    <row r="787" spans="22:25" ht="14.25" customHeight="1" x14ac:dyDescent="0.3">
      <c r="V787" s="7"/>
      <c r="W787" s="7"/>
      <c r="X787" s="7"/>
      <c r="Y787" s="7"/>
    </row>
    <row r="788" spans="22:25" ht="14.25" customHeight="1" x14ac:dyDescent="0.3">
      <c r="V788" s="7"/>
      <c r="W788" s="7"/>
      <c r="X788" s="7"/>
      <c r="Y788" s="7"/>
    </row>
    <row r="789" spans="22:25" ht="14.25" customHeight="1" x14ac:dyDescent="0.3">
      <c r="V789" s="7"/>
      <c r="W789" s="7"/>
      <c r="X789" s="7"/>
      <c r="Y789" s="7"/>
    </row>
    <row r="790" spans="22:25" ht="14.25" customHeight="1" x14ac:dyDescent="0.3">
      <c r="V790" s="7"/>
      <c r="W790" s="7"/>
      <c r="X790" s="7"/>
      <c r="Y790" s="7"/>
    </row>
    <row r="791" spans="22:25" ht="14.25" customHeight="1" x14ac:dyDescent="0.3">
      <c r="V791" s="7"/>
      <c r="W791" s="7"/>
      <c r="X791" s="7"/>
      <c r="Y791" s="7"/>
    </row>
    <row r="792" spans="22:25" ht="14.25" customHeight="1" x14ac:dyDescent="0.3">
      <c r="V792" s="7"/>
      <c r="W792" s="7"/>
      <c r="X792" s="7"/>
      <c r="Y792" s="7"/>
    </row>
    <row r="793" spans="22:25" ht="14.25" customHeight="1" x14ac:dyDescent="0.3">
      <c r="V793" s="7"/>
      <c r="W793" s="7"/>
      <c r="X793" s="7"/>
      <c r="Y793" s="7"/>
    </row>
    <row r="794" spans="22:25" ht="14.25" customHeight="1" x14ac:dyDescent="0.3">
      <c r="V794" s="7"/>
      <c r="W794" s="7"/>
      <c r="X794" s="7"/>
      <c r="Y794" s="7"/>
    </row>
    <row r="795" spans="22:25" ht="14.25" customHeight="1" x14ac:dyDescent="0.3">
      <c r="V795" s="7"/>
      <c r="W795" s="7"/>
      <c r="X795" s="7"/>
      <c r="Y795" s="7"/>
    </row>
    <row r="796" spans="22:25" ht="14.25" customHeight="1" x14ac:dyDescent="0.3">
      <c r="V796" s="7"/>
      <c r="W796" s="7"/>
      <c r="X796" s="7"/>
      <c r="Y796" s="7"/>
    </row>
    <row r="797" spans="22:25" ht="14.25" customHeight="1" x14ac:dyDescent="0.3">
      <c r="V797" s="7"/>
      <c r="W797" s="7"/>
      <c r="X797" s="7"/>
      <c r="Y797" s="7"/>
    </row>
    <row r="798" spans="22:25" ht="14.25" customHeight="1" x14ac:dyDescent="0.3">
      <c r="V798" s="7"/>
      <c r="W798" s="7"/>
      <c r="X798" s="7"/>
      <c r="Y798" s="7"/>
    </row>
    <row r="799" spans="22:25" ht="14.25" customHeight="1" x14ac:dyDescent="0.3">
      <c r="V799" s="7"/>
      <c r="W799" s="7"/>
      <c r="X799" s="7"/>
      <c r="Y799" s="7"/>
    </row>
    <row r="800" spans="22:25" ht="14.25" customHeight="1" x14ac:dyDescent="0.3">
      <c r="V800" s="7"/>
      <c r="W800" s="7"/>
      <c r="X800" s="7"/>
      <c r="Y800" s="7"/>
    </row>
    <row r="801" spans="22:25" ht="14.25" customHeight="1" x14ac:dyDescent="0.3">
      <c r="V801" s="7"/>
      <c r="W801" s="7"/>
      <c r="X801" s="7"/>
      <c r="Y801" s="7"/>
    </row>
    <row r="802" spans="22:25" ht="14.25" customHeight="1" x14ac:dyDescent="0.3">
      <c r="V802" s="7"/>
      <c r="W802" s="7"/>
      <c r="X802" s="7"/>
      <c r="Y802" s="7"/>
    </row>
    <row r="803" spans="22:25" ht="14.25" customHeight="1" x14ac:dyDescent="0.3">
      <c r="V803" s="7"/>
      <c r="W803" s="7"/>
      <c r="X803" s="7"/>
      <c r="Y803" s="7"/>
    </row>
    <row r="804" spans="22:25" ht="14.25" customHeight="1" x14ac:dyDescent="0.3">
      <c r="V804" s="7"/>
      <c r="W804" s="7"/>
      <c r="X804" s="7"/>
      <c r="Y804" s="7"/>
    </row>
    <row r="805" spans="22:25" ht="14.25" customHeight="1" x14ac:dyDescent="0.3">
      <c r="V805" s="7"/>
      <c r="W805" s="7"/>
      <c r="X805" s="7"/>
      <c r="Y805" s="7"/>
    </row>
    <row r="806" spans="22:25" ht="14.25" customHeight="1" x14ac:dyDescent="0.3">
      <c r="V806" s="7"/>
      <c r="W806" s="7"/>
      <c r="X806" s="7"/>
      <c r="Y806" s="7"/>
    </row>
    <row r="807" spans="22:25" ht="14.25" customHeight="1" x14ac:dyDescent="0.3">
      <c r="V807" s="7"/>
      <c r="W807" s="7"/>
      <c r="X807" s="7"/>
      <c r="Y807" s="7"/>
    </row>
    <row r="808" spans="22:25" ht="14.25" customHeight="1" x14ac:dyDescent="0.3">
      <c r="V808" s="7"/>
      <c r="W808" s="7"/>
      <c r="X808" s="7"/>
      <c r="Y808" s="7"/>
    </row>
    <row r="809" spans="22:25" ht="14.25" customHeight="1" x14ac:dyDescent="0.3">
      <c r="V809" s="7"/>
      <c r="W809" s="7"/>
      <c r="X809" s="7"/>
      <c r="Y809" s="7"/>
    </row>
    <row r="810" spans="22:25" ht="14.25" customHeight="1" x14ac:dyDescent="0.3">
      <c r="V810" s="7"/>
      <c r="W810" s="7"/>
      <c r="X810" s="7"/>
      <c r="Y810" s="7"/>
    </row>
    <row r="811" spans="22:25" ht="14.25" customHeight="1" x14ac:dyDescent="0.3">
      <c r="V811" s="7"/>
      <c r="W811" s="7"/>
      <c r="X811" s="7"/>
      <c r="Y811" s="7"/>
    </row>
    <row r="812" spans="22:25" ht="14.25" customHeight="1" x14ac:dyDescent="0.3">
      <c r="V812" s="7"/>
      <c r="W812" s="7"/>
      <c r="X812" s="7"/>
      <c r="Y812" s="7"/>
    </row>
    <row r="813" spans="22:25" ht="14.25" customHeight="1" x14ac:dyDescent="0.3">
      <c r="V813" s="7"/>
      <c r="W813" s="7"/>
      <c r="X813" s="7"/>
      <c r="Y813" s="7"/>
    </row>
    <row r="814" spans="22:25" ht="14.25" customHeight="1" x14ac:dyDescent="0.3">
      <c r="V814" s="7"/>
      <c r="W814" s="7"/>
      <c r="X814" s="7"/>
      <c r="Y814" s="7"/>
    </row>
    <row r="815" spans="22:25" ht="14.25" customHeight="1" x14ac:dyDescent="0.3">
      <c r="V815" s="7"/>
      <c r="W815" s="7"/>
      <c r="X815" s="7"/>
      <c r="Y815" s="7"/>
    </row>
    <row r="816" spans="22:25" ht="14.25" customHeight="1" x14ac:dyDescent="0.3">
      <c r="V816" s="7"/>
      <c r="W816" s="7"/>
      <c r="X816" s="7"/>
      <c r="Y816" s="7"/>
    </row>
    <row r="817" spans="22:25" ht="14.25" customHeight="1" x14ac:dyDescent="0.3">
      <c r="V817" s="7"/>
      <c r="W817" s="7"/>
      <c r="X817" s="7"/>
      <c r="Y817" s="7"/>
    </row>
    <row r="818" spans="22:25" ht="14.25" customHeight="1" x14ac:dyDescent="0.3">
      <c r="V818" s="7"/>
      <c r="W818" s="7"/>
      <c r="X818" s="7"/>
      <c r="Y818" s="7"/>
    </row>
    <row r="819" spans="22:25" ht="14.25" customHeight="1" x14ac:dyDescent="0.3">
      <c r="V819" s="7"/>
      <c r="W819" s="7"/>
      <c r="X819" s="7"/>
      <c r="Y819" s="7"/>
    </row>
    <row r="820" spans="22:25" ht="14.25" customHeight="1" x14ac:dyDescent="0.3">
      <c r="V820" s="7"/>
      <c r="W820" s="7"/>
      <c r="X820" s="7"/>
      <c r="Y820" s="7"/>
    </row>
    <row r="821" spans="22:25" ht="14.25" customHeight="1" x14ac:dyDescent="0.3">
      <c r="V821" s="7"/>
      <c r="W821" s="7"/>
      <c r="X821" s="7"/>
      <c r="Y821" s="7"/>
    </row>
    <row r="822" spans="22:25" ht="14.25" customHeight="1" x14ac:dyDescent="0.3">
      <c r="V822" s="7"/>
      <c r="W822" s="7"/>
      <c r="X822" s="7"/>
      <c r="Y822" s="7"/>
    </row>
    <row r="823" spans="22:25" ht="14.25" customHeight="1" x14ac:dyDescent="0.3">
      <c r="V823" s="7"/>
      <c r="W823" s="7"/>
      <c r="X823" s="7"/>
      <c r="Y823" s="7"/>
    </row>
    <row r="824" spans="22:25" ht="14.25" customHeight="1" x14ac:dyDescent="0.3">
      <c r="V824" s="7"/>
      <c r="W824" s="7"/>
      <c r="X824" s="7"/>
      <c r="Y824" s="7"/>
    </row>
    <row r="825" spans="22:25" ht="14.25" customHeight="1" x14ac:dyDescent="0.3">
      <c r="V825" s="7"/>
      <c r="W825" s="7"/>
      <c r="X825" s="7"/>
      <c r="Y825" s="7"/>
    </row>
    <row r="826" spans="22:25" ht="14.25" customHeight="1" x14ac:dyDescent="0.3">
      <c r="V826" s="7"/>
      <c r="W826" s="7"/>
      <c r="X826" s="7"/>
      <c r="Y826" s="7"/>
    </row>
    <row r="827" spans="22:25" ht="14.25" customHeight="1" x14ac:dyDescent="0.3">
      <c r="V827" s="7"/>
      <c r="W827" s="7"/>
      <c r="X827" s="7"/>
      <c r="Y827" s="7"/>
    </row>
    <row r="828" spans="22:25" ht="14.25" customHeight="1" x14ac:dyDescent="0.3">
      <c r="V828" s="7"/>
      <c r="W828" s="7"/>
      <c r="X828" s="7"/>
      <c r="Y828" s="7"/>
    </row>
    <row r="829" spans="22:25" ht="14.25" customHeight="1" x14ac:dyDescent="0.3">
      <c r="V829" s="7"/>
      <c r="W829" s="7"/>
      <c r="X829" s="7"/>
      <c r="Y829" s="7"/>
    </row>
    <row r="830" spans="22:25" ht="14.25" customHeight="1" x14ac:dyDescent="0.3">
      <c r="V830" s="7"/>
      <c r="W830" s="7"/>
      <c r="X830" s="7"/>
      <c r="Y830" s="7"/>
    </row>
    <row r="831" spans="22:25" ht="14.25" customHeight="1" x14ac:dyDescent="0.3">
      <c r="V831" s="7"/>
      <c r="W831" s="7"/>
      <c r="X831" s="7"/>
      <c r="Y831" s="7"/>
    </row>
    <row r="832" spans="22:25" ht="14.25" customHeight="1" x14ac:dyDescent="0.3">
      <c r="V832" s="7"/>
      <c r="W832" s="7"/>
      <c r="X832" s="7"/>
      <c r="Y832" s="7"/>
    </row>
    <row r="833" spans="22:25" ht="14.25" customHeight="1" x14ac:dyDescent="0.3">
      <c r="V833" s="7"/>
      <c r="W833" s="7"/>
      <c r="X833" s="7"/>
      <c r="Y833" s="7"/>
    </row>
    <row r="834" spans="22:25" ht="14.25" customHeight="1" x14ac:dyDescent="0.3">
      <c r="V834" s="7"/>
      <c r="W834" s="7"/>
      <c r="X834" s="7"/>
      <c r="Y834" s="7"/>
    </row>
    <row r="835" spans="22:25" ht="14.25" customHeight="1" x14ac:dyDescent="0.3">
      <c r="V835" s="7"/>
      <c r="W835" s="7"/>
      <c r="X835" s="7"/>
      <c r="Y835" s="7"/>
    </row>
    <row r="836" spans="22:25" ht="14.25" customHeight="1" x14ac:dyDescent="0.3">
      <c r="V836" s="7"/>
      <c r="W836" s="7"/>
      <c r="X836" s="7"/>
      <c r="Y836" s="7"/>
    </row>
    <row r="837" spans="22:25" ht="14.25" customHeight="1" x14ac:dyDescent="0.3">
      <c r="V837" s="7"/>
      <c r="W837" s="7"/>
      <c r="X837" s="7"/>
      <c r="Y837" s="7"/>
    </row>
    <row r="838" spans="22:25" ht="14.25" customHeight="1" x14ac:dyDescent="0.3">
      <c r="V838" s="7"/>
      <c r="W838" s="7"/>
      <c r="X838" s="7"/>
      <c r="Y838" s="7"/>
    </row>
    <row r="839" spans="22:25" ht="14.25" customHeight="1" x14ac:dyDescent="0.3">
      <c r="V839" s="7"/>
      <c r="W839" s="7"/>
      <c r="X839" s="7"/>
      <c r="Y839" s="7"/>
    </row>
    <row r="840" spans="22:25" ht="14.25" customHeight="1" x14ac:dyDescent="0.3">
      <c r="V840" s="7"/>
      <c r="W840" s="7"/>
      <c r="X840" s="7"/>
      <c r="Y840" s="7"/>
    </row>
    <row r="841" spans="22:25" ht="14.25" customHeight="1" x14ac:dyDescent="0.3">
      <c r="V841" s="7"/>
      <c r="W841" s="7"/>
      <c r="X841" s="7"/>
      <c r="Y841" s="7"/>
    </row>
    <row r="842" spans="22:25" ht="14.25" customHeight="1" x14ac:dyDescent="0.3">
      <c r="V842" s="7"/>
      <c r="W842" s="7"/>
      <c r="X842" s="7"/>
      <c r="Y842" s="7"/>
    </row>
    <row r="843" spans="22:25" ht="14.25" customHeight="1" x14ac:dyDescent="0.3">
      <c r="V843" s="7"/>
      <c r="W843" s="7"/>
      <c r="X843" s="7"/>
      <c r="Y843" s="7"/>
    </row>
    <row r="844" spans="22:25" ht="14.25" customHeight="1" x14ac:dyDescent="0.3">
      <c r="V844" s="7"/>
      <c r="W844" s="7"/>
      <c r="X844" s="7"/>
      <c r="Y844" s="7"/>
    </row>
    <row r="845" spans="22:25" ht="14.25" customHeight="1" x14ac:dyDescent="0.3">
      <c r="V845" s="7"/>
      <c r="W845" s="7"/>
      <c r="X845" s="7"/>
      <c r="Y845" s="7"/>
    </row>
    <row r="846" spans="22:25" ht="14.25" customHeight="1" x14ac:dyDescent="0.3">
      <c r="V846" s="7"/>
      <c r="W846" s="7"/>
      <c r="X846" s="7"/>
      <c r="Y846" s="7"/>
    </row>
    <row r="847" spans="22:25" ht="14.25" customHeight="1" x14ac:dyDescent="0.3">
      <c r="V847" s="7"/>
      <c r="W847" s="7"/>
      <c r="X847" s="7"/>
      <c r="Y847" s="7"/>
    </row>
    <row r="848" spans="22:25" ht="14.25" customHeight="1" x14ac:dyDescent="0.3">
      <c r="V848" s="7"/>
      <c r="W848" s="7"/>
      <c r="X848" s="7"/>
      <c r="Y848" s="7"/>
    </row>
    <row r="849" spans="22:25" ht="14.25" customHeight="1" x14ac:dyDescent="0.3">
      <c r="V849" s="7"/>
      <c r="W849" s="7"/>
      <c r="X849" s="7"/>
      <c r="Y849" s="7"/>
    </row>
    <row r="850" spans="22:25" ht="14.25" customHeight="1" x14ac:dyDescent="0.3">
      <c r="V850" s="7"/>
      <c r="W850" s="7"/>
      <c r="X850" s="7"/>
      <c r="Y850" s="7"/>
    </row>
    <row r="851" spans="22:25" ht="14.25" customHeight="1" x14ac:dyDescent="0.3">
      <c r="V851" s="7"/>
      <c r="W851" s="7"/>
      <c r="X851" s="7"/>
      <c r="Y851" s="7"/>
    </row>
    <row r="852" spans="22:25" ht="14.25" customHeight="1" x14ac:dyDescent="0.3">
      <c r="V852" s="7"/>
      <c r="W852" s="7"/>
      <c r="X852" s="7"/>
      <c r="Y852" s="7"/>
    </row>
    <row r="853" spans="22:25" ht="14.25" customHeight="1" x14ac:dyDescent="0.3">
      <c r="V853" s="7"/>
      <c r="W853" s="7"/>
      <c r="X853" s="7"/>
      <c r="Y853" s="7"/>
    </row>
    <row r="854" spans="22:25" ht="14.25" customHeight="1" x14ac:dyDescent="0.3">
      <c r="V854" s="7"/>
      <c r="W854" s="7"/>
      <c r="X854" s="7"/>
      <c r="Y854" s="7"/>
    </row>
    <row r="855" spans="22:25" ht="14.25" customHeight="1" x14ac:dyDescent="0.3">
      <c r="V855" s="7"/>
      <c r="W855" s="7"/>
      <c r="X855" s="7"/>
      <c r="Y855" s="7"/>
    </row>
    <row r="856" spans="22:25" ht="14.25" customHeight="1" x14ac:dyDescent="0.3">
      <c r="V856" s="7"/>
      <c r="W856" s="7"/>
      <c r="X856" s="7"/>
      <c r="Y856" s="7"/>
    </row>
    <row r="857" spans="22:25" ht="14.25" customHeight="1" x14ac:dyDescent="0.3">
      <c r="V857" s="7"/>
      <c r="W857" s="7"/>
      <c r="X857" s="7"/>
      <c r="Y857" s="7"/>
    </row>
    <row r="858" spans="22:25" ht="14.25" customHeight="1" x14ac:dyDescent="0.3">
      <c r="V858" s="7"/>
      <c r="W858" s="7"/>
      <c r="X858" s="7"/>
      <c r="Y858" s="7"/>
    </row>
    <row r="859" spans="22:25" ht="14.25" customHeight="1" x14ac:dyDescent="0.3">
      <c r="V859" s="7"/>
      <c r="W859" s="7"/>
      <c r="X859" s="7"/>
      <c r="Y859" s="7"/>
    </row>
    <row r="860" spans="22:25" ht="14.25" customHeight="1" x14ac:dyDescent="0.3">
      <c r="V860" s="7"/>
      <c r="W860" s="7"/>
      <c r="X860" s="7"/>
      <c r="Y860" s="7"/>
    </row>
    <row r="861" spans="22:25" ht="14.25" customHeight="1" x14ac:dyDescent="0.3">
      <c r="V861" s="7"/>
      <c r="W861" s="7"/>
      <c r="X861" s="7"/>
      <c r="Y861" s="7"/>
    </row>
    <row r="862" spans="22:25" ht="14.25" customHeight="1" x14ac:dyDescent="0.3">
      <c r="V862" s="7"/>
      <c r="W862" s="7"/>
      <c r="X862" s="7"/>
      <c r="Y862" s="7"/>
    </row>
    <row r="863" spans="22:25" ht="14.25" customHeight="1" x14ac:dyDescent="0.3">
      <c r="V863" s="7"/>
      <c r="W863" s="7"/>
      <c r="X863" s="7"/>
      <c r="Y863" s="7"/>
    </row>
    <row r="864" spans="22:25" ht="14.25" customHeight="1" x14ac:dyDescent="0.3">
      <c r="V864" s="7"/>
      <c r="W864" s="7"/>
      <c r="X864" s="7"/>
      <c r="Y864" s="7"/>
    </row>
    <row r="865" spans="22:25" ht="14.25" customHeight="1" x14ac:dyDescent="0.3">
      <c r="V865" s="7"/>
      <c r="W865" s="7"/>
      <c r="X865" s="7"/>
      <c r="Y865" s="7"/>
    </row>
    <row r="866" spans="22:25" ht="14.25" customHeight="1" x14ac:dyDescent="0.3">
      <c r="V866" s="7"/>
      <c r="W866" s="7"/>
      <c r="X866" s="7"/>
      <c r="Y866" s="7"/>
    </row>
    <row r="867" spans="22:25" ht="14.25" customHeight="1" x14ac:dyDescent="0.3">
      <c r="V867" s="7"/>
      <c r="W867" s="7"/>
      <c r="X867" s="7"/>
      <c r="Y867" s="7"/>
    </row>
    <row r="868" spans="22:25" ht="14.25" customHeight="1" x14ac:dyDescent="0.3">
      <c r="V868" s="7"/>
      <c r="W868" s="7"/>
      <c r="X868" s="7"/>
      <c r="Y868" s="7"/>
    </row>
    <row r="869" spans="22:25" ht="14.25" customHeight="1" x14ac:dyDescent="0.3">
      <c r="V869" s="7"/>
      <c r="W869" s="7"/>
      <c r="X869" s="7"/>
      <c r="Y869" s="7"/>
    </row>
    <row r="870" spans="22:25" ht="14.25" customHeight="1" x14ac:dyDescent="0.3">
      <c r="V870" s="7"/>
      <c r="W870" s="7"/>
      <c r="X870" s="7"/>
      <c r="Y870" s="7"/>
    </row>
    <row r="871" spans="22:25" ht="14.25" customHeight="1" x14ac:dyDescent="0.3">
      <c r="V871" s="7"/>
      <c r="W871" s="7"/>
      <c r="X871" s="7"/>
      <c r="Y871" s="7"/>
    </row>
    <row r="872" spans="22:25" ht="14.25" customHeight="1" x14ac:dyDescent="0.3">
      <c r="V872" s="7"/>
      <c r="W872" s="7"/>
      <c r="X872" s="7"/>
      <c r="Y872" s="7"/>
    </row>
    <row r="873" spans="22:25" ht="14.25" customHeight="1" x14ac:dyDescent="0.3">
      <c r="V873" s="7"/>
      <c r="W873" s="7"/>
      <c r="X873" s="7"/>
      <c r="Y873" s="7"/>
    </row>
    <row r="874" spans="22:25" ht="14.25" customHeight="1" x14ac:dyDescent="0.3">
      <c r="V874" s="7"/>
      <c r="W874" s="7"/>
      <c r="X874" s="7"/>
      <c r="Y874" s="7"/>
    </row>
    <row r="875" spans="22:25" ht="14.25" customHeight="1" x14ac:dyDescent="0.3">
      <c r="V875" s="7"/>
      <c r="W875" s="7"/>
      <c r="X875" s="7"/>
      <c r="Y875" s="7"/>
    </row>
    <row r="876" spans="22:25" ht="14.25" customHeight="1" x14ac:dyDescent="0.3">
      <c r="V876" s="7"/>
      <c r="W876" s="7"/>
      <c r="X876" s="7"/>
      <c r="Y876" s="7"/>
    </row>
    <row r="877" spans="22:25" ht="14.25" customHeight="1" x14ac:dyDescent="0.3">
      <c r="V877" s="7"/>
      <c r="W877" s="7"/>
      <c r="X877" s="7"/>
      <c r="Y877" s="7"/>
    </row>
    <row r="878" spans="22:25" ht="14.25" customHeight="1" x14ac:dyDescent="0.3">
      <c r="V878" s="7"/>
      <c r="W878" s="7"/>
      <c r="X878" s="7"/>
      <c r="Y878" s="7"/>
    </row>
    <row r="879" spans="22:25" ht="14.25" customHeight="1" x14ac:dyDescent="0.3">
      <c r="V879" s="7"/>
      <c r="W879" s="7"/>
      <c r="X879" s="7"/>
      <c r="Y879" s="7"/>
    </row>
    <row r="880" spans="22:25" ht="14.25" customHeight="1" x14ac:dyDescent="0.3">
      <c r="V880" s="7"/>
      <c r="W880" s="7"/>
      <c r="X880" s="7"/>
      <c r="Y880" s="7"/>
    </row>
    <row r="881" spans="22:25" ht="14.25" customHeight="1" x14ac:dyDescent="0.3">
      <c r="V881" s="7"/>
      <c r="W881" s="7"/>
      <c r="X881" s="7"/>
      <c r="Y881" s="7"/>
    </row>
    <row r="882" spans="22:25" ht="14.25" customHeight="1" x14ac:dyDescent="0.3">
      <c r="V882" s="7"/>
      <c r="W882" s="7"/>
      <c r="X882" s="7"/>
      <c r="Y882" s="7"/>
    </row>
    <row r="883" spans="22:25" ht="14.25" customHeight="1" x14ac:dyDescent="0.3">
      <c r="V883" s="7"/>
      <c r="W883" s="7"/>
      <c r="X883" s="7"/>
      <c r="Y883" s="7"/>
    </row>
    <row r="884" spans="22:25" ht="14.25" customHeight="1" x14ac:dyDescent="0.3">
      <c r="V884" s="7"/>
      <c r="W884" s="7"/>
      <c r="X884" s="7"/>
      <c r="Y884" s="7"/>
    </row>
    <row r="885" spans="22:25" ht="14.25" customHeight="1" x14ac:dyDescent="0.3">
      <c r="V885" s="7"/>
      <c r="W885" s="7"/>
      <c r="X885" s="7"/>
      <c r="Y885" s="7"/>
    </row>
    <row r="886" spans="22:25" ht="14.25" customHeight="1" x14ac:dyDescent="0.3">
      <c r="V886" s="7"/>
      <c r="W886" s="7"/>
      <c r="X886" s="7"/>
      <c r="Y886" s="7"/>
    </row>
    <row r="887" spans="22:25" ht="14.25" customHeight="1" x14ac:dyDescent="0.3">
      <c r="V887" s="7"/>
      <c r="W887" s="7"/>
      <c r="X887" s="7"/>
      <c r="Y887" s="7"/>
    </row>
    <row r="888" spans="22:25" ht="14.25" customHeight="1" x14ac:dyDescent="0.3">
      <c r="V888" s="7"/>
      <c r="W888" s="7"/>
      <c r="X888" s="7"/>
      <c r="Y888" s="7"/>
    </row>
    <row r="889" spans="22:25" ht="14.25" customHeight="1" x14ac:dyDescent="0.3">
      <c r="V889" s="7"/>
      <c r="W889" s="7"/>
      <c r="X889" s="7"/>
      <c r="Y889" s="7"/>
    </row>
    <row r="890" spans="22:25" ht="14.25" customHeight="1" x14ac:dyDescent="0.3">
      <c r="V890" s="7"/>
      <c r="W890" s="7"/>
      <c r="X890" s="7"/>
      <c r="Y890" s="7"/>
    </row>
    <row r="891" spans="22:25" ht="14.25" customHeight="1" x14ac:dyDescent="0.3">
      <c r="V891" s="7"/>
      <c r="W891" s="7"/>
      <c r="X891" s="7"/>
      <c r="Y891" s="7"/>
    </row>
    <row r="892" spans="22:25" ht="14.25" customHeight="1" x14ac:dyDescent="0.3">
      <c r="V892" s="7"/>
      <c r="W892" s="7"/>
      <c r="X892" s="7"/>
      <c r="Y892" s="7"/>
    </row>
    <row r="893" spans="22:25" ht="14.25" customHeight="1" x14ac:dyDescent="0.3">
      <c r="V893" s="7"/>
      <c r="W893" s="7"/>
      <c r="X893" s="7"/>
      <c r="Y893" s="7"/>
    </row>
    <row r="894" spans="22:25" ht="14.25" customHeight="1" x14ac:dyDescent="0.3">
      <c r="V894" s="7"/>
      <c r="W894" s="7"/>
      <c r="X894" s="7"/>
      <c r="Y894" s="7"/>
    </row>
    <row r="895" spans="22:25" ht="14.25" customHeight="1" x14ac:dyDescent="0.3">
      <c r="V895" s="7"/>
      <c r="W895" s="7"/>
      <c r="X895" s="7"/>
      <c r="Y895" s="7"/>
    </row>
    <row r="896" spans="22:25" ht="14.25" customHeight="1" x14ac:dyDescent="0.3">
      <c r="V896" s="7"/>
      <c r="W896" s="7"/>
      <c r="X896" s="7"/>
      <c r="Y896" s="7"/>
    </row>
    <row r="897" spans="22:25" ht="14.25" customHeight="1" x14ac:dyDescent="0.3">
      <c r="V897" s="7"/>
      <c r="W897" s="7"/>
      <c r="X897" s="7"/>
      <c r="Y897" s="7"/>
    </row>
    <row r="898" spans="22:25" ht="14.25" customHeight="1" x14ac:dyDescent="0.3">
      <c r="V898" s="7"/>
      <c r="W898" s="7"/>
      <c r="X898" s="7"/>
      <c r="Y898" s="7"/>
    </row>
    <row r="899" spans="22:25" ht="14.25" customHeight="1" x14ac:dyDescent="0.3">
      <c r="V899" s="7"/>
      <c r="W899" s="7"/>
      <c r="X899" s="7"/>
      <c r="Y899" s="7"/>
    </row>
    <row r="900" spans="22:25" ht="14.25" customHeight="1" x14ac:dyDescent="0.3">
      <c r="V900" s="7"/>
      <c r="W900" s="7"/>
      <c r="X900" s="7"/>
      <c r="Y900" s="7"/>
    </row>
    <row r="901" spans="22:25" ht="14.25" customHeight="1" x14ac:dyDescent="0.3">
      <c r="V901" s="7"/>
      <c r="W901" s="7"/>
      <c r="X901" s="7"/>
      <c r="Y901" s="7"/>
    </row>
    <row r="902" spans="22:25" ht="14.25" customHeight="1" x14ac:dyDescent="0.3">
      <c r="V902" s="7"/>
      <c r="W902" s="7"/>
      <c r="X902" s="7"/>
      <c r="Y902" s="7"/>
    </row>
    <row r="903" spans="22:25" ht="14.25" customHeight="1" x14ac:dyDescent="0.3">
      <c r="V903" s="7"/>
      <c r="W903" s="7"/>
      <c r="X903" s="7"/>
      <c r="Y903" s="7"/>
    </row>
    <row r="904" spans="22:25" ht="14.25" customHeight="1" x14ac:dyDescent="0.3">
      <c r="V904" s="7"/>
      <c r="W904" s="7"/>
      <c r="X904" s="7"/>
      <c r="Y904" s="7"/>
    </row>
    <row r="905" spans="22:25" ht="14.25" customHeight="1" x14ac:dyDescent="0.3">
      <c r="V905" s="7"/>
      <c r="W905" s="7"/>
      <c r="X905" s="7"/>
      <c r="Y905" s="7"/>
    </row>
    <row r="906" spans="22:25" ht="14.25" customHeight="1" x14ac:dyDescent="0.3">
      <c r="V906" s="7"/>
      <c r="W906" s="7"/>
      <c r="X906" s="7"/>
      <c r="Y906" s="7"/>
    </row>
    <row r="907" spans="22:25" ht="14.25" customHeight="1" x14ac:dyDescent="0.3">
      <c r="V907" s="7"/>
      <c r="W907" s="7"/>
      <c r="X907" s="7"/>
      <c r="Y907" s="7"/>
    </row>
    <row r="908" spans="22:25" ht="14.25" customHeight="1" x14ac:dyDescent="0.3">
      <c r="V908" s="7"/>
      <c r="W908" s="7"/>
      <c r="X908" s="7"/>
      <c r="Y908" s="7"/>
    </row>
    <row r="909" spans="22:25" ht="14.25" customHeight="1" x14ac:dyDescent="0.3">
      <c r="V909" s="7"/>
      <c r="W909" s="7"/>
      <c r="X909" s="7"/>
      <c r="Y909" s="7"/>
    </row>
    <row r="910" spans="22:25" ht="14.25" customHeight="1" x14ac:dyDescent="0.3">
      <c r="V910" s="7"/>
      <c r="W910" s="7"/>
      <c r="X910" s="7"/>
      <c r="Y910" s="7"/>
    </row>
    <row r="911" spans="22:25" ht="14.25" customHeight="1" x14ac:dyDescent="0.3">
      <c r="V911" s="7"/>
      <c r="W911" s="7"/>
      <c r="X911" s="7"/>
      <c r="Y911" s="7"/>
    </row>
    <row r="912" spans="22:25" ht="14.25" customHeight="1" x14ac:dyDescent="0.3">
      <c r="V912" s="7"/>
      <c r="W912" s="7"/>
      <c r="X912" s="7"/>
      <c r="Y912" s="7"/>
    </row>
    <row r="913" spans="22:25" ht="14.25" customHeight="1" x14ac:dyDescent="0.3">
      <c r="V913" s="7"/>
      <c r="W913" s="7"/>
      <c r="X913" s="7"/>
      <c r="Y913" s="7"/>
    </row>
    <row r="914" spans="22:25" ht="14.25" customHeight="1" x14ac:dyDescent="0.3">
      <c r="V914" s="7"/>
      <c r="W914" s="7"/>
      <c r="X914" s="7"/>
      <c r="Y914" s="7"/>
    </row>
    <row r="915" spans="22:25" ht="14.25" customHeight="1" x14ac:dyDescent="0.3">
      <c r="V915" s="7"/>
      <c r="W915" s="7"/>
      <c r="X915" s="7"/>
      <c r="Y915" s="7"/>
    </row>
    <row r="916" spans="22:25" ht="14.25" customHeight="1" x14ac:dyDescent="0.3">
      <c r="V916" s="7"/>
      <c r="W916" s="7"/>
      <c r="X916" s="7"/>
      <c r="Y916" s="7"/>
    </row>
    <row r="917" spans="22:25" ht="14.25" customHeight="1" x14ac:dyDescent="0.3">
      <c r="V917" s="7"/>
      <c r="W917" s="7"/>
      <c r="X917" s="7"/>
      <c r="Y917" s="7"/>
    </row>
    <row r="918" spans="22:25" ht="14.25" customHeight="1" x14ac:dyDescent="0.3">
      <c r="V918" s="7"/>
      <c r="W918" s="7"/>
      <c r="X918" s="7"/>
      <c r="Y918" s="7"/>
    </row>
    <row r="919" spans="22:25" ht="14.25" customHeight="1" x14ac:dyDescent="0.3">
      <c r="V919" s="7"/>
      <c r="W919" s="7"/>
      <c r="X919" s="7"/>
      <c r="Y919" s="7"/>
    </row>
    <row r="920" spans="22:25" ht="14.25" customHeight="1" x14ac:dyDescent="0.3">
      <c r="V920" s="7"/>
      <c r="W920" s="7"/>
      <c r="X920" s="7"/>
      <c r="Y920" s="7"/>
    </row>
    <row r="921" spans="22:25" ht="14.25" customHeight="1" x14ac:dyDescent="0.3">
      <c r="V921" s="7"/>
      <c r="W921" s="7"/>
      <c r="X921" s="7"/>
      <c r="Y921" s="7"/>
    </row>
    <row r="922" spans="22:25" ht="14.25" customHeight="1" x14ac:dyDescent="0.3">
      <c r="V922" s="7"/>
      <c r="W922" s="7"/>
      <c r="X922" s="7"/>
      <c r="Y922" s="7"/>
    </row>
    <row r="923" spans="22:25" ht="14.25" customHeight="1" x14ac:dyDescent="0.3">
      <c r="V923" s="7"/>
      <c r="W923" s="7"/>
      <c r="X923" s="7"/>
      <c r="Y923" s="7"/>
    </row>
    <row r="924" spans="22:25" ht="14.25" customHeight="1" x14ac:dyDescent="0.3">
      <c r="V924" s="7"/>
      <c r="W924" s="7"/>
      <c r="X924" s="7"/>
      <c r="Y924" s="7"/>
    </row>
    <row r="925" spans="22:25" ht="14.25" customHeight="1" x14ac:dyDescent="0.3">
      <c r="V925" s="7"/>
      <c r="W925" s="7"/>
      <c r="X925" s="7"/>
      <c r="Y925" s="7"/>
    </row>
    <row r="926" spans="22:25" ht="14.25" customHeight="1" x14ac:dyDescent="0.3">
      <c r="V926" s="7"/>
      <c r="W926" s="7"/>
      <c r="X926" s="7"/>
      <c r="Y926" s="7"/>
    </row>
    <row r="927" spans="22:25" ht="14.25" customHeight="1" x14ac:dyDescent="0.3">
      <c r="V927" s="7"/>
      <c r="W927" s="7"/>
      <c r="X927" s="7"/>
      <c r="Y927" s="7"/>
    </row>
    <row r="928" spans="22:25" ht="14.25" customHeight="1" x14ac:dyDescent="0.3">
      <c r="V928" s="7"/>
      <c r="W928" s="7"/>
      <c r="X928" s="7"/>
      <c r="Y928" s="7"/>
    </row>
    <row r="929" spans="22:25" ht="14.25" customHeight="1" x14ac:dyDescent="0.3">
      <c r="V929" s="7"/>
      <c r="W929" s="7"/>
      <c r="X929" s="7"/>
      <c r="Y929" s="7"/>
    </row>
    <row r="930" spans="22:25" ht="14.25" customHeight="1" x14ac:dyDescent="0.3">
      <c r="V930" s="7"/>
      <c r="W930" s="7"/>
      <c r="X930" s="7"/>
      <c r="Y930" s="7"/>
    </row>
    <row r="931" spans="22:25" ht="14.25" customHeight="1" x14ac:dyDescent="0.3">
      <c r="V931" s="7"/>
      <c r="W931" s="7"/>
      <c r="X931" s="7"/>
      <c r="Y931" s="7"/>
    </row>
    <row r="932" spans="22:25" ht="14.25" customHeight="1" x14ac:dyDescent="0.3">
      <c r="V932" s="7"/>
      <c r="W932" s="7"/>
      <c r="X932" s="7"/>
      <c r="Y932" s="7"/>
    </row>
    <row r="933" spans="22:25" ht="14.25" customHeight="1" x14ac:dyDescent="0.3">
      <c r="V933" s="7"/>
      <c r="W933" s="7"/>
      <c r="X933" s="7"/>
      <c r="Y933" s="7"/>
    </row>
    <row r="934" spans="22:25" ht="14.25" customHeight="1" x14ac:dyDescent="0.3">
      <c r="V934" s="7"/>
      <c r="W934" s="7"/>
      <c r="X934" s="7"/>
      <c r="Y934" s="7"/>
    </row>
    <row r="935" spans="22:25" ht="14.25" customHeight="1" x14ac:dyDescent="0.3">
      <c r="V935" s="7"/>
      <c r="W935" s="7"/>
      <c r="X935" s="7"/>
      <c r="Y935" s="7"/>
    </row>
    <row r="936" spans="22:25" ht="14.25" customHeight="1" x14ac:dyDescent="0.3">
      <c r="V936" s="7"/>
      <c r="W936" s="7"/>
      <c r="X936" s="7"/>
      <c r="Y936" s="7"/>
    </row>
    <row r="937" spans="22:25" ht="14.25" customHeight="1" x14ac:dyDescent="0.3">
      <c r="V937" s="7"/>
      <c r="W937" s="7"/>
      <c r="X937" s="7"/>
      <c r="Y937" s="7"/>
    </row>
    <row r="938" spans="22:25" ht="14.25" customHeight="1" x14ac:dyDescent="0.3">
      <c r="V938" s="7"/>
      <c r="W938" s="7"/>
      <c r="X938" s="7"/>
      <c r="Y938" s="7"/>
    </row>
    <row r="939" spans="22:25" ht="14.25" customHeight="1" x14ac:dyDescent="0.3">
      <c r="V939" s="7"/>
      <c r="W939" s="7"/>
      <c r="X939" s="7"/>
      <c r="Y939" s="7"/>
    </row>
    <row r="940" spans="22:25" ht="14.25" customHeight="1" x14ac:dyDescent="0.3">
      <c r="V940" s="7"/>
      <c r="W940" s="7"/>
      <c r="X940" s="7"/>
      <c r="Y940" s="7"/>
    </row>
    <row r="941" spans="22:25" ht="14.25" customHeight="1" x14ac:dyDescent="0.3">
      <c r="V941" s="7"/>
      <c r="W941" s="7"/>
      <c r="X941" s="7"/>
      <c r="Y941" s="7"/>
    </row>
    <row r="942" spans="22:25" ht="14.25" customHeight="1" x14ac:dyDescent="0.3">
      <c r="V942" s="7"/>
      <c r="W942" s="7"/>
      <c r="X942" s="7"/>
      <c r="Y942" s="7"/>
    </row>
    <row r="943" spans="22:25" ht="14.25" customHeight="1" x14ac:dyDescent="0.3">
      <c r="V943" s="7"/>
      <c r="W943" s="7"/>
      <c r="X943" s="7"/>
      <c r="Y943" s="7"/>
    </row>
    <row r="944" spans="22:25" ht="14.25" customHeight="1" x14ac:dyDescent="0.3">
      <c r="V944" s="7"/>
      <c r="W944" s="7"/>
      <c r="X944" s="7"/>
      <c r="Y944" s="7"/>
    </row>
    <row r="945" spans="22:25" ht="14.25" customHeight="1" x14ac:dyDescent="0.3">
      <c r="V945" s="7"/>
      <c r="W945" s="7"/>
      <c r="X945" s="7"/>
      <c r="Y945" s="7"/>
    </row>
    <row r="946" spans="22:25" ht="14.25" customHeight="1" x14ac:dyDescent="0.3">
      <c r="V946" s="7"/>
      <c r="W946" s="7"/>
      <c r="X946" s="7"/>
      <c r="Y946" s="7"/>
    </row>
    <row r="947" spans="22:25" ht="14.25" customHeight="1" x14ac:dyDescent="0.3">
      <c r="V947" s="7"/>
      <c r="W947" s="7"/>
      <c r="X947" s="7"/>
      <c r="Y947" s="7"/>
    </row>
    <row r="948" spans="22:25" ht="14.25" customHeight="1" x14ac:dyDescent="0.3">
      <c r="V948" s="7"/>
      <c r="W948" s="7"/>
      <c r="X948" s="7"/>
      <c r="Y948" s="7"/>
    </row>
    <row r="949" spans="22:25" ht="14.25" customHeight="1" x14ac:dyDescent="0.3">
      <c r="V949" s="7"/>
      <c r="W949" s="7"/>
      <c r="X949" s="7"/>
      <c r="Y949" s="7"/>
    </row>
    <row r="950" spans="22:25" ht="14.25" customHeight="1" x14ac:dyDescent="0.3">
      <c r="V950" s="7"/>
      <c r="W950" s="7"/>
      <c r="X950" s="7"/>
      <c r="Y950" s="7"/>
    </row>
    <row r="951" spans="22:25" ht="14.25" customHeight="1" x14ac:dyDescent="0.3">
      <c r="V951" s="7"/>
      <c r="W951" s="7"/>
      <c r="X951" s="7"/>
      <c r="Y951" s="7"/>
    </row>
    <row r="952" spans="22:25" ht="14.25" customHeight="1" x14ac:dyDescent="0.3">
      <c r="V952" s="7"/>
      <c r="W952" s="7"/>
      <c r="X952" s="7"/>
      <c r="Y952" s="7"/>
    </row>
    <row r="953" spans="22:25" ht="14.25" customHeight="1" x14ac:dyDescent="0.3">
      <c r="V953" s="7"/>
      <c r="W953" s="7"/>
      <c r="X953" s="7"/>
      <c r="Y953" s="7"/>
    </row>
    <row r="954" spans="22:25" ht="14.25" customHeight="1" x14ac:dyDescent="0.3">
      <c r="V954" s="7"/>
      <c r="W954" s="7"/>
      <c r="X954" s="7"/>
      <c r="Y954" s="7"/>
    </row>
    <row r="955" spans="22:25" ht="14.25" customHeight="1" x14ac:dyDescent="0.3">
      <c r="V955" s="7"/>
      <c r="W955" s="7"/>
      <c r="X955" s="7"/>
      <c r="Y955" s="7"/>
    </row>
    <row r="956" spans="22:25" ht="14.25" customHeight="1" x14ac:dyDescent="0.3">
      <c r="V956" s="7"/>
      <c r="W956" s="7"/>
      <c r="X956" s="7"/>
      <c r="Y956" s="7"/>
    </row>
    <row r="957" spans="22:25" ht="14.25" customHeight="1" x14ac:dyDescent="0.3">
      <c r="V957" s="7"/>
      <c r="W957" s="7"/>
      <c r="X957" s="7"/>
      <c r="Y957" s="7"/>
    </row>
    <row r="958" spans="22:25" ht="14.25" customHeight="1" x14ac:dyDescent="0.3">
      <c r="V958" s="7"/>
      <c r="W958" s="7"/>
      <c r="X958" s="7"/>
      <c r="Y958" s="7"/>
    </row>
    <row r="959" spans="22:25" ht="14.25" customHeight="1" x14ac:dyDescent="0.3">
      <c r="V959" s="7"/>
      <c r="W959" s="7"/>
      <c r="X959" s="7"/>
      <c r="Y959" s="7"/>
    </row>
    <row r="960" spans="22:25" ht="14.25" customHeight="1" x14ac:dyDescent="0.3">
      <c r="V960" s="7"/>
      <c r="W960" s="7"/>
      <c r="X960" s="7"/>
      <c r="Y960" s="7"/>
    </row>
    <row r="961" spans="22:25" ht="14.25" customHeight="1" x14ac:dyDescent="0.3">
      <c r="V961" s="7"/>
      <c r="W961" s="7"/>
      <c r="X961" s="7"/>
      <c r="Y961" s="7"/>
    </row>
    <row r="962" spans="22:25" ht="14.25" customHeight="1" x14ac:dyDescent="0.3">
      <c r="V962" s="7"/>
      <c r="W962" s="7"/>
      <c r="X962" s="7"/>
      <c r="Y962" s="7"/>
    </row>
    <row r="963" spans="22:25" ht="14.25" customHeight="1" x14ac:dyDescent="0.3">
      <c r="V963" s="7"/>
      <c r="W963" s="7"/>
      <c r="X963" s="7"/>
      <c r="Y963" s="7"/>
    </row>
    <row r="964" spans="22:25" ht="14.25" customHeight="1" x14ac:dyDescent="0.3">
      <c r="V964" s="7"/>
      <c r="W964" s="7"/>
      <c r="X964" s="7"/>
      <c r="Y964" s="7"/>
    </row>
    <row r="965" spans="22:25" ht="14.25" customHeight="1" x14ac:dyDescent="0.3">
      <c r="V965" s="7"/>
      <c r="W965" s="7"/>
      <c r="X965" s="7"/>
      <c r="Y965" s="7"/>
    </row>
    <row r="966" spans="22:25" ht="14.25" customHeight="1" x14ac:dyDescent="0.3">
      <c r="V966" s="7"/>
      <c r="W966" s="7"/>
      <c r="X966" s="7"/>
      <c r="Y966" s="7"/>
    </row>
    <row r="967" spans="22:25" ht="14.25" customHeight="1" x14ac:dyDescent="0.3">
      <c r="V967" s="7"/>
      <c r="W967" s="7"/>
      <c r="X967" s="7"/>
      <c r="Y967" s="7"/>
    </row>
    <row r="968" spans="22:25" ht="14.25" customHeight="1" x14ac:dyDescent="0.3">
      <c r="V968" s="7"/>
      <c r="W968" s="7"/>
      <c r="X968" s="7"/>
      <c r="Y968" s="7"/>
    </row>
    <row r="969" spans="22:25" ht="14.25" customHeight="1" x14ac:dyDescent="0.3">
      <c r="V969" s="7"/>
      <c r="W969" s="7"/>
      <c r="X969" s="7"/>
      <c r="Y969" s="7"/>
    </row>
    <row r="970" spans="22:25" ht="14.25" customHeight="1" x14ac:dyDescent="0.3">
      <c r="V970" s="7"/>
      <c r="W970" s="7"/>
      <c r="X970" s="7"/>
      <c r="Y970" s="7"/>
    </row>
    <row r="971" spans="22:25" ht="14.25" customHeight="1" x14ac:dyDescent="0.3">
      <c r="V971" s="7"/>
      <c r="W971" s="7"/>
      <c r="X971" s="7"/>
      <c r="Y971" s="7"/>
    </row>
    <row r="972" spans="22:25" ht="14.25" customHeight="1" x14ac:dyDescent="0.3">
      <c r="V972" s="7"/>
      <c r="W972" s="7"/>
      <c r="X972" s="7"/>
      <c r="Y972" s="7"/>
    </row>
    <row r="973" spans="22:25" ht="14.25" customHeight="1" x14ac:dyDescent="0.3">
      <c r="V973" s="7"/>
      <c r="W973" s="7"/>
      <c r="X973" s="7"/>
      <c r="Y973" s="7"/>
    </row>
    <row r="974" spans="22:25" ht="14.25" customHeight="1" x14ac:dyDescent="0.3">
      <c r="V974" s="7"/>
      <c r="W974" s="7"/>
      <c r="X974" s="7"/>
      <c r="Y974" s="7"/>
    </row>
    <row r="975" spans="22:25" ht="14.25" customHeight="1" x14ac:dyDescent="0.3">
      <c r="V975" s="7"/>
      <c r="W975" s="7"/>
      <c r="X975" s="7"/>
      <c r="Y975" s="7"/>
    </row>
    <row r="976" spans="22:25" ht="14.25" customHeight="1" x14ac:dyDescent="0.3">
      <c r="V976" s="7"/>
      <c r="W976" s="7"/>
      <c r="X976" s="7"/>
      <c r="Y976" s="7"/>
    </row>
    <row r="977" spans="22:25" ht="14.25" customHeight="1" x14ac:dyDescent="0.3">
      <c r="V977" s="7"/>
      <c r="W977" s="7"/>
      <c r="X977" s="7"/>
      <c r="Y977" s="7"/>
    </row>
    <row r="978" spans="22:25" ht="14.25" customHeight="1" x14ac:dyDescent="0.3">
      <c r="V978" s="7"/>
      <c r="W978" s="7"/>
      <c r="X978" s="7"/>
      <c r="Y978" s="7"/>
    </row>
    <row r="979" spans="22:25" ht="14.25" customHeight="1" x14ac:dyDescent="0.3">
      <c r="V979" s="7"/>
      <c r="W979" s="7"/>
      <c r="X979" s="7"/>
      <c r="Y979" s="7"/>
    </row>
    <row r="980" spans="22:25" ht="14.25" customHeight="1" x14ac:dyDescent="0.3">
      <c r="V980" s="7"/>
      <c r="W980" s="7"/>
      <c r="X980" s="7"/>
      <c r="Y980" s="7"/>
    </row>
    <row r="981" spans="22:25" ht="14.25" customHeight="1" x14ac:dyDescent="0.3">
      <c r="V981" s="7"/>
      <c r="W981" s="7"/>
      <c r="X981" s="7"/>
      <c r="Y981" s="7"/>
    </row>
    <row r="982" spans="22:25" ht="14.25" customHeight="1" x14ac:dyDescent="0.3">
      <c r="V982" s="7"/>
      <c r="W982" s="7"/>
      <c r="X982" s="7"/>
      <c r="Y982" s="7"/>
    </row>
    <row r="983" spans="22:25" ht="14.25" customHeight="1" x14ac:dyDescent="0.3">
      <c r="V983" s="7"/>
      <c r="W983" s="7"/>
      <c r="X983" s="7"/>
      <c r="Y983" s="7"/>
    </row>
    <row r="984" spans="22:25" ht="14.25" customHeight="1" x14ac:dyDescent="0.3">
      <c r="V984" s="7"/>
      <c r="W984" s="7"/>
      <c r="X984" s="7"/>
      <c r="Y984" s="7"/>
    </row>
    <row r="985" spans="22:25" ht="14.25" customHeight="1" x14ac:dyDescent="0.3">
      <c r="V985" s="7"/>
      <c r="W985" s="7"/>
      <c r="X985" s="7"/>
      <c r="Y985" s="7"/>
    </row>
    <row r="986" spans="22:25" ht="14.25" customHeight="1" x14ac:dyDescent="0.3">
      <c r="V986" s="7"/>
      <c r="W986" s="7"/>
      <c r="X986" s="7"/>
      <c r="Y986" s="7"/>
    </row>
    <row r="987" spans="22:25" ht="14.25" customHeight="1" x14ac:dyDescent="0.3">
      <c r="V987" s="7"/>
      <c r="W987" s="7"/>
      <c r="X987" s="7"/>
      <c r="Y987" s="7"/>
    </row>
  </sheetData>
  <autoFilter ref="A1:AN272" xr:uid="{00000000-0001-0000-0100-000000000000}"/>
  <sortState xmlns:xlrd2="http://schemas.microsoft.com/office/spreadsheetml/2017/richdata2" ref="A2:AN987">
    <sortCondition ref="A1:A987"/>
  </sortState>
  <phoneticPr fontId="14" type="noConversion"/>
  <conditionalFormatting sqref="L169:L183">
    <cfRule type="uniqueValues" dxfId="0" priority="1"/>
  </conditionalFormatting>
  <hyperlinks>
    <hyperlink ref="G199" r:id="rId1" xr:uid="{00000000-0004-0000-0100-000000000000}"/>
    <hyperlink ref="H199" r:id="rId2" xr:uid="{00000000-0004-0000-0100-000001000000}"/>
    <hyperlink ref="I199" r:id="rId3" xr:uid="{00000000-0004-0000-0100-000002000000}"/>
    <hyperlink ref="G200" r:id="rId4" xr:uid="{00000000-0004-0000-0100-000003000000}"/>
    <hyperlink ref="H200" r:id="rId5" xr:uid="{00000000-0004-0000-0100-000004000000}"/>
    <hyperlink ref="I200" r:id="rId6" xr:uid="{00000000-0004-0000-0100-000005000000}"/>
    <hyperlink ref="G201" r:id="rId7" xr:uid="{00000000-0004-0000-0100-000006000000}"/>
    <hyperlink ref="H201" r:id="rId8" xr:uid="{00000000-0004-0000-0100-000007000000}"/>
    <hyperlink ref="I201" r:id="rId9" xr:uid="{00000000-0004-0000-0100-000008000000}"/>
    <hyperlink ref="G202" r:id="rId10" xr:uid="{00000000-0004-0000-0100-000009000000}"/>
    <hyperlink ref="H202" r:id="rId11" xr:uid="{00000000-0004-0000-0100-00000A000000}"/>
    <hyperlink ref="I202" r:id="rId12" xr:uid="{00000000-0004-0000-0100-00000B000000}"/>
    <hyperlink ref="G203" r:id="rId13" xr:uid="{00000000-0004-0000-0100-00000C000000}"/>
    <hyperlink ref="H203" r:id="rId14" xr:uid="{00000000-0004-0000-0100-00000D000000}"/>
    <hyperlink ref="I203" r:id="rId15" xr:uid="{00000000-0004-0000-0100-00000E000000}"/>
    <hyperlink ref="G204" r:id="rId16" xr:uid="{00000000-0004-0000-0100-00000F000000}"/>
    <hyperlink ref="H204" r:id="rId17" xr:uid="{00000000-0004-0000-0100-000010000000}"/>
    <hyperlink ref="I204" r:id="rId18" xr:uid="{00000000-0004-0000-0100-000011000000}"/>
    <hyperlink ref="G205" r:id="rId19" xr:uid="{00000000-0004-0000-0100-000012000000}"/>
    <hyperlink ref="H205" r:id="rId20" xr:uid="{00000000-0004-0000-0100-000013000000}"/>
    <hyperlink ref="I205" r:id="rId21" xr:uid="{00000000-0004-0000-0100-000014000000}"/>
    <hyperlink ref="G206" r:id="rId22" xr:uid="{00000000-0004-0000-0100-000015000000}"/>
    <hyperlink ref="H206" r:id="rId23" xr:uid="{00000000-0004-0000-0100-000016000000}"/>
    <hyperlink ref="I206" r:id="rId24" xr:uid="{00000000-0004-0000-0100-000017000000}"/>
    <hyperlink ref="G207" r:id="rId25" xr:uid="{00000000-0004-0000-0100-000018000000}"/>
    <hyperlink ref="H207" r:id="rId26" xr:uid="{00000000-0004-0000-0100-000019000000}"/>
    <hyperlink ref="I207" r:id="rId27" xr:uid="{00000000-0004-0000-0100-00001A000000}"/>
    <hyperlink ref="G208" r:id="rId28" xr:uid="{00000000-0004-0000-0100-00001B000000}"/>
    <hyperlink ref="H208" r:id="rId29" xr:uid="{00000000-0004-0000-0100-00001C000000}"/>
    <hyperlink ref="I208" r:id="rId30" xr:uid="{00000000-0004-0000-0100-00001D000000}"/>
    <hyperlink ref="G209" r:id="rId31" xr:uid="{00000000-0004-0000-0100-00001E000000}"/>
    <hyperlink ref="H209" r:id="rId32" xr:uid="{00000000-0004-0000-0100-00001F000000}"/>
    <hyperlink ref="I209" r:id="rId33" xr:uid="{00000000-0004-0000-0100-000020000000}"/>
    <hyperlink ref="G210" r:id="rId34" xr:uid="{00000000-0004-0000-0100-000021000000}"/>
    <hyperlink ref="H210" r:id="rId35" xr:uid="{00000000-0004-0000-0100-000022000000}"/>
    <hyperlink ref="I210" r:id="rId36" xr:uid="{00000000-0004-0000-0100-000023000000}"/>
    <hyperlink ref="G134" r:id="rId37" xr:uid="{C369AA71-8C84-4976-A8F7-8E8602A66660}"/>
    <hyperlink ref="G135" r:id="rId38" xr:uid="{4E4517B9-E1ED-481F-AAA9-C2314D67E5DD}"/>
    <hyperlink ref="G136" r:id="rId39" xr:uid="{470AD1F8-4E37-46CA-A104-D4984CDB2F97}"/>
    <hyperlink ref="G137" r:id="rId40" xr:uid="{020C2E2F-70FA-4B26-B6CA-7DD4F6DD1A79}"/>
    <hyperlink ref="G138" r:id="rId41" xr:uid="{FD27B16F-652D-40EA-AB4C-7FA304DD4468}"/>
    <hyperlink ref="G139" r:id="rId42" xr:uid="{32D700DD-782F-446C-BDEB-E2AA2B37F81A}"/>
    <hyperlink ref="G140" r:id="rId43" xr:uid="{090E37FC-CB37-4676-8252-CB037F4553D2}"/>
    <hyperlink ref="G141" r:id="rId44" xr:uid="{1293C948-DA8A-41D8-9E83-05DBC218AE20}"/>
    <hyperlink ref="G142" r:id="rId45" xr:uid="{ED4D99B6-E3DF-4B64-A786-294E5BE60D0B}"/>
    <hyperlink ref="G143" r:id="rId46" xr:uid="{401377CA-DBFF-4CE6-98FC-E57066A57AB9}"/>
    <hyperlink ref="G144" r:id="rId47" xr:uid="{BBE6F29B-7006-40CD-95CF-574A531FBCEE}"/>
    <hyperlink ref="G145" r:id="rId48" xr:uid="{8917BF2B-A8A5-4AC7-8D06-B848E9934162}"/>
    <hyperlink ref="G219" r:id="rId49" xr:uid="{AE264D40-FF84-4B7F-9D95-E022B9F2D22C}"/>
    <hyperlink ref="G220" r:id="rId50" xr:uid="{84A78693-FE78-4AA3-8C06-0773DBEA396D}"/>
    <hyperlink ref="G221" r:id="rId51" xr:uid="{6227AD4F-92EB-4F61-8D6E-215770A8D1AA}"/>
    <hyperlink ref="G222" r:id="rId52" xr:uid="{A4351BF9-37D1-4E24-94B8-DCB56C71E5AF}"/>
    <hyperlink ref="G223" r:id="rId53" xr:uid="{EFC722FA-ACD0-4539-9D5E-BD5E91A2DA31}"/>
    <hyperlink ref="G224" r:id="rId54" xr:uid="{309E6B99-CAA1-47A2-AF48-468EA6B5F49F}"/>
    <hyperlink ref="G225" r:id="rId55" xr:uid="{F1F12490-3DD1-4144-A959-09C56C8A1124}"/>
    <hyperlink ref="G226" r:id="rId56" xr:uid="{B8CEC964-3B3F-4029-909F-B4263C447279}"/>
    <hyperlink ref="G227" r:id="rId57" xr:uid="{9B502B51-53CD-4466-9693-CD854D060B74}"/>
    <hyperlink ref="G228" r:id="rId58" xr:uid="{83987937-A3FA-46FB-8C64-2390D8320D47}"/>
    <hyperlink ref="G229" r:id="rId59" xr:uid="{33A3F94A-12C1-4C55-9008-839DBC50248E}"/>
    <hyperlink ref="G230" r:id="rId60" xr:uid="{D368D8E2-A2B8-4B56-9BE8-209D5676BBF7}"/>
    <hyperlink ref="G231" r:id="rId61" xr:uid="{324F8D3B-846F-4C11-986A-5D87CAFDB94D}"/>
    <hyperlink ref="G232" r:id="rId62" xr:uid="{5FBE2A9D-D19D-41E1-881F-897BA61C39D0}"/>
    <hyperlink ref="G233" r:id="rId63" xr:uid="{B4E79EFC-C563-4972-9215-E99C69DB71AD}"/>
    <hyperlink ref="G234" r:id="rId64" xr:uid="{23E49911-2F82-46EF-A4F5-49D2BBD9192C}"/>
    <hyperlink ref="G235" r:id="rId65" xr:uid="{95982B36-1930-4F42-9015-FB3788C1B2D3}"/>
    <hyperlink ref="G236" r:id="rId66" xr:uid="{25AEC0D5-0C27-480B-A64C-289B7C7596B2}"/>
    <hyperlink ref="G237" r:id="rId67" xr:uid="{CCD63896-E40A-4FA6-99F8-57DBC234A096}"/>
    <hyperlink ref="G238" r:id="rId68" xr:uid="{3FE8D458-EFB7-4939-B1B3-612F1EBB54E8}"/>
    <hyperlink ref="G239" r:id="rId69" xr:uid="{C80032E3-1B9E-4BD9-A1A1-D78BF4E65C3F}"/>
    <hyperlink ref="G240" r:id="rId70" xr:uid="{CBB199A7-74EE-49AB-BB04-8AD094020C77}"/>
    <hyperlink ref="G241" r:id="rId71" xr:uid="{D5229CA8-4783-46C6-B8F0-1E4454A9F1C2}"/>
    <hyperlink ref="G242" r:id="rId72" xr:uid="{33C5B148-2B56-457F-ADB9-55E1B89A94A4}"/>
    <hyperlink ref="G243" r:id="rId73" xr:uid="{3DF1FB21-0B6B-4BFE-8860-73CE1A8A8FA4}"/>
    <hyperlink ref="G244" r:id="rId74" xr:uid="{76430AE7-6AED-463B-980E-D86EDE0C9269}"/>
    <hyperlink ref="G245" r:id="rId75" xr:uid="{58DC935F-78AB-4925-8619-8A09FEE7632C}"/>
    <hyperlink ref="G246" r:id="rId76" xr:uid="{7729ED5D-A4C1-4C02-9FC6-6A233A542D9D}"/>
    <hyperlink ref="G247" r:id="rId77" xr:uid="{E97AD018-A77A-4302-8FBB-B46EEB8FDE7E}"/>
    <hyperlink ref="G248" r:id="rId78" xr:uid="{B9470836-7FEC-4A2D-A6D9-5D231581CA6B}"/>
    <hyperlink ref="G249" r:id="rId79" xr:uid="{7E67AB2F-9060-46BF-9D69-8F93C6729C46}"/>
    <hyperlink ref="G250" r:id="rId80" xr:uid="{F2388ED7-B913-4552-A739-5C99418C7DB7}"/>
    <hyperlink ref="G251" r:id="rId81" xr:uid="{469BDE39-AD0B-4BEE-9A1A-76729323CBBF}"/>
    <hyperlink ref="G252" r:id="rId82" xr:uid="{974D5B3A-ED45-4533-BAA8-B65B68EC5A3B}"/>
    <hyperlink ref="G253" r:id="rId83" xr:uid="{0E7AC29D-340F-4C65-A766-5382E606653F}"/>
    <hyperlink ref="G254" r:id="rId84" xr:uid="{012285F6-ADF0-4F49-8FAB-AC26CAE7817B}"/>
    <hyperlink ref="G255" r:id="rId85" xr:uid="{F1146287-DF56-461B-BA08-A1825492838A}"/>
    <hyperlink ref="G256" r:id="rId86" xr:uid="{1EC28D51-60C9-424D-A4A2-798A63086D9D}"/>
    <hyperlink ref="G257" r:id="rId87" xr:uid="{2C5D717A-CC2D-4A97-94D3-DA3856E354C5}"/>
    <hyperlink ref="G258" r:id="rId88" xr:uid="{789ABFDE-5972-4EF9-AF71-0CAA58177DAF}"/>
    <hyperlink ref="G259" r:id="rId89" xr:uid="{19667B44-8AA2-458B-893C-233021B46C04}"/>
    <hyperlink ref="G260" r:id="rId90" xr:uid="{DC341046-667A-46B9-BFE3-E5D62EC10DE1}"/>
    <hyperlink ref="G261" r:id="rId91" xr:uid="{7DBDEBBC-E377-4B5F-A35F-DC9CFDC48E23}"/>
    <hyperlink ref="G262" r:id="rId92" xr:uid="{DB8B52FD-41DD-4555-81F0-0B6E7CCAE7A3}"/>
    <hyperlink ref="G263" r:id="rId93" xr:uid="{064765BE-FB5F-4783-A5C7-B6F345BFF032}"/>
    <hyperlink ref="G264" r:id="rId94" xr:uid="{06FB9791-F7F5-4966-8B64-0E1A7A3E22A5}"/>
    <hyperlink ref="G265" r:id="rId95" xr:uid="{8249A801-0CB2-4D1A-9E0D-D3A8CFD691BE}"/>
    <hyperlink ref="G266" r:id="rId96" xr:uid="{4ED245B7-5D14-4E2B-AEB1-76CC4257A784}"/>
    <hyperlink ref="G267" r:id="rId97" xr:uid="{AFE63176-AF1E-4BD1-A933-069132EAEAE6}"/>
    <hyperlink ref="G268" r:id="rId98" xr:uid="{1AFE82EE-5BE1-48F2-9040-C5A7DA84B26A}"/>
    <hyperlink ref="G269" r:id="rId99" xr:uid="{B015AF0C-3ED7-45C0-9EB2-AD2863501E71}"/>
    <hyperlink ref="G270" r:id="rId100" xr:uid="{19FB3B78-B313-413F-B8F1-D8B99F23C864}"/>
    <hyperlink ref="G271" r:id="rId101" xr:uid="{37B3D333-B242-4A8F-9822-7379889D9FCF}"/>
    <hyperlink ref="G272" r:id="rId102" xr:uid="{03E6B854-32A7-47AE-A145-71431AB9769C}"/>
    <hyperlink ref="H134" r:id="rId103" xr:uid="{636BC9EE-756B-495D-8C11-C34EEAB96124}"/>
    <hyperlink ref="H135" r:id="rId104" xr:uid="{ED508C8A-C348-4F59-AAD8-63C0BEA4AF7F}"/>
    <hyperlink ref="H136" r:id="rId105" xr:uid="{D33E5596-43D3-4DF6-932D-FA503C56A3AE}"/>
    <hyperlink ref="H137" r:id="rId106" xr:uid="{0B4BB394-3E7E-48E5-B6B3-8125542ADF41}"/>
    <hyperlink ref="H138" r:id="rId107" xr:uid="{7887DEC3-7505-497E-B159-DE312343131A}"/>
    <hyperlink ref="H139" r:id="rId108" xr:uid="{8B63D829-8291-45FC-8EA4-BFF953E97AB5}"/>
    <hyperlink ref="H140" r:id="rId109" xr:uid="{F69CDB85-9092-48D0-99C5-44A552C18173}"/>
    <hyperlink ref="H141" r:id="rId110" xr:uid="{CC50ABD4-7EC3-4C02-A072-997CE8890130}"/>
    <hyperlink ref="H142" r:id="rId111" xr:uid="{BCD9BBCF-22FC-4E7F-8640-D05B40A1518B}"/>
    <hyperlink ref="H143" r:id="rId112" xr:uid="{85F31A9F-BF49-464F-BE30-D5147FE53158}"/>
    <hyperlink ref="H144" r:id="rId113" xr:uid="{9D24944C-1A2E-4C9D-873C-006CEF4061C9}"/>
    <hyperlink ref="H145" r:id="rId114" xr:uid="{B5CD3E2E-8FF4-454E-9C83-7E340A1156E7}"/>
    <hyperlink ref="H219" r:id="rId115" xr:uid="{F3414E32-F2B5-4267-82D9-DB85F637EE15}"/>
    <hyperlink ref="H220" r:id="rId116" xr:uid="{148B4C96-92AA-4AB5-A7C2-D1D4D2050CF8}"/>
    <hyperlink ref="H221" r:id="rId117" xr:uid="{5229DD02-EF54-4D14-95A2-A2593CE681E2}"/>
    <hyperlink ref="H222" r:id="rId118" xr:uid="{9B6587B0-4083-477B-829B-2F693841722C}"/>
    <hyperlink ref="H223" r:id="rId119" xr:uid="{2D28C6AC-B5BB-4D99-BA31-A225BA66F35D}"/>
    <hyperlink ref="H224" r:id="rId120" xr:uid="{1565CA73-30A3-4D4E-BF73-B23FCE271E05}"/>
    <hyperlink ref="H225" r:id="rId121" xr:uid="{9B52CE49-3366-4F28-A50A-BF26C5D371FA}"/>
    <hyperlink ref="H226" r:id="rId122" xr:uid="{570E0CA6-B4A7-484E-BAAB-DB20BB1F8064}"/>
    <hyperlink ref="H227" r:id="rId123" xr:uid="{2A1AD826-0F5C-4938-B8DD-7DDD505207C9}"/>
    <hyperlink ref="H228" r:id="rId124" xr:uid="{898E5C0B-7784-4C55-949A-B3D4ABBDB280}"/>
    <hyperlink ref="H229" r:id="rId125" xr:uid="{15FEA193-D358-4490-AE61-358502455161}"/>
    <hyperlink ref="H230" r:id="rId126" xr:uid="{4F77BE57-DDE1-4F31-A586-7655841A4BCE}"/>
    <hyperlink ref="H231" r:id="rId127" xr:uid="{DA43A1B2-6A0E-4820-9BD0-DEDA5D3F9D59}"/>
    <hyperlink ref="H232" r:id="rId128" xr:uid="{B97AD6A1-1854-44B2-A86F-399907A0F2FC}"/>
    <hyperlink ref="H233" r:id="rId129" xr:uid="{440E9942-1F35-4974-A351-A99CEF4E1876}"/>
    <hyperlink ref="H234" r:id="rId130" xr:uid="{0E0E6D7A-E84C-4F5C-A0A1-7097EECD033A}"/>
    <hyperlink ref="H235" r:id="rId131" xr:uid="{120EB5F4-CE10-4EE2-A360-9EE67620BFE4}"/>
    <hyperlink ref="H236" r:id="rId132" xr:uid="{577EBEB3-E262-4C27-9D22-FBD55573A2B5}"/>
    <hyperlink ref="H237" r:id="rId133" xr:uid="{265169D3-2650-4209-8F5B-7C058E1D1240}"/>
    <hyperlink ref="H238" r:id="rId134" xr:uid="{FD97F90D-E2EE-45BA-9673-7314813297A5}"/>
    <hyperlink ref="H239" r:id="rId135" xr:uid="{BB9DD109-5D9D-4C56-B516-AC1938B2BC99}"/>
    <hyperlink ref="H240" r:id="rId136" xr:uid="{7531F4F1-AABA-4DE9-8E6A-F90ADCD82CB7}"/>
    <hyperlink ref="H241" r:id="rId137" xr:uid="{4AC3B1E9-0C35-411B-A060-A94B170A5C52}"/>
    <hyperlink ref="H242" r:id="rId138" xr:uid="{F0DC9843-2ABB-45AE-8842-358C0B1D6810}"/>
    <hyperlink ref="H243" r:id="rId139" xr:uid="{2E101E97-836B-404B-875C-53566E2EA97B}"/>
    <hyperlink ref="H244" r:id="rId140" xr:uid="{734CF0D0-9C9F-4D2B-9781-6E914A694B09}"/>
    <hyperlink ref="H245" r:id="rId141" xr:uid="{3C71DD4B-409D-442E-B891-99A3E87602C9}"/>
    <hyperlink ref="H246" r:id="rId142" xr:uid="{A833DD7D-5226-4C9F-88F4-B9AB0121593F}"/>
    <hyperlink ref="H247" r:id="rId143" xr:uid="{A28EA6AD-500D-4CB1-9521-7079D740D38A}"/>
    <hyperlink ref="H248" r:id="rId144" xr:uid="{BC331CC5-AA18-45A8-A3CC-12A181BE87D2}"/>
    <hyperlink ref="H249" r:id="rId145" xr:uid="{89B0A049-546F-4561-9CC4-BDA6DA6C8887}"/>
    <hyperlink ref="H250" r:id="rId146" xr:uid="{4FA38164-539D-4D8E-BE2A-E34B6A3A642D}"/>
    <hyperlink ref="H251" r:id="rId147" xr:uid="{1E0B3481-AEB4-43CD-AFB8-C50DDE31BDCC}"/>
    <hyperlink ref="H252" r:id="rId148" xr:uid="{355B7D8B-5D38-4335-8F54-DB3422EDF831}"/>
    <hyperlink ref="H253" r:id="rId149" xr:uid="{7AF83830-1462-4CD7-82C4-9ED3BB1EBE2B}"/>
    <hyperlink ref="H254" r:id="rId150" xr:uid="{D0FDD37A-D05D-44C0-B511-5EFCE0F1E6E1}"/>
    <hyperlink ref="H255" r:id="rId151" xr:uid="{12C95B3A-B538-40C7-9406-C823A0AE630E}"/>
    <hyperlink ref="H256" r:id="rId152" xr:uid="{B149F4DC-9589-439C-AE74-608765EED5A9}"/>
    <hyperlink ref="H257" r:id="rId153" xr:uid="{850471AD-0EE6-44B7-BBCA-AF1B9D41DEF8}"/>
    <hyperlink ref="H258" r:id="rId154" xr:uid="{5C316883-B066-4649-B850-1E79B65018F7}"/>
    <hyperlink ref="H259" r:id="rId155" xr:uid="{4526E1BE-22B9-418E-A97A-9A5D6F5330F3}"/>
    <hyperlink ref="H260" r:id="rId156" xr:uid="{F7FE38E7-9E52-4530-8A97-95D0BF7442F4}"/>
    <hyperlink ref="H261" r:id="rId157" xr:uid="{DFA1F7AE-7ED4-47DE-AC2F-B222E0FCF535}"/>
    <hyperlink ref="H262" r:id="rId158" xr:uid="{58E0DBA3-894A-445D-AD63-5770FA9CE563}"/>
    <hyperlink ref="H263" r:id="rId159" xr:uid="{87A0633B-711C-4E2E-966F-7E4BC7B25F7D}"/>
    <hyperlink ref="H264" r:id="rId160" xr:uid="{8FCB5F89-8F20-415D-B5CC-FD45933CAB2C}"/>
    <hyperlink ref="H265" r:id="rId161" xr:uid="{140426E0-9E95-4A20-9336-9E1EAE10D307}"/>
    <hyperlink ref="H266" r:id="rId162" xr:uid="{284AB9C1-4978-4FAF-B487-EE6FFFAE72BA}"/>
    <hyperlink ref="H267" r:id="rId163" xr:uid="{0D5F9225-2299-4F4D-94BE-66C98F8BC1E1}"/>
    <hyperlink ref="H268" r:id="rId164" xr:uid="{2E1A24B2-E7C0-458F-8E50-2D76754A22E0}"/>
    <hyperlink ref="H269" r:id="rId165" xr:uid="{B8644D39-31D1-44C8-920D-7DE65EFD4AB9}"/>
    <hyperlink ref="H270" r:id="rId166" xr:uid="{2C2D5302-50A8-45B1-BA35-BEAD456A14F7}"/>
    <hyperlink ref="H271" r:id="rId167" xr:uid="{2E66C50C-8917-4DB7-B721-4378A237DD4A}"/>
    <hyperlink ref="H272" r:id="rId168" xr:uid="{AEB69C43-9048-4AFF-87C6-151D78EBFE46}"/>
    <hyperlink ref="I134" r:id="rId169" xr:uid="{2B2ACDAA-20D9-4EC6-80E5-6EB26CBFC000}"/>
    <hyperlink ref="I135" r:id="rId170" xr:uid="{407243CB-F4E8-42D5-904D-44CBA90AD9FC}"/>
    <hyperlink ref="I136" r:id="rId171" xr:uid="{357C58A0-5850-41D9-AB10-A9A753D109E8}"/>
    <hyperlink ref="I137" r:id="rId172" xr:uid="{5DD8C85E-6297-4F8F-A7B6-259B46B38816}"/>
    <hyperlink ref="I138" r:id="rId173" xr:uid="{EAC21156-BAF8-4204-8D3D-DE9524B269E3}"/>
    <hyperlink ref="I139" r:id="rId174" xr:uid="{502D541B-9633-4E57-BBDE-4FBEDF03CB51}"/>
    <hyperlink ref="I140" r:id="rId175" xr:uid="{20DB4791-87FF-46B1-80F3-7C30FA3E87BA}"/>
    <hyperlink ref="I141" r:id="rId176" xr:uid="{8C01B62C-8453-4452-925F-7F81C6449F27}"/>
    <hyperlink ref="I142" r:id="rId177" xr:uid="{379322EF-D76D-4BF3-8FA4-40D9A1428371}"/>
    <hyperlink ref="I143" r:id="rId178" xr:uid="{4D83C66E-D3D5-4CA5-A3C5-B2DAA25964D1}"/>
    <hyperlink ref="I144" r:id="rId179" xr:uid="{AADDA4BE-A059-43CA-931B-53E1173F6EBD}"/>
    <hyperlink ref="I145" r:id="rId180" xr:uid="{203E56B5-3AAD-479D-A607-E021FA5FB567}"/>
    <hyperlink ref="I219" r:id="rId181" xr:uid="{17E96177-D9E5-4295-9D9C-EF2A771802B0}"/>
    <hyperlink ref="I220" r:id="rId182" xr:uid="{529533B9-8765-40AB-9464-069558722B88}"/>
    <hyperlink ref="I221" r:id="rId183" xr:uid="{7B767AD3-CFD6-4951-84EB-3F05B0BDAFEA}"/>
    <hyperlink ref="I222" r:id="rId184" xr:uid="{C5618805-CC38-4346-9903-8FECDF256D73}"/>
    <hyperlink ref="I223" r:id="rId185" xr:uid="{F862F291-1213-4199-A2C0-CA72AF2E3E18}"/>
    <hyperlink ref="I224" r:id="rId186" xr:uid="{C2C13AC5-9B2F-4BFD-98F9-320D6CF414DB}"/>
    <hyperlink ref="I225" r:id="rId187" xr:uid="{764B51AE-3443-41D4-88D0-F60D137B010B}"/>
    <hyperlink ref="I226" r:id="rId188" xr:uid="{8B1ABE67-6902-45DE-94F4-B597427D25FD}"/>
    <hyperlink ref="I227" r:id="rId189" xr:uid="{7A854082-2389-47EE-9A9A-E26893A422CA}"/>
    <hyperlink ref="I228" r:id="rId190" xr:uid="{CCCC4824-609F-4996-837F-41A673496BA8}"/>
    <hyperlink ref="I229" r:id="rId191" xr:uid="{A3A2CF4C-9A17-49FE-B393-594010A930BF}"/>
    <hyperlink ref="I230" r:id="rId192" xr:uid="{39A1CCD9-6E73-4B53-BC4F-3627BAEF034A}"/>
    <hyperlink ref="I231" r:id="rId193" xr:uid="{C270E454-541F-47F6-A47D-576123258542}"/>
    <hyperlink ref="I232" r:id="rId194" xr:uid="{70A5CAAA-AFFF-4231-B926-CBDF1AD8131E}"/>
    <hyperlink ref="I233" r:id="rId195" xr:uid="{8714922B-6938-4A0F-B23E-F5697E793501}"/>
    <hyperlink ref="I234" r:id="rId196" xr:uid="{9D94FEFD-0224-4104-A925-18BF831DDA9D}"/>
    <hyperlink ref="I235" r:id="rId197" xr:uid="{F2F1C1C6-FEFC-40A2-9C26-847B1FD9E000}"/>
    <hyperlink ref="I236" r:id="rId198" xr:uid="{9E511553-A3F0-4E62-856B-17FBF0E04FC5}"/>
    <hyperlink ref="I237" r:id="rId199" xr:uid="{5D75CDE5-2CF9-4D79-BF93-CC68D0026E1A}"/>
    <hyperlink ref="I238" r:id="rId200" xr:uid="{7AE8653A-5C25-44C8-8722-9D47E0E1BCD6}"/>
    <hyperlink ref="I239" r:id="rId201" xr:uid="{338EAEE4-D799-48A7-BD32-3AF1F8E52A7C}"/>
    <hyperlink ref="I240" r:id="rId202" xr:uid="{BC30808F-5C28-4A8B-B14A-8C4627AF8ABC}"/>
    <hyperlink ref="I241" r:id="rId203" xr:uid="{FBE22632-1598-4441-A832-6049B70D4932}"/>
    <hyperlink ref="I242" r:id="rId204" xr:uid="{A993C579-FA7D-46ED-910C-856710EC9630}"/>
    <hyperlink ref="I243" r:id="rId205" xr:uid="{74020A20-AB2F-4E6C-AC80-3956AF3556C3}"/>
    <hyperlink ref="I244" r:id="rId206" xr:uid="{59505C26-C31B-4E74-95FB-F436A759B79F}"/>
    <hyperlink ref="I245" r:id="rId207" xr:uid="{78456C2C-ADFE-48C7-8D1E-DB652A736AF2}"/>
    <hyperlink ref="I246" r:id="rId208" xr:uid="{B288AC3F-DF65-40BB-A87A-54B058424094}"/>
    <hyperlink ref="I247" r:id="rId209" xr:uid="{79659E9C-B4AC-4E21-9AEA-3728B655D106}"/>
    <hyperlink ref="I248" r:id="rId210" xr:uid="{D1931BB0-E525-49F2-8CEF-620E56F4A500}"/>
    <hyperlink ref="I249" r:id="rId211" xr:uid="{93033F38-37BD-4E08-A7D5-45E0584CC21F}"/>
    <hyperlink ref="I250" r:id="rId212" xr:uid="{14DFA831-EB00-42B8-B64C-3A0CCD8419BC}"/>
    <hyperlink ref="I251" r:id="rId213" xr:uid="{E3E497E1-23E3-4239-979F-54318C781C51}"/>
    <hyperlink ref="I252" r:id="rId214" xr:uid="{01AFA33C-DEB3-4C5B-BBC6-85898C7A0E0C}"/>
    <hyperlink ref="I253" r:id="rId215" xr:uid="{C5906BCA-31E4-467A-894E-B3C6C43D05E8}"/>
    <hyperlink ref="I254" r:id="rId216" xr:uid="{276B45F6-1A2A-48A0-9E55-E4D77EF6D32C}"/>
    <hyperlink ref="I255" r:id="rId217" xr:uid="{5C6550E7-87FB-4F59-8084-3ECA7E4043FF}"/>
    <hyperlink ref="I256" r:id="rId218" xr:uid="{3C865734-FD2B-4483-8E5F-15DE9DE5B974}"/>
    <hyperlink ref="I257" r:id="rId219" xr:uid="{0D92985A-B6A6-4A71-9F47-7596DB06CADA}"/>
    <hyperlink ref="I258" r:id="rId220" xr:uid="{87CDB2B6-163E-407A-ACBB-0A0190F00B87}"/>
    <hyperlink ref="I259" r:id="rId221" xr:uid="{F685D4C4-15F0-4164-8687-1C1807A11D37}"/>
    <hyperlink ref="I260" r:id="rId222" xr:uid="{0F1FA2C9-6054-41F4-818B-4F0CFFD6C377}"/>
    <hyperlink ref="I261" r:id="rId223" xr:uid="{C707073D-DD76-4A98-8E93-94480C07EB92}"/>
    <hyperlink ref="I262" r:id="rId224" xr:uid="{5682D60A-2090-47BB-A67D-4A7688002BB3}"/>
    <hyperlink ref="I263" r:id="rId225" xr:uid="{534B9866-B4D8-43B3-A8A3-F9C0D7A334AA}"/>
    <hyperlink ref="I264" r:id="rId226" xr:uid="{790C2DE6-1A30-47BB-94DC-51412FBEBAD0}"/>
    <hyperlink ref="I265" r:id="rId227" xr:uid="{F7B204E2-AC23-4715-8A23-6A5EAF567003}"/>
    <hyperlink ref="I266" r:id="rId228" xr:uid="{DD3D0C14-770A-4021-A10C-16304DC5EF0F}"/>
    <hyperlink ref="I267" r:id="rId229" xr:uid="{FE9081A6-B31A-41B3-97CD-C51CD423E6ED}"/>
    <hyperlink ref="I268" r:id="rId230" xr:uid="{7496A3E6-A21D-4D9C-8784-4E350EC96D4B}"/>
    <hyperlink ref="I269" r:id="rId231" xr:uid="{3E76AE0A-C276-41BA-B7D0-2E9F6F544091}"/>
    <hyperlink ref="I270" r:id="rId232" xr:uid="{47984A2B-3634-4074-92FF-A00BCF214FAF}"/>
    <hyperlink ref="I271" r:id="rId233" xr:uid="{DC0A5EF7-E695-45CB-B7D4-A74BFE2D2D74}"/>
    <hyperlink ref="I272" r:id="rId234" xr:uid="{C748E787-9DE3-4439-90B3-D889076EC432}"/>
    <hyperlink ref="G43" r:id="rId235" xr:uid="{4CB540B6-F44D-4318-BA06-16E74EEBC1D4}"/>
    <hyperlink ref="G44" r:id="rId236" xr:uid="{3767ECB5-46C8-45CA-9E42-A41B10C9389F}"/>
    <hyperlink ref="G45" r:id="rId237" xr:uid="{C2329179-10A1-4E9E-B4CB-19518C24EECE}"/>
    <hyperlink ref="G46" r:id="rId238" xr:uid="{39D809F9-A1A7-4EF3-9CA7-5BC1C4A28EB4}"/>
    <hyperlink ref="G47" r:id="rId239" xr:uid="{BA2623A2-A75B-46C9-95EC-9FA22DA499E7}"/>
    <hyperlink ref="G48" r:id="rId240" xr:uid="{3DFE8957-3F2F-4690-832C-FE7C3C6AF389}"/>
    <hyperlink ref="G49" r:id="rId241" xr:uid="{389CA263-ECF7-4676-9563-B1E5EC166380}"/>
    <hyperlink ref="G50" r:id="rId242" xr:uid="{89765B01-8183-406B-B75C-7D56EB87744E}"/>
    <hyperlink ref="G51" r:id="rId243" xr:uid="{319C3B9B-3890-4C4F-86E7-35BE43A5DE5C}"/>
    <hyperlink ref="G52" r:id="rId244" xr:uid="{A4D4857A-91DD-4867-BC2C-E90C58C678F8}"/>
    <hyperlink ref="G53" r:id="rId245" xr:uid="{47065F79-009B-4FDA-A7A9-951E1935FA16}"/>
    <hyperlink ref="G54" r:id="rId246" xr:uid="{1A343780-6004-425A-8344-57675EDBDA92}"/>
    <hyperlink ref="G55" r:id="rId247" xr:uid="{6E8C001A-7C42-48BC-AB6A-D93CF9D53419}"/>
    <hyperlink ref="G56" r:id="rId248" xr:uid="{450A2C2C-4D34-41BC-BAC7-571AB562BBBD}"/>
    <hyperlink ref="G57" r:id="rId249" xr:uid="{F86036D3-25CF-4B10-BD33-13999FCBD1BB}"/>
    <hyperlink ref="G58" r:id="rId250" xr:uid="{5056D967-1F41-4017-B65B-65675FF2FFBE}"/>
    <hyperlink ref="G59" r:id="rId251" xr:uid="{D0971C6E-FC63-4586-AE17-0353ABB0323E}"/>
    <hyperlink ref="G60" r:id="rId252" xr:uid="{CA8642F1-0E56-4248-8348-3B3804702FFF}"/>
    <hyperlink ref="G61" r:id="rId253" xr:uid="{069783C1-F9A3-425A-9BFF-95CF50F90CD9}"/>
    <hyperlink ref="G62" r:id="rId254" xr:uid="{B4B9E3D3-3922-44B0-98C0-88CD716A6613}"/>
    <hyperlink ref="G63" r:id="rId255" xr:uid="{E5984C19-CAFE-4DFE-BE0E-03052BD3C821}"/>
    <hyperlink ref="G64" r:id="rId256" xr:uid="{E6B4FB31-C839-47D7-B6E5-8208AC093FAA}"/>
    <hyperlink ref="G65" r:id="rId257" xr:uid="{362C1E41-0D18-492F-A6B7-E26266E7C095}"/>
    <hyperlink ref="G66" r:id="rId258" xr:uid="{AFC8BF67-74A1-4F58-A0F7-C27C6E6427DC}"/>
    <hyperlink ref="G67" r:id="rId259" xr:uid="{3776663B-7947-4984-BA4B-102266999791}"/>
    <hyperlink ref="G68" r:id="rId260" xr:uid="{7CFED514-F173-4853-84B0-487B3CA91E3B}"/>
    <hyperlink ref="G69" r:id="rId261" xr:uid="{548D6306-32EC-46B8-9393-B666B455FB9F}"/>
    <hyperlink ref="G70" r:id="rId262" xr:uid="{89A83713-CF82-4E9D-8D47-4C5037905A94}"/>
    <hyperlink ref="G71" r:id="rId263" xr:uid="{458AB616-63CD-4EA3-9F18-AC99EE323A30}"/>
    <hyperlink ref="G72" r:id="rId264" xr:uid="{02FD893B-2BDF-447B-B2F9-1A8AB3836870}"/>
    <hyperlink ref="G73" r:id="rId265" xr:uid="{A62B39E8-892D-493F-823C-18FD1AD511D5}"/>
    <hyperlink ref="G74" r:id="rId266" xr:uid="{578626FB-D84E-4BA1-8CAA-067BA63556DE}"/>
    <hyperlink ref="G75" r:id="rId267" xr:uid="{F80AD456-E133-498D-BD8E-8A31A8167048}"/>
    <hyperlink ref="G76" r:id="rId268" xr:uid="{DE9507AB-F2E4-465A-87CC-207D0F56E72F}"/>
    <hyperlink ref="G77" r:id="rId269" xr:uid="{FE4B90EF-9EEA-462B-AEDF-D157244DF0B1}"/>
    <hyperlink ref="G78" r:id="rId270" xr:uid="{71834E50-FECF-481D-9B98-460573E97AEF}"/>
    <hyperlink ref="G79" r:id="rId271" xr:uid="{A51F87A1-CB59-4BA4-AD3A-B2923C8CADFF}"/>
    <hyperlink ref="G80" r:id="rId272" xr:uid="{2D1EE4C8-1D58-469B-9200-C2F4661BA18B}"/>
    <hyperlink ref="G81" r:id="rId273" xr:uid="{40DDA6D7-1192-41E3-BA8F-80E1EDEFE7C6}"/>
    <hyperlink ref="G82" r:id="rId274" xr:uid="{2958CB34-864E-484C-9447-9D208B7FA621}"/>
    <hyperlink ref="G83" r:id="rId275" xr:uid="{EC34D00A-3B03-4ECF-8792-34A5E4B0FC95}"/>
    <hyperlink ref="G84" r:id="rId276" xr:uid="{4897729C-604A-45F0-B2DF-6972EEAA4A5C}"/>
    <hyperlink ref="G85" r:id="rId277" xr:uid="{4DDFD7C7-AF30-4389-995E-FB57C3B5C62C}"/>
    <hyperlink ref="G86" r:id="rId278" xr:uid="{EE487DD1-F5EC-4523-B6E9-CF9B7CE717EA}"/>
    <hyperlink ref="G87" r:id="rId279" xr:uid="{816E649A-6106-4475-B495-75EA0C5A6B6C}"/>
    <hyperlink ref="G88" r:id="rId280" xr:uid="{395F37C7-3F72-4F32-9BD8-DDFF6AB186DE}"/>
    <hyperlink ref="G89" r:id="rId281" xr:uid="{FF3EDB78-1AA1-4365-B253-201FCDE472D1}"/>
    <hyperlink ref="G90" r:id="rId282" xr:uid="{6492E2B1-7473-4294-B8D6-56D3357B0DEE}"/>
    <hyperlink ref="G91" r:id="rId283" xr:uid="{A4A954E5-DEE2-48F0-B7E6-CE21D0959C9C}"/>
    <hyperlink ref="G92" r:id="rId284" xr:uid="{489572CF-A96E-410D-AA60-39D28BA8C879}"/>
    <hyperlink ref="G93" r:id="rId285" xr:uid="{F06E3B1B-599B-4B95-830C-AD798CFB79F9}"/>
    <hyperlink ref="G94" r:id="rId286" xr:uid="{117296C9-8C54-4502-99FD-20F0616D7DD5}"/>
    <hyperlink ref="G95" r:id="rId287" xr:uid="{AD607653-6754-493F-B9C2-891E3058FF60}"/>
    <hyperlink ref="G96" r:id="rId288" xr:uid="{28F214FD-5AF8-4611-8D4A-91E5FFBC6F4C}"/>
    <hyperlink ref="G97" r:id="rId289" xr:uid="{71EED9EE-1538-47A8-B475-F806C1C81980}"/>
    <hyperlink ref="G98" r:id="rId290" xr:uid="{61FFF70D-34FE-41FA-BC1F-27130CFCEEBB}"/>
    <hyperlink ref="G99" r:id="rId291" xr:uid="{5EB64F97-7D83-466B-973E-4342E68BCF9E}"/>
    <hyperlink ref="G100" r:id="rId292" xr:uid="{24A3BDE4-F9E7-4E4D-A688-D5E5D2D19CC8}"/>
    <hyperlink ref="G101" r:id="rId293" xr:uid="{DA09AB68-CDA5-48BE-9E23-1B2E98FB3DB8}"/>
    <hyperlink ref="G102" r:id="rId294" xr:uid="{EE730292-167F-4ADC-B046-B3FA874023FB}"/>
    <hyperlink ref="G103" r:id="rId295" xr:uid="{65EF5DCE-61C3-4824-9D19-7E2D151F0DB2}"/>
    <hyperlink ref="G104" r:id="rId296" xr:uid="{0FAA3A20-DD96-4E11-8E64-CEBF2F514F9C}"/>
    <hyperlink ref="G105" r:id="rId297" xr:uid="{30E3A2BE-A87B-4886-85E6-222A80F516EF}"/>
    <hyperlink ref="G106" r:id="rId298" xr:uid="{B800E7BA-60C5-458D-BBAE-F646C9E45EBE}"/>
    <hyperlink ref="G107" r:id="rId299" xr:uid="{0D6DA300-957C-453F-8039-0F532EE0DE17}"/>
    <hyperlink ref="G108" r:id="rId300" xr:uid="{AB922A13-3925-42A1-BA20-A82CDBA39376}"/>
    <hyperlink ref="G109" r:id="rId301" xr:uid="{A4AEA2B5-C5A2-4550-9220-6FE40157C9ED}"/>
    <hyperlink ref="H43" r:id="rId302" xr:uid="{31128095-1A8F-42E2-9C8D-C5E656317EF4}"/>
    <hyperlink ref="H44" r:id="rId303" xr:uid="{3CDBAF9E-8638-42D2-93F9-E6EED402D7E0}"/>
    <hyperlink ref="H45" r:id="rId304" xr:uid="{4E7441F5-E9C5-4EFD-BBE0-90C5ECC515E0}"/>
    <hyperlink ref="H46" r:id="rId305" xr:uid="{A6195995-5025-453B-AE14-1469142BA533}"/>
    <hyperlink ref="H47" r:id="rId306" xr:uid="{6E654235-11EE-401A-B52C-8E677E59241B}"/>
    <hyperlink ref="H48" r:id="rId307" xr:uid="{A5A5E9FC-3261-403A-9A45-03D127539153}"/>
    <hyperlink ref="H49" r:id="rId308" xr:uid="{E938E226-3DCB-4E76-8902-5DBF2E760326}"/>
    <hyperlink ref="H50" r:id="rId309" xr:uid="{7E26BF36-E3CD-481F-A3BB-6316A598856B}"/>
    <hyperlink ref="H51" r:id="rId310" xr:uid="{F53B01B6-747A-473D-B455-FF2C63375910}"/>
    <hyperlink ref="H52" r:id="rId311" xr:uid="{0FAEDCF8-7498-40BC-88E3-674D3637582F}"/>
    <hyperlink ref="H53" r:id="rId312" xr:uid="{A8D04672-EAC3-4D2E-A399-DEA05CBF3ECB}"/>
    <hyperlink ref="H54" r:id="rId313" xr:uid="{0A01B055-67CA-4AE6-859D-F9BFDC3AE0C9}"/>
    <hyperlink ref="H55" r:id="rId314" xr:uid="{49322FB1-11F5-4853-9490-B009B97C1DCA}"/>
    <hyperlink ref="H56" r:id="rId315" xr:uid="{8CAC566A-9C4C-449B-B8FC-0FFC575469C1}"/>
    <hyperlink ref="H57" r:id="rId316" xr:uid="{4FE00AF8-5FCC-4CDA-BDD5-2169C9287503}"/>
    <hyperlink ref="H58" r:id="rId317" xr:uid="{F0B72BAF-D7A8-4517-B1EC-02327A44D5FB}"/>
    <hyperlink ref="H59" r:id="rId318" xr:uid="{92C43FEB-D9D1-4F06-999E-2149B89D5238}"/>
    <hyperlink ref="H60" r:id="rId319" xr:uid="{091661B0-DE22-4799-914D-CBC5ECAAB3E3}"/>
    <hyperlink ref="H61" r:id="rId320" xr:uid="{07704496-F42A-46C9-9E7C-2280C9E73363}"/>
    <hyperlink ref="H62" r:id="rId321" xr:uid="{B215F0D0-25D0-40C8-9508-9280CD4A175C}"/>
    <hyperlink ref="H63" r:id="rId322" xr:uid="{C2339F0F-D7D5-48A9-A27C-79823207DEE5}"/>
    <hyperlink ref="H64" r:id="rId323" xr:uid="{640F5B1F-D9DC-4BE8-B5C9-CAF7ABDD2FFE}"/>
    <hyperlink ref="H65" r:id="rId324" xr:uid="{70DABC99-F8B4-4098-9D37-A5CF31800980}"/>
    <hyperlink ref="H66" r:id="rId325" xr:uid="{98DD2880-1CA2-40DE-882D-68FA0EE095BE}"/>
    <hyperlink ref="H67" r:id="rId326" xr:uid="{D73044A8-0A48-4046-BFF0-344CB9485412}"/>
    <hyperlink ref="H68" r:id="rId327" xr:uid="{7BE1261D-26F9-4B0F-84B0-3F3A23897D80}"/>
    <hyperlink ref="H69" r:id="rId328" xr:uid="{3C3BF8F0-1200-45FD-A3A3-9CF67836B72E}"/>
    <hyperlink ref="H70" r:id="rId329" xr:uid="{B3BBF8AF-61C6-419B-8B56-B4917D4D0D99}"/>
    <hyperlink ref="H71" r:id="rId330" xr:uid="{9FE697FA-E442-4A53-B683-D670A0986D58}"/>
    <hyperlink ref="H72" r:id="rId331" xr:uid="{8AF7D2CD-CEB4-453B-AF0D-C9BCBB499C02}"/>
    <hyperlink ref="H73" r:id="rId332" xr:uid="{918B635D-9229-40E5-B962-F0F597D970A7}"/>
    <hyperlink ref="H74" r:id="rId333" xr:uid="{DAA36E28-801C-4CDC-92AE-3A638E2C7A53}"/>
    <hyperlink ref="H75" r:id="rId334" xr:uid="{0C3E24EF-2307-4B8C-AC4B-A673040BA2C5}"/>
    <hyperlink ref="H76" r:id="rId335" xr:uid="{4C64B1CB-C580-4DD1-86B6-D8B1539ED52E}"/>
    <hyperlink ref="H77" r:id="rId336" xr:uid="{3BE678FB-EDDF-47BE-9E47-0C94A30F9839}"/>
    <hyperlink ref="H78" r:id="rId337" xr:uid="{0B3A5C8A-9F2B-4879-8476-095C08DD63EB}"/>
    <hyperlink ref="H79" r:id="rId338" xr:uid="{08A53D86-274B-42F6-BF42-132093C436D7}"/>
    <hyperlink ref="H80" r:id="rId339" xr:uid="{F41FDC26-64E0-479F-97BC-1C4834F1F0AE}"/>
    <hyperlink ref="H81" r:id="rId340" xr:uid="{A33575EC-5D24-48D7-8BDB-C85836311465}"/>
    <hyperlink ref="H82" r:id="rId341" xr:uid="{89A11963-15A0-45C2-A825-DE20DE6E3C3C}"/>
    <hyperlink ref="H83" r:id="rId342" xr:uid="{09C42E73-08B4-4AA1-8AAE-C49EAD66EE36}"/>
    <hyperlink ref="H84" r:id="rId343" xr:uid="{1317B63A-01C1-4BD7-A7CF-C686DE77A75D}"/>
    <hyperlink ref="H85" r:id="rId344" xr:uid="{08970CB6-84BD-4889-AA40-C66EA1A2864E}"/>
    <hyperlink ref="H86" r:id="rId345" xr:uid="{06A6DD49-5E18-478D-A8B8-1506494308D7}"/>
    <hyperlink ref="H87" r:id="rId346" xr:uid="{7D4A79EC-9141-4132-AD20-89E7AC82455D}"/>
    <hyperlink ref="H88" r:id="rId347" xr:uid="{F2708560-30BC-4612-945F-9AAE063B276B}"/>
    <hyperlink ref="H89" r:id="rId348" xr:uid="{50076439-D5C2-4A28-B7BA-F3333B618CE7}"/>
    <hyperlink ref="H90" r:id="rId349" xr:uid="{55D123F0-6366-4DC5-8588-CB69D9BB074E}"/>
    <hyperlink ref="H91" r:id="rId350" xr:uid="{56B0252D-9F10-4ACE-8BA9-09D62F5D17E8}"/>
    <hyperlink ref="H92" r:id="rId351" xr:uid="{50B25687-841B-4203-87BB-6D4AC077B162}"/>
    <hyperlink ref="H93" r:id="rId352" xr:uid="{8E0747CC-637B-470E-87FC-C35EAA11A921}"/>
    <hyperlink ref="H94" r:id="rId353" xr:uid="{D4D56A8C-9E5D-4004-A98A-EC52D5ACA07F}"/>
    <hyperlink ref="H95" r:id="rId354" xr:uid="{31269541-BFF3-4368-94DA-2529F57CF9B7}"/>
    <hyperlink ref="H96" r:id="rId355" xr:uid="{E7E85D4B-0F95-41D5-B628-CE465E754A3B}"/>
    <hyperlink ref="H97" r:id="rId356" xr:uid="{998683A4-ED5F-43CD-BFF9-8EB7E1518583}"/>
    <hyperlink ref="H98" r:id="rId357" xr:uid="{368609D7-17F4-405F-B1E0-B257F9C5F9A2}"/>
    <hyperlink ref="H99" r:id="rId358" xr:uid="{C5C84BD0-47F5-4459-BE22-26EEA79D1CED}"/>
    <hyperlink ref="H100" r:id="rId359" xr:uid="{F996C1D9-53C6-427A-AE5C-19C62B961A04}"/>
    <hyperlink ref="H101" r:id="rId360" xr:uid="{2B2E752E-5069-422F-BD29-7180145AF795}"/>
    <hyperlink ref="H102" r:id="rId361" xr:uid="{D323AA5C-D87E-4D0D-993A-7B76C9718D2F}"/>
    <hyperlink ref="H103" r:id="rId362" xr:uid="{BF828E94-109F-4B76-BF35-2D58353602A8}"/>
    <hyperlink ref="H104" r:id="rId363" xr:uid="{04B3A5E7-C08C-4A6F-9670-6B75A37C5E50}"/>
    <hyperlink ref="H105" r:id="rId364" xr:uid="{7A6F6096-D739-4633-BB9E-10DE46CDB918}"/>
    <hyperlink ref="H106" r:id="rId365" xr:uid="{9E8C8F27-B920-49F2-B5BC-030D691717B4}"/>
    <hyperlink ref="H107" r:id="rId366" xr:uid="{FC24B158-7448-4D7E-A30A-9E2E9D72FD3D}"/>
    <hyperlink ref="H108" r:id="rId367" xr:uid="{0094980A-1F10-43DA-A389-87242D1CEE53}"/>
    <hyperlink ref="H109" r:id="rId368" xr:uid="{5AD44CD4-6B76-4CFB-840B-3E7B713D5201}"/>
    <hyperlink ref="I43" r:id="rId369" xr:uid="{AC02D867-76DC-4236-8F3A-351E39064460}"/>
    <hyperlink ref="I44" r:id="rId370" xr:uid="{E5B7077E-48E7-4652-8805-8ABDB7327DD8}"/>
    <hyperlink ref="I45" r:id="rId371" xr:uid="{2ADD7A70-3BEB-48C5-B629-F0AB088B9AE6}"/>
    <hyperlink ref="I46" r:id="rId372" xr:uid="{D0C83851-0243-4D12-A47F-E3C48C250635}"/>
    <hyperlink ref="I47" r:id="rId373" xr:uid="{16D7B880-79D2-4BE8-938C-4496A69E633E}"/>
    <hyperlink ref="I48" r:id="rId374" xr:uid="{8FC80C6B-BDDC-4100-B6C0-9C61F8BF0F98}"/>
    <hyperlink ref="I49" r:id="rId375" xr:uid="{4613D1C8-ED8E-49F9-B51D-2060BB08460C}"/>
    <hyperlink ref="I50" r:id="rId376" xr:uid="{FFA0863D-9B11-499C-8892-B56686B426C5}"/>
    <hyperlink ref="I51" r:id="rId377" xr:uid="{09620C45-8F06-4640-927D-56FAE857610B}"/>
    <hyperlink ref="I52" r:id="rId378" xr:uid="{50FE6C7F-0551-4CF9-8AA3-58F5040A9A0F}"/>
    <hyperlink ref="I53" r:id="rId379" xr:uid="{B4920E49-F888-4A95-92CB-33375D2E38D0}"/>
    <hyperlink ref="I54" r:id="rId380" xr:uid="{2FED8F50-CC43-4729-9144-4C634936FE48}"/>
    <hyperlink ref="I55" r:id="rId381" xr:uid="{EA02FDBE-95FB-40F8-979F-AD15D9EEC722}"/>
    <hyperlink ref="I56" r:id="rId382" xr:uid="{05E54821-B3ED-40DE-9B40-8776E6AB91A8}"/>
    <hyperlink ref="I57" r:id="rId383" xr:uid="{2395295F-7AA9-4D80-B468-CFECA79C4AC4}"/>
    <hyperlink ref="I58" r:id="rId384" xr:uid="{EB81E6D3-81AD-4800-BC42-8AD9D32A7DB2}"/>
    <hyperlink ref="I59" r:id="rId385" xr:uid="{225E84E1-DD72-45FE-B590-B233902B40D9}"/>
    <hyperlink ref="I60" r:id="rId386" xr:uid="{9D7A9CCA-7AD3-4D15-BDB0-51FEB4C6D19C}"/>
    <hyperlink ref="I61" r:id="rId387" xr:uid="{E3CF4B14-684D-40A5-AF0A-D5422A021A73}"/>
    <hyperlink ref="I62" r:id="rId388" xr:uid="{53847DA0-A2C5-4DA8-8B19-6653498DED10}"/>
    <hyperlink ref="I63" r:id="rId389" xr:uid="{9E6BA9F4-017A-4631-9BF7-C0C361AA7F9B}"/>
    <hyperlink ref="I64" r:id="rId390" xr:uid="{A38BA2D5-3AFC-4441-A1CC-1F10B1318CF2}"/>
    <hyperlink ref="I65" r:id="rId391" xr:uid="{1BB95832-3577-4E48-80E9-842D6301580A}"/>
    <hyperlink ref="I66" r:id="rId392" xr:uid="{6FFBE75D-A99A-478A-A77D-27196295496B}"/>
    <hyperlink ref="I67" r:id="rId393" xr:uid="{F800E2EF-9FC7-4D64-98A7-173D8E6072BA}"/>
    <hyperlink ref="I68" r:id="rId394" xr:uid="{EF3C77C0-F2E9-484E-A777-81AE2F54BC3C}"/>
    <hyperlink ref="I69" r:id="rId395" xr:uid="{990F3850-47DD-420C-AC37-A623B0422168}"/>
    <hyperlink ref="I70" r:id="rId396" xr:uid="{A8583ABD-FA4C-499C-A5E8-A9FF7E3CA751}"/>
    <hyperlink ref="I71" r:id="rId397" xr:uid="{8AF4539F-4D0F-4C4E-BB94-90A084595AF2}"/>
    <hyperlink ref="I72" r:id="rId398" xr:uid="{8D33C381-8D6C-4DF8-A0D2-D2092359C18D}"/>
    <hyperlink ref="I73" r:id="rId399" xr:uid="{5F3FC8C8-3EAA-4ECD-9969-303EDCABE90C}"/>
    <hyperlink ref="I74" r:id="rId400" xr:uid="{6217198F-2ECA-4F61-8267-0AB5378600A0}"/>
    <hyperlink ref="I75" r:id="rId401" xr:uid="{E27C64B8-8FD2-421A-BF60-2CDA4F9EF67E}"/>
    <hyperlink ref="I76" r:id="rId402" xr:uid="{DD4327AF-D6E3-41FC-BAD2-69ACD48341D2}"/>
    <hyperlink ref="I77" r:id="rId403" xr:uid="{23533A75-425D-4D12-94AE-40AE681E814A}"/>
    <hyperlink ref="I78" r:id="rId404" xr:uid="{417F6C1F-9044-4A13-BF7B-C2EA8BED305B}"/>
    <hyperlink ref="I79" r:id="rId405" xr:uid="{4A12D55F-D198-4F0F-B8AF-3D79D9AA9ABF}"/>
    <hyperlink ref="I80" r:id="rId406" xr:uid="{E2FB814C-C6C4-4476-BF04-7B34137E1A60}"/>
    <hyperlink ref="I81" r:id="rId407" xr:uid="{7E2AADD5-4AE1-44D8-94E1-EC4358B2BAE5}"/>
    <hyperlink ref="I82" r:id="rId408" xr:uid="{97B55831-3A79-4638-A5B4-01EC082A22CA}"/>
    <hyperlink ref="I83" r:id="rId409" xr:uid="{56462B20-A703-4EDA-8053-D785E5F658E8}"/>
    <hyperlink ref="I84" r:id="rId410" xr:uid="{7DC597DF-2D21-4B7C-97A4-7071904DAF82}"/>
    <hyperlink ref="I85" r:id="rId411" xr:uid="{CEA72F84-6041-4B87-BAED-EBADE6CD9771}"/>
    <hyperlink ref="I86" r:id="rId412" xr:uid="{86B36570-ACE7-440B-9354-47E75D22A4A4}"/>
    <hyperlink ref="I87" r:id="rId413" xr:uid="{E68BB2A0-471D-4F06-996F-F334F8057B91}"/>
    <hyperlink ref="I88" r:id="rId414" xr:uid="{2D7995D4-6CF4-4FB6-B133-695AA0399CCA}"/>
    <hyperlink ref="I89" r:id="rId415" xr:uid="{732ADDB8-4563-49E9-9983-AE4D00A1288B}"/>
    <hyperlink ref="I90" r:id="rId416" xr:uid="{C13E6540-004E-45B0-B2E6-4B1D7EA0596C}"/>
    <hyperlink ref="I91" r:id="rId417" xr:uid="{60BCE11B-EBB5-49D5-995F-C72A58F5995E}"/>
    <hyperlink ref="I92" r:id="rId418" xr:uid="{78C1A06B-88C0-4D92-9BAA-8FE3F12272F5}"/>
    <hyperlink ref="I93" r:id="rId419" xr:uid="{4EFF9391-FE24-428A-8776-EBA8EBA94F19}"/>
    <hyperlink ref="I94" r:id="rId420" xr:uid="{4780992E-202A-4505-9FF7-DAF6D6B77979}"/>
    <hyperlink ref="I95" r:id="rId421" xr:uid="{053AEEBA-AB33-4AFF-8AA8-E8E0A495460D}"/>
    <hyperlink ref="I96" r:id="rId422" xr:uid="{ACDF4234-5CFA-4785-A606-603CE8052CA5}"/>
    <hyperlink ref="I97" r:id="rId423" xr:uid="{AD4E38B0-C8EB-4CA6-86C1-1B9EFF278084}"/>
    <hyperlink ref="I98" r:id="rId424" xr:uid="{23FB8F34-C6B5-4470-9480-44973DE68350}"/>
    <hyperlink ref="I99" r:id="rId425" xr:uid="{90C2C36B-3E77-47BA-8C21-1B5CC1486F61}"/>
    <hyperlink ref="I100" r:id="rId426" xr:uid="{A9FA3440-9ADC-48BA-9972-BEB0113B5A45}"/>
    <hyperlink ref="I101" r:id="rId427" xr:uid="{7B9D59FE-0E09-48E0-9024-8FC28C9132C7}"/>
    <hyperlink ref="I102" r:id="rId428" xr:uid="{66EC54FB-175E-46AC-86A9-0CD2FAC67FB8}"/>
    <hyperlink ref="I103" r:id="rId429" xr:uid="{8472761F-AF3D-4543-B20B-364D4B2FE7B6}"/>
    <hyperlink ref="I104" r:id="rId430" xr:uid="{6B1718C9-27CC-47A0-AE30-618B82F03314}"/>
    <hyperlink ref="I105" r:id="rId431" xr:uid="{FC590AD3-8294-4F18-902B-9F32A7433081}"/>
    <hyperlink ref="I106" r:id="rId432" xr:uid="{764D7FDF-5C32-407F-ADCB-F7EB4C382C4B}"/>
    <hyperlink ref="I107" r:id="rId433" xr:uid="{ED705BDE-71F4-4476-BE19-BD4EDA74C716}"/>
    <hyperlink ref="I108" r:id="rId434" xr:uid="{70DF3DBE-D99A-4CCD-8427-3A2C792BCC37}"/>
    <hyperlink ref="I109" r:id="rId435" xr:uid="{2D8999F8-2038-454B-B621-5ABB2E057518}"/>
    <hyperlink ref="G146" r:id="rId436" xr:uid="{9093BFD7-A40B-48F3-9B72-AF6DB33197C5}"/>
    <hyperlink ref="G147" r:id="rId437" xr:uid="{9638C304-03C7-4782-A022-4A597AF9BF3F}"/>
    <hyperlink ref="G148" r:id="rId438" xr:uid="{AA1E89A9-3FD7-4639-AD30-9B7DD9789A81}"/>
    <hyperlink ref="G149" r:id="rId439" xr:uid="{61AC499B-E8E7-4E85-A538-2162C965ED49}"/>
    <hyperlink ref="G150" r:id="rId440" xr:uid="{BE3CBD43-C9DE-45E5-B123-2B639C0C7694}"/>
    <hyperlink ref="G151" r:id="rId441" xr:uid="{981F4B04-5182-49B4-9C56-5EFF1B5FC2C6}"/>
    <hyperlink ref="G152" r:id="rId442" xr:uid="{23DDE6A3-22B6-433C-8E51-E589735A6FC5}"/>
    <hyperlink ref="G153" r:id="rId443" xr:uid="{E40D025B-4F00-4FE5-B9AA-73015F273ED8}"/>
    <hyperlink ref="G154" r:id="rId444" xr:uid="{0CB75EE0-0F88-4465-9ADF-5CB8E6AB4D12}"/>
    <hyperlink ref="G155" r:id="rId445" xr:uid="{1140C369-52A3-4C0C-BC39-85B6CFA88309}"/>
    <hyperlink ref="G156" r:id="rId446" xr:uid="{55130981-0FF4-459D-AA7F-85D7BB79D788}"/>
    <hyperlink ref="G157" r:id="rId447" xr:uid="{3AA75A49-60D2-4B16-9A7E-EB0775E77F61}"/>
    <hyperlink ref="G158" r:id="rId448" xr:uid="{940C29F4-AF54-484A-8FA2-2272B6373696}"/>
    <hyperlink ref="G159" r:id="rId449" xr:uid="{44075BA1-6308-46F4-A436-F7A9EB5E1053}"/>
    <hyperlink ref="G160" r:id="rId450" xr:uid="{36E0E000-6433-4E2E-B333-13D8FCA70CFF}"/>
    <hyperlink ref="G161" r:id="rId451" xr:uid="{0FA540FF-9BA9-4B20-A08D-752A51B36B10}"/>
    <hyperlink ref="G162" r:id="rId452" xr:uid="{8C3F8C3F-FB77-4C34-837C-EE8A1C5802E6}"/>
    <hyperlink ref="G163" r:id="rId453" xr:uid="{E1487D10-1539-4373-9677-5AB147BB4452}"/>
    <hyperlink ref="G164" r:id="rId454" xr:uid="{B1FD34F5-F7AD-4BE5-AF1C-FDEF888016F4}"/>
    <hyperlink ref="G165" r:id="rId455" xr:uid="{A730217C-A231-4351-A613-F49716EFB4B3}"/>
    <hyperlink ref="G166" r:id="rId456" xr:uid="{4413C240-BCB4-4896-8F91-57A470FB0162}"/>
    <hyperlink ref="G167" r:id="rId457" xr:uid="{8087B8A3-CFB7-4DEC-A769-05122586A95C}"/>
    <hyperlink ref="G168" r:id="rId458" xr:uid="{4D09D9DF-6A3C-4C01-AF0C-F1B15AA89E3A}"/>
    <hyperlink ref="G169" r:id="rId459" xr:uid="{14CC7847-9151-4A2C-BC68-FFA4F41B3325}"/>
    <hyperlink ref="G170" r:id="rId460" xr:uid="{834953B9-4A4F-4937-A339-FE89F4936701}"/>
    <hyperlink ref="G2" r:id="rId461" xr:uid="{66EC61BC-2BF3-44E5-9127-54DC6C31948F}"/>
    <hyperlink ref="G3" r:id="rId462" xr:uid="{6ADFFB14-87FE-4A4F-BA9C-25E5C03A3085}"/>
    <hyperlink ref="G4" r:id="rId463" xr:uid="{66A8688F-A8BB-476F-8574-C4639853FF29}"/>
    <hyperlink ref="G5" r:id="rId464" xr:uid="{A943D866-9C41-431D-AEA4-BB6D0D019FCA}"/>
    <hyperlink ref="G6" r:id="rId465" xr:uid="{FACB1E01-F124-4F9C-8645-F0A46549DFFB}"/>
    <hyperlink ref="G7" r:id="rId466" xr:uid="{18E6CE47-647E-447E-8E7C-5D850F85D29A}"/>
    <hyperlink ref="G8" r:id="rId467" xr:uid="{D6D0B268-5598-44B6-815C-6CC79FF5906D}"/>
    <hyperlink ref="G9" r:id="rId468" xr:uid="{92D5AD61-DE95-4AD1-A724-BFA0831AA040}"/>
    <hyperlink ref="G10" r:id="rId469" xr:uid="{06F67BFB-E66D-403F-ADC1-79770EF20E72}"/>
    <hyperlink ref="G11" r:id="rId470" xr:uid="{4F3CD819-4475-47E1-A8C7-BEB3BA7D3D04}"/>
    <hyperlink ref="G12" r:id="rId471" xr:uid="{5207D6FE-909E-4271-B7E1-B176C428BDC5}"/>
    <hyperlink ref="G13" r:id="rId472" xr:uid="{7D320A25-A579-46AB-A152-6401DC35B146}"/>
    <hyperlink ref="G14" r:id="rId473" xr:uid="{4BF1A593-E4CD-4613-A571-44F4FDB5962B}"/>
    <hyperlink ref="G15" r:id="rId474" xr:uid="{E3246C2E-00DD-4D0F-A178-04637E7F43BF}"/>
    <hyperlink ref="G16" r:id="rId475" xr:uid="{A7ABD75D-73D5-42BF-A43F-639FCAE7875D}"/>
    <hyperlink ref="G17" r:id="rId476" xr:uid="{8DA4C408-2D19-46CC-B25F-A1BE29264F73}"/>
    <hyperlink ref="G18" r:id="rId477" xr:uid="{70633E33-BE32-45A6-BF89-553D5FA81FC9}"/>
    <hyperlink ref="G19" r:id="rId478" xr:uid="{AA43C5BC-8BAC-40D3-9146-056EE84A7766}"/>
    <hyperlink ref="G20" r:id="rId479" xr:uid="{B1644B07-E1E3-43B7-B3BE-15CB00A4ECD9}"/>
    <hyperlink ref="G21" r:id="rId480" xr:uid="{B283A5C3-039C-417C-AF02-3EDD6557A3D3}"/>
    <hyperlink ref="G22" r:id="rId481" xr:uid="{5575F0FB-7B83-4D37-B6DD-611389E144B0}"/>
    <hyperlink ref="G23" r:id="rId482" xr:uid="{CA40648F-FEB5-404C-8B1B-339F02035A1F}"/>
    <hyperlink ref="G24" r:id="rId483" xr:uid="{5B218EE5-B5F5-4B96-A956-F42FF0C7B405}"/>
    <hyperlink ref="G25" r:id="rId484" xr:uid="{BA18BEF0-65B2-406E-9068-6EF392074BB2}"/>
    <hyperlink ref="G26" r:id="rId485" xr:uid="{FC64F440-F721-45EB-86C4-4A0A6DD550F8}"/>
    <hyperlink ref="G27" r:id="rId486" xr:uid="{578FC9AF-9DE8-4E5A-B0F3-69463DD7D40B}"/>
    <hyperlink ref="G28" r:id="rId487" xr:uid="{9437394B-0C4E-4CBF-916C-3D5B8A09176E}"/>
    <hyperlink ref="G29" r:id="rId488" xr:uid="{EE21EE4D-CF51-4083-8633-9EF3A36EE27C}"/>
    <hyperlink ref="G30" r:id="rId489" xr:uid="{2332AEAB-FC3F-44CD-B164-CE6E9CF0914D}"/>
    <hyperlink ref="G110" r:id="rId490" xr:uid="{65C6D13F-E272-4A2B-893B-FE19DE8700E4}"/>
    <hyperlink ref="G111" r:id="rId491" xr:uid="{BB154F7F-3421-46E6-89E4-BF1680309341}"/>
    <hyperlink ref="G112" r:id="rId492" xr:uid="{8E921145-8F02-41C1-BD1F-70103A1C1791}"/>
    <hyperlink ref="G113" r:id="rId493" xr:uid="{454845D8-5144-4CC1-937C-B407B119C288}"/>
    <hyperlink ref="G114" r:id="rId494" xr:uid="{874AD5CB-87D9-4641-AF54-B371196E0208}"/>
    <hyperlink ref="G115" r:id="rId495" xr:uid="{CC487547-F964-48AA-BC74-0CDF2DBAD69D}"/>
    <hyperlink ref="G116" r:id="rId496" xr:uid="{CA0EF4DC-5185-4186-AF74-CE936FCD7D86}"/>
    <hyperlink ref="G117" r:id="rId497" xr:uid="{13E94B61-68CD-4252-A89D-B1A389100048}"/>
    <hyperlink ref="G118" r:id="rId498" xr:uid="{AEB750C2-605C-4058-93A2-55A3B49C31DE}"/>
    <hyperlink ref="G119" r:id="rId499" xr:uid="{4CFFDEEE-D494-4234-8FAF-1153DFAC5457}"/>
    <hyperlink ref="G120" r:id="rId500" xr:uid="{247D1B71-EE33-49E6-B126-C9A1B4A090A3}"/>
    <hyperlink ref="G121" r:id="rId501" xr:uid="{76004DEA-6B64-453C-B4C5-7E1893B01811}"/>
    <hyperlink ref="G122" r:id="rId502" xr:uid="{BBBABAC3-1460-41DB-90B9-FDBDA943B642}"/>
    <hyperlink ref="G123" r:id="rId503" xr:uid="{916BDBF2-A2E2-4687-B463-369A3980CB2D}"/>
    <hyperlink ref="G124" r:id="rId504" xr:uid="{E382DEC3-2E2F-4FFE-B81F-476AC791E09F}"/>
    <hyperlink ref="G125" r:id="rId505" xr:uid="{54EB4F79-B50A-4CA7-999D-016560CE0071}"/>
    <hyperlink ref="H146" r:id="rId506" xr:uid="{E80133D0-C40C-4A6C-9CC1-9D9CE80FE26F}"/>
    <hyperlink ref="H147" r:id="rId507" xr:uid="{27861A31-5EFB-4EE2-8E23-B52E840B7C33}"/>
    <hyperlink ref="H148" r:id="rId508" xr:uid="{31D2D1B6-5327-4B9A-8EE1-186D0B4BFA6F}"/>
    <hyperlink ref="H149" r:id="rId509" xr:uid="{F32F9823-D3A2-4874-BF46-90891510A831}"/>
    <hyperlink ref="H150" r:id="rId510" xr:uid="{F5A77B4C-0F37-4E4E-A51A-CACAFAE00EEC}"/>
    <hyperlink ref="H151" r:id="rId511" xr:uid="{703E119F-9337-4136-8FCD-FAFD4414517E}"/>
    <hyperlink ref="H152" r:id="rId512" xr:uid="{05026DAB-6E1C-43E3-A3CB-C58AAA095DFE}"/>
    <hyperlink ref="H153" r:id="rId513" xr:uid="{5423DE79-43D6-4E1A-9537-A7EE94B418AD}"/>
    <hyperlink ref="H154" r:id="rId514" xr:uid="{57784918-85D4-4956-B0FD-1933A46A6692}"/>
    <hyperlink ref="H155" r:id="rId515" xr:uid="{A520F3E3-F6E3-4E31-B514-30F4CD79E4A2}"/>
    <hyperlink ref="H156" r:id="rId516" xr:uid="{AD44BF77-1D2C-41AA-B13B-5992780982BB}"/>
    <hyperlink ref="H157" r:id="rId517" xr:uid="{8AA1D1FE-5962-4B07-BF63-C77BFCF125F5}"/>
    <hyperlink ref="H158" r:id="rId518" xr:uid="{1188E723-FE21-4F87-8C43-434542ADD17B}"/>
    <hyperlink ref="H159" r:id="rId519" xr:uid="{7764876F-D06D-4612-8E7E-35FA4EA70B99}"/>
    <hyperlink ref="H160" r:id="rId520" xr:uid="{1A8C34FE-D34E-46BE-91A7-B8C2A4FA5DAB}"/>
    <hyperlink ref="H161" r:id="rId521" xr:uid="{D6A98993-2096-4160-BC22-45DD5903078A}"/>
    <hyperlink ref="H162" r:id="rId522" xr:uid="{84ACFC97-0B58-4C7C-945C-13D75A69BFD1}"/>
    <hyperlink ref="H163" r:id="rId523" xr:uid="{DBF4514B-F094-44BB-B781-423EC64614AE}"/>
    <hyperlink ref="H164" r:id="rId524" xr:uid="{F2BB6CA2-8AAB-4D07-A771-B21D12F6A9AC}"/>
    <hyperlink ref="H165" r:id="rId525" xr:uid="{9C6B1494-FE0C-452F-9871-3E882440F24D}"/>
    <hyperlink ref="H166" r:id="rId526" xr:uid="{5C9448BD-45CB-424A-9437-F634F9F5B4C5}"/>
    <hyperlink ref="H167" r:id="rId527" xr:uid="{0AE623A5-110C-4B20-B774-6947C002764E}"/>
    <hyperlink ref="H168" r:id="rId528" xr:uid="{3DBD69A6-F150-4746-938F-0784235F015E}"/>
    <hyperlink ref="H169" r:id="rId529" xr:uid="{C543225A-66EA-450D-8A75-1C6225CAA738}"/>
    <hyperlink ref="H170" r:id="rId530" xr:uid="{195BD6E2-8277-4887-8024-98F4CFCD01D3}"/>
    <hyperlink ref="H2" r:id="rId531" xr:uid="{758A73FB-768B-4CC7-BAFA-EA2F703287A8}"/>
    <hyperlink ref="H3" r:id="rId532" xr:uid="{7A31F184-54B0-4C5F-9FB0-329AA1C69333}"/>
    <hyperlink ref="H4" r:id="rId533" xr:uid="{F76627AE-6E87-4CD9-9EAB-7BA3CC2B5501}"/>
    <hyperlink ref="H5" r:id="rId534" xr:uid="{A1911BA5-C68A-4D13-AD93-470D2122A8C6}"/>
    <hyperlink ref="H6" r:id="rId535" xr:uid="{48F09984-AF20-4EB8-8C0B-82F42BDFF0BE}"/>
    <hyperlink ref="H7" r:id="rId536" xr:uid="{51F3E635-136E-4CF1-B6BC-168F264CDEEB}"/>
    <hyperlink ref="H8" r:id="rId537" xr:uid="{1205A9A5-DFCF-48F9-8955-CAAEAD9CABBA}"/>
    <hyperlink ref="H9" r:id="rId538" xr:uid="{8C30CBF6-4EFD-45F5-A7F0-4D94E1A6A8F5}"/>
    <hyperlink ref="H10" r:id="rId539" xr:uid="{F51B6599-1B2E-4FE8-85BD-E499810F0171}"/>
    <hyperlink ref="H11" r:id="rId540" xr:uid="{FE27DDD0-B77A-444B-AA69-086AFFBC4C34}"/>
    <hyperlink ref="H12" r:id="rId541" xr:uid="{DD776AAA-6DF4-4628-A7B3-17C725050881}"/>
    <hyperlink ref="H13" r:id="rId542" xr:uid="{592C969B-D8E6-4F10-9DDC-3BEFC93DC616}"/>
    <hyperlink ref="H14" r:id="rId543" xr:uid="{19C87A2C-9D05-400D-B6F9-2F94D4987D7E}"/>
    <hyperlink ref="H15" r:id="rId544" xr:uid="{572ADE8E-3B32-456E-ADF8-9ECA9E50622C}"/>
    <hyperlink ref="H16" r:id="rId545" xr:uid="{9CD05BC2-05BC-4710-B305-E2F35A449C63}"/>
    <hyperlink ref="H17" r:id="rId546" xr:uid="{3195AFB0-C15C-4421-9092-05632123CC7D}"/>
    <hyperlink ref="H18" r:id="rId547" xr:uid="{BF40D8DD-4090-4D25-BB28-20439A9F95FD}"/>
    <hyperlink ref="H19" r:id="rId548" xr:uid="{CD590FAA-EE57-41F6-ACEA-B6BEE9999DA3}"/>
    <hyperlink ref="H20" r:id="rId549" xr:uid="{96D1752A-4859-47E1-A476-C1608F76FE59}"/>
    <hyperlink ref="H21" r:id="rId550" xr:uid="{E08E1443-E686-48F6-9F9E-FAF3766B06A5}"/>
    <hyperlink ref="H22" r:id="rId551" xr:uid="{877C948F-0515-426B-B070-5A76B23EB605}"/>
    <hyperlink ref="H23" r:id="rId552" xr:uid="{BB6F6F52-B67E-4B53-A114-16F5D19A02FB}"/>
    <hyperlink ref="H24" r:id="rId553" xr:uid="{63E93A68-8FB1-409E-A9C4-898A995C6E5D}"/>
    <hyperlink ref="H25" r:id="rId554" xr:uid="{767D4D8E-4804-4FAB-9A23-910532B989BE}"/>
    <hyperlink ref="H26" r:id="rId555" xr:uid="{A39E46AF-6B16-4865-9D95-08D998A682F0}"/>
    <hyperlink ref="H27" r:id="rId556" xr:uid="{D8E5BD1F-593F-4B07-9BB8-BE7EFBEDA897}"/>
    <hyperlink ref="H28" r:id="rId557" xr:uid="{9DC0F41C-A4A1-482C-B7F7-72779134D73E}"/>
    <hyperlink ref="H29" r:id="rId558" xr:uid="{C4DDD2DF-9D92-43B5-A460-95742F38D3CC}"/>
    <hyperlink ref="H30" r:id="rId559" xr:uid="{44C480D5-3931-4661-81E0-8AC2B06C9273}"/>
    <hyperlink ref="H110" r:id="rId560" xr:uid="{D9B90256-95BA-4AA0-B021-6591F90C96CE}"/>
    <hyperlink ref="H111" r:id="rId561" xr:uid="{DE0DA414-2D0A-416A-AB5B-C970ADA9B0A8}"/>
    <hyperlink ref="H112" r:id="rId562" xr:uid="{E4520145-0EE8-484A-9078-37160CD67928}"/>
    <hyperlink ref="H113" r:id="rId563" xr:uid="{C6CD2391-50CC-4255-A838-CE55346C765E}"/>
    <hyperlink ref="H114" r:id="rId564" xr:uid="{E5FA656B-5AB4-44C3-8E43-8B9B96E3F998}"/>
    <hyperlink ref="H115" r:id="rId565" xr:uid="{A9E8D993-B278-467E-956E-5A5DBF9C423A}"/>
    <hyperlink ref="H116" r:id="rId566" xr:uid="{218DDF8A-F7C1-4A78-8114-A2B1AA7F92D8}"/>
    <hyperlink ref="H117" r:id="rId567" xr:uid="{154D6425-B5BA-4404-BD71-99996EDFF0C6}"/>
    <hyperlink ref="H118" r:id="rId568" xr:uid="{5B1193F2-E282-493C-B313-96E497983753}"/>
    <hyperlink ref="H119" r:id="rId569" xr:uid="{E4594E56-27A6-4210-AA19-6E101A0A72F0}"/>
    <hyperlink ref="H120" r:id="rId570" xr:uid="{4879FA46-E63A-4DC2-8827-201A607408BF}"/>
    <hyperlink ref="H121" r:id="rId571" xr:uid="{17825DFC-1D89-4BD3-A8C6-38C304534A43}"/>
    <hyperlink ref="H122" r:id="rId572" xr:uid="{7DD5DDF8-041A-4D75-A24C-68803ED46FA6}"/>
    <hyperlink ref="H123" r:id="rId573" xr:uid="{B89A5873-7DB7-4793-90FE-993BCEE4D163}"/>
    <hyperlink ref="H124" r:id="rId574" xr:uid="{F825CDAE-0B6B-4C92-9866-BBE54F378C91}"/>
    <hyperlink ref="H125" r:id="rId575" xr:uid="{792C05D3-C888-4B59-B530-ED34DDA679B1}"/>
    <hyperlink ref="I146" r:id="rId576" xr:uid="{9F040C39-0219-427C-B523-7F4BF71D7505}"/>
    <hyperlink ref="I147" r:id="rId577" xr:uid="{9E2D4AD7-5E66-4A58-836F-038D8C93792D}"/>
    <hyperlink ref="I148" r:id="rId578" xr:uid="{03B7FEC5-40F4-477A-A83D-088789A10436}"/>
    <hyperlink ref="I149" r:id="rId579" xr:uid="{25999E0B-B22E-49EC-9504-BF0A8D7DC0F0}"/>
    <hyperlink ref="I150" r:id="rId580" xr:uid="{DF721ACC-41DE-474E-8D3F-5DEE8ACC2AC2}"/>
    <hyperlink ref="I151" r:id="rId581" xr:uid="{CA826742-EFA8-4BBC-B6D5-560F2BE3D2B1}"/>
    <hyperlink ref="I152" r:id="rId582" xr:uid="{C9C7F3BD-E0BE-4D13-9033-4107888C0856}"/>
    <hyperlink ref="I153" r:id="rId583" xr:uid="{9DF10921-A588-4D83-ABAF-0A7FD22D2CF0}"/>
    <hyperlink ref="I154" r:id="rId584" xr:uid="{BDC57C19-95EE-43FB-838A-ED4909956570}"/>
    <hyperlink ref="I155" r:id="rId585" xr:uid="{3DE5CB58-09DE-4692-91AF-A6441A6836FD}"/>
    <hyperlink ref="I156" r:id="rId586" xr:uid="{CFD67E86-B4F3-41B4-B07C-C5FC635F0DF5}"/>
    <hyperlink ref="I157" r:id="rId587" xr:uid="{2CE42512-F4AF-416F-B515-5BDAB102D106}"/>
    <hyperlink ref="I158" r:id="rId588" xr:uid="{313FF86D-6C2B-4AE6-BE45-670845299C36}"/>
    <hyperlink ref="I159" r:id="rId589" xr:uid="{0E51C59C-AC5C-4C38-B771-2F8881028443}"/>
    <hyperlink ref="I160" r:id="rId590" xr:uid="{C59B2653-6C19-4C29-8530-1157AB34AB4F}"/>
    <hyperlink ref="I161" r:id="rId591" xr:uid="{920E3106-4C3A-4063-9C3E-88FAF96CB36B}"/>
    <hyperlink ref="I162" r:id="rId592" xr:uid="{AEB337A8-F611-461E-91D3-878C4BEB056B}"/>
    <hyperlink ref="I163" r:id="rId593" xr:uid="{7AFE91B9-C830-4629-9E5C-C7C7A4A67FE2}"/>
    <hyperlink ref="I164" r:id="rId594" xr:uid="{5D0D9EE3-874D-42E3-A72D-07E7F1FA141E}"/>
    <hyperlink ref="I165" r:id="rId595" xr:uid="{779951BC-66A2-4762-B26E-66535F728532}"/>
    <hyperlink ref="I166" r:id="rId596" xr:uid="{8D03A7FC-5F91-4E41-BDA0-076649C13C9C}"/>
    <hyperlink ref="I167" r:id="rId597" xr:uid="{EFFBA186-2B33-49B4-B1EB-4E597CF01F3A}"/>
    <hyperlink ref="I168" r:id="rId598" xr:uid="{687FAECD-1B05-406F-8E26-62B1F181315B}"/>
    <hyperlink ref="I169" r:id="rId599" xr:uid="{698F76A2-0BC8-48F5-A792-F9A591279674}"/>
    <hyperlink ref="I170" r:id="rId600" xr:uid="{55609194-9D25-4AD1-97C7-480AA1E8C58B}"/>
    <hyperlink ref="I2" r:id="rId601" xr:uid="{FA68AD01-E6C5-40CC-9016-4ABAF3E5E134}"/>
    <hyperlink ref="I3" r:id="rId602" xr:uid="{B280F4CD-A3F2-4688-967A-66919F0DF2AC}"/>
    <hyperlink ref="I4" r:id="rId603" xr:uid="{08F4C813-1731-406D-B981-9C3CA26B34F3}"/>
    <hyperlink ref="I5" r:id="rId604" xr:uid="{8C5D9DD6-5438-4715-94B0-109AE81C4C14}"/>
    <hyperlink ref="I6" r:id="rId605" xr:uid="{B4A4F243-78C7-40D8-8224-FF1477E5724C}"/>
    <hyperlink ref="I7" r:id="rId606" xr:uid="{06BA29D7-6C4A-403C-8222-A020982EDDA4}"/>
    <hyperlink ref="I8" r:id="rId607" xr:uid="{FBCEAC74-FB4B-4B79-8843-29784E6EE2FD}"/>
    <hyperlink ref="I9" r:id="rId608" xr:uid="{E9C06466-2672-467B-AF40-CDDAC26EF1EA}"/>
    <hyperlink ref="I10" r:id="rId609" xr:uid="{F087174F-3940-4682-BAFE-A2F10DC59E2B}"/>
    <hyperlink ref="I11" r:id="rId610" xr:uid="{F59C96B4-6238-4B81-A3F7-D6FB4F33D1C6}"/>
    <hyperlink ref="I12" r:id="rId611" xr:uid="{53739F5F-68E2-419B-B50D-A67B38963EAD}"/>
    <hyperlink ref="I13" r:id="rId612" xr:uid="{8F49BD5B-5F0F-4CC6-A157-761084ADD98E}"/>
    <hyperlink ref="I14" r:id="rId613" xr:uid="{19EFF9D2-31FD-4A4E-84CB-10650BDA2545}"/>
    <hyperlink ref="I15" r:id="rId614" xr:uid="{B5EF4025-79C3-4226-B0BD-11E001A26739}"/>
    <hyperlink ref="I16" r:id="rId615" xr:uid="{F6EA34A6-CDA7-4826-8C59-61930496376E}"/>
    <hyperlink ref="I17" r:id="rId616" xr:uid="{8D597146-BD79-4340-8D64-1FCD8DD4498C}"/>
    <hyperlink ref="I18" r:id="rId617" xr:uid="{1F556AF6-BE90-4F56-AFE6-9D9F949168C2}"/>
    <hyperlink ref="I19" r:id="rId618" xr:uid="{18989C04-93A7-459C-8AB9-89BA5DD5B19D}"/>
    <hyperlink ref="I20" r:id="rId619" xr:uid="{0B4F4ECF-1E50-44F4-9E4D-72510B80DA51}"/>
    <hyperlink ref="I21" r:id="rId620" xr:uid="{B087BA57-2CB2-4C0D-849E-0F72B91FBFE3}"/>
    <hyperlink ref="I22" r:id="rId621" xr:uid="{FE1AE31F-2092-4571-BD97-6542AE210FEE}"/>
    <hyperlink ref="I23" r:id="rId622" xr:uid="{FF25335D-DEA0-4A95-9317-958E5537D57F}"/>
    <hyperlink ref="I24" r:id="rId623" xr:uid="{8B5BF3B3-948B-4207-A9C4-913A55AF78AA}"/>
    <hyperlink ref="I25" r:id="rId624" xr:uid="{3654D58E-0BA0-41B1-9495-6029F5689773}"/>
    <hyperlink ref="I26" r:id="rId625" xr:uid="{30AFFA9D-B890-482D-B6F5-1E8E4D7394A4}"/>
    <hyperlink ref="I27" r:id="rId626" xr:uid="{84CB1486-F4B8-431A-9D18-91AF9FE02774}"/>
    <hyperlink ref="I28" r:id="rId627" xr:uid="{F3249743-BB63-46EE-B517-02BED561BC2B}"/>
    <hyperlink ref="I29" r:id="rId628" xr:uid="{25ADED07-C602-40AE-BD3D-3A362208C525}"/>
    <hyperlink ref="I30" r:id="rId629" xr:uid="{A90B3999-6411-4D3C-A8D3-11E2C3FF20A9}"/>
    <hyperlink ref="I110" r:id="rId630" xr:uid="{3FB682CF-0955-4DB2-BF0A-433E91EAD815}"/>
    <hyperlink ref="I111" r:id="rId631" xr:uid="{E405BF51-FC8A-4BAE-BE00-067803E7BB07}"/>
    <hyperlink ref="I112" r:id="rId632" xr:uid="{2075F538-E18A-4B1C-BBB5-F0582EEED3E4}"/>
    <hyperlink ref="I113" r:id="rId633" xr:uid="{FF1F74D4-F338-4873-A66C-5FE1BF5BEA73}"/>
    <hyperlink ref="I114" r:id="rId634" xr:uid="{8B69949B-5333-4F9F-9E14-52553311B9DD}"/>
    <hyperlink ref="I115" r:id="rId635" xr:uid="{8670D8DA-CAC3-41F7-A354-4197BC7AE21C}"/>
    <hyperlink ref="I116" r:id="rId636" xr:uid="{EF2D064E-BFBB-45B6-94CB-AF7689520F9B}"/>
    <hyperlink ref="I117" r:id="rId637" xr:uid="{3F4DCC3B-27A3-4092-89DE-257A7F1D3A60}"/>
    <hyperlink ref="I118" r:id="rId638" xr:uid="{76B7B7EA-64A3-4F6F-AC7C-271F8CE5CB76}"/>
    <hyperlink ref="I119" r:id="rId639" xr:uid="{81F31142-698E-4E08-9F8A-2105B422EC0E}"/>
    <hyperlink ref="I120" r:id="rId640" xr:uid="{B7933BEA-C2D3-4E63-BBA2-F9503E2810CD}"/>
    <hyperlink ref="I121" r:id="rId641" xr:uid="{971F9EE8-ED8F-4CDB-9807-78502A36B086}"/>
    <hyperlink ref="I122" r:id="rId642" xr:uid="{BFE36A85-C346-480D-886B-2B670126C807}"/>
    <hyperlink ref="I123" r:id="rId643" xr:uid="{CF686078-EC6E-4F93-8D33-76ADB5C0C8E3}"/>
    <hyperlink ref="I124" r:id="rId644" xr:uid="{0477FC55-976E-4987-B225-D10EF19DEF35}"/>
    <hyperlink ref="I125" r:id="rId645" xr:uid="{5E0DB35B-6314-4A38-9A57-814A8E3A7E5F}"/>
    <hyperlink ref="G130" r:id="rId646" xr:uid="{59BD85B1-E564-4788-8659-8453C9FCD8C9}"/>
    <hyperlink ref="G131" r:id="rId647" xr:uid="{76C575EA-01BB-49C9-B494-830C0452BD6A}"/>
    <hyperlink ref="H130" r:id="rId648" xr:uid="{1C52CCBD-0A5C-4782-B729-F625A26020A9}"/>
    <hyperlink ref="H131" r:id="rId649" xr:uid="{44AFBE63-A9FB-405A-844F-2759FD407BEB}"/>
    <hyperlink ref="I130" r:id="rId650" xr:uid="{69AF159B-5881-4070-861E-ECC31FE20928}"/>
    <hyperlink ref="I131" r:id="rId651" xr:uid="{87B99CB7-E98E-484F-93DF-928AC095DE47}"/>
    <hyperlink ref="G132" r:id="rId652" xr:uid="{5B7A7A44-5C85-4B67-B1AA-8E290E93B46E}"/>
    <hyperlink ref="G133" r:id="rId653" xr:uid="{8A4A081D-1299-4A49-A9FF-216986E9ECF9}"/>
    <hyperlink ref="H132" r:id="rId654" xr:uid="{DADE08E2-6CCA-4407-9DE9-CDCFEFAAA82F}"/>
    <hyperlink ref="H133" r:id="rId655" xr:uid="{E0964D02-4814-438F-951B-712A0D7C380F}"/>
    <hyperlink ref="I132" r:id="rId656" xr:uid="{C4EBDA09-730B-49A6-B795-F9DCC7805020}"/>
    <hyperlink ref="I133" r:id="rId657" xr:uid="{708FFF4A-CABB-480D-B56F-FA20E893052C}"/>
    <hyperlink ref="G211" r:id="rId658" xr:uid="{3560849F-DCCC-48D7-ABAC-507E99CB2F80}"/>
    <hyperlink ref="G212" r:id="rId659" xr:uid="{EFED65DE-CE80-4141-8BCB-8A71FB024EE2}"/>
    <hyperlink ref="G213" r:id="rId660" xr:uid="{7B9089E3-BA53-43C6-97E2-3785B5FDF946}"/>
    <hyperlink ref="G214" r:id="rId661" xr:uid="{F425C1A7-E264-418E-8650-B97C831A4E06}"/>
    <hyperlink ref="H211" r:id="rId662" xr:uid="{13C86F42-D996-45E4-B0A4-B023E472E2EE}"/>
    <hyperlink ref="H212" r:id="rId663" xr:uid="{F4CDE784-233F-4A84-BB34-76D29F187B5B}"/>
    <hyperlink ref="H213" r:id="rId664" xr:uid="{1B9EF309-756B-49F8-8FBD-A66BFDE20CB6}"/>
    <hyperlink ref="H214" r:id="rId665" xr:uid="{901BFD13-5E41-41B4-9D95-C981DC74F1AC}"/>
    <hyperlink ref="I211" r:id="rId666" xr:uid="{094043E7-8687-44DF-BC57-FF9B66E6B5AD}"/>
    <hyperlink ref="I212" r:id="rId667" xr:uid="{D8723AAE-11EA-4567-8C79-5742CBAB156C}"/>
    <hyperlink ref="I213" r:id="rId668" xr:uid="{A5E07D9A-32CB-4D8A-8E62-47CE17FBF26F}"/>
    <hyperlink ref="I214" r:id="rId669" xr:uid="{9C4BEB4F-CCEB-4AC0-B732-568509E3946C}"/>
    <hyperlink ref="G215" r:id="rId670" xr:uid="{B99E5210-967D-4D74-8E8F-0133B7525325}"/>
    <hyperlink ref="G216" r:id="rId671" xr:uid="{FA8FD9AD-0254-47A3-8162-D98833AAE324}"/>
    <hyperlink ref="G217" r:id="rId672" xr:uid="{36F1F2AF-95CF-4131-97C0-5FEE555F91A2}"/>
    <hyperlink ref="G218" r:id="rId673" xr:uid="{B2D49B75-1C5F-4214-8782-A7F76BD92BD7}"/>
    <hyperlink ref="H215" r:id="rId674" xr:uid="{961086E7-B18D-4818-902E-885CE4CFC398}"/>
    <hyperlink ref="H216" r:id="rId675" xr:uid="{B2F56164-46D4-40AF-A883-8EAD9B74F763}"/>
    <hyperlink ref="H217" r:id="rId676" xr:uid="{3864A870-49C1-4534-BF76-9B80E96746A7}"/>
    <hyperlink ref="H218" r:id="rId677" xr:uid="{872997C2-915C-4BF8-B56F-0C3BB2513FE3}"/>
    <hyperlink ref="I215" r:id="rId678" xr:uid="{4244875A-C013-4B71-88C5-EB829F5238D2}"/>
    <hyperlink ref="I216" r:id="rId679" xr:uid="{859E7B41-81F7-44F3-98E6-B96366B1AE5E}"/>
    <hyperlink ref="I217" r:id="rId680" xr:uid="{FCDC28A0-9DE4-409A-B80A-4F719E14C4AD}"/>
    <hyperlink ref="I218" r:id="rId681" xr:uid="{21D2396A-ACF6-402A-8EDA-35D33E651A4A}"/>
    <hyperlink ref="G171" r:id="rId682" xr:uid="{D217AD7C-3C3D-4DC7-9905-1571A259869A}"/>
    <hyperlink ref="G172" r:id="rId683" xr:uid="{DA5B0873-CDCF-40D2-B0D0-4B41977DA470}"/>
    <hyperlink ref="G173" r:id="rId684" xr:uid="{9FEC1FE6-9537-42C1-8854-D9CACD3883ED}"/>
    <hyperlink ref="G174" r:id="rId685" xr:uid="{7707F409-AB3E-4D3E-8172-B32E8CE962BE}"/>
    <hyperlink ref="G175" r:id="rId686" xr:uid="{5285F7DC-0E60-4978-B9F6-BB837799EC84}"/>
    <hyperlink ref="G176" r:id="rId687" xr:uid="{82BBEEF4-2EBF-49E7-9519-ABCC8A1D8093}"/>
    <hyperlink ref="G177" r:id="rId688" xr:uid="{098F785C-5E7C-4C26-BF9E-A8EC1EF3CB86}"/>
    <hyperlink ref="G178" r:id="rId689" xr:uid="{D65E07FF-7DC3-445F-92DA-FC80F52621AE}"/>
    <hyperlink ref="G179" r:id="rId690" xr:uid="{E111CC09-2E52-4F65-93F9-D437A2D243F6}"/>
    <hyperlink ref="G180" r:id="rId691" xr:uid="{B5A376A0-BA72-45B5-958A-EFDA20A204A9}"/>
    <hyperlink ref="G181" r:id="rId692" xr:uid="{49F348B1-32D7-4B4A-BB38-517DF2BFE081}"/>
    <hyperlink ref="G182" r:id="rId693" xr:uid="{8855BFC9-F2D1-4B37-9F64-2E0110047F5F}"/>
    <hyperlink ref="G183" r:id="rId694" xr:uid="{86CC571E-D4AC-4D31-8BFA-57D3F0501255}"/>
    <hyperlink ref="G184" r:id="rId695" xr:uid="{458623AE-5A9B-4E4F-8322-7B5FBD455942}"/>
    <hyperlink ref="G185" r:id="rId696" xr:uid="{816D8B15-0EEB-4512-B377-3FC9A499696A}"/>
    <hyperlink ref="G186" r:id="rId697" xr:uid="{3DFEE695-CC0C-4EF8-B68F-F816B76A37D0}"/>
    <hyperlink ref="G187" r:id="rId698" xr:uid="{BFE13818-837B-43AD-8D7D-CCDC29811694}"/>
    <hyperlink ref="G188" r:id="rId699" xr:uid="{9515E0E9-B3A4-4C13-9FA6-B36F5E45EA62}"/>
    <hyperlink ref="G189" r:id="rId700" xr:uid="{AD4E1594-95AC-4218-A223-6A63517AE449}"/>
    <hyperlink ref="G190" r:id="rId701" xr:uid="{0F2FAAE6-A925-4307-B5C3-7E8596849A22}"/>
    <hyperlink ref="G191" r:id="rId702" xr:uid="{550BC592-E7AE-4AD1-A520-5B99C2914E2B}"/>
    <hyperlink ref="G192" r:id="rId703" xr:uid="{486BCC00-F3E0-42BD-84FA-030C836CBE3F}"/>
    <hyperlink ref="G193" r:id="rId704" xr:uid="{F944B146-8037-4E64-B978-3E85662F8562}"/>
    <hyperlink ref="G194" r:id="rId705" xr:uid="{1351AF99-81FF-4028-BE80-67C526B4A31F}"/>
    <hyperlink ref="H171" r:id="rId706" xr:uid="{EDDD7396-EDA0-4281-BCD1-0EDC79D82B9A}"/>
    <hyperlink ref="H172" r:id="rId707" xr:uid="{E83607BB-358E-4EDB-88C4-97876C900AE9}"/>
    <hyperlink ref="H173" r:id="rId708" xr:uid="{ABF937D4-5434-41CD-A097-BAE7A72DCAE0}"/>
    <hyperlink ref="H174" r:id="rId709" xr:uid="{0EB75827-5EC0-415F-A1FC-6D63477AEC59}"/>
    <hyperlink ref="H175" r:id="rId710" xr:uid="{70727FED-4E71-4856-9A92-847904B6E798}"/>
    <hyperlink ref="H176" r:id="rId711" xr:uid="{96BBC241-C7C9-4A80-9A95-94CC2B9185EB}"/>
    <hyperlink ref="H177" r:id="rId712" xr:uid="{B307C819-971E-4D7C-BAF4-334DF7F6423B}"/>
    <hyperlink ref="H178" r:id="rId713" xr:uid="{69363461-C501-481E-B9C0-F97EBCA55588}"/>
    <hyperlink ref="H179" r:id="rId714" xr:uid="{E63A7F70-CD27-40CA-952D-8DBE1A49053D}"/>
    <hyperlink ref="H180" r:id="rId715" xr:uid="{1ED5ACF2-2014-4F8D-8E4C-97619CBE814E}"/>
    <hyperlink ref="H181" r:id="rId716" xr:uid="{5AE0B1FD-5D5E-4BF3-9C7E-01B246267840}"/>
    <hyperlink ref="H182" r:id="rId717" xr:uid="{9F944881-0494-4FCB-A3D9-552563A64683}"/>
    <hyperlink ref="H183" r:id="rId718" xr:uid="{0396E4C7-6F4A-496A-A596-97707B59265D}"/>
    <hyperlink ref="H184" r:id="rId719" xr:uid="{66EDDF57-6113-4A1B-A7F6-0CA88C49A2FD}"/>
    <hyperlink ref="H185" r:id="rId720" xr:uid="{8A55F30C-3B83-49EA-9CFB-54B9D6CC7A98}"/>
    <hyperlink ref="H186" r:id="rId721" xr:uid="{D1CF94A7-9484-4C7D-ADC5-9CBE2B6EC55A}"/>
    <hyperlink ref="H187" r:id="rId722" xr:uid="{4104BB02-7D0E-4D22-A7E9-B85ADA218726}"/>
    <hyperlink ref="H188" r:id="rId723" xr:uid="{52A28B69-FDE2-459B-A54D-B5AE4C3EEB21}"/>
    <hyperlink ref="H189" r:id="rId724" xr:uid="{DF182407-50A5-4478-B5AF-2F512456A27D}"/>
    <hyperlink ref="H190" r:id="rId725" xr:uid="{3828EDAC-9FDC-43A0-BB3A-20DCC66D51A7}"/>
    <hyperlink ref="H191" r:id="rId726" xr:uid="{4CCB960B-AAF9-414B-B880-EB924CC19417}"/>
    <hyperlink ref="H192" r:id="rId727" xr:uid="{EE2ED8C2-A898-427D-A2AD-18E5F83FB3F4}"/>
    <hyperlink ref="H193" r:id="rId728" xr:uid="{5E8819E5-CDF9-474E-8393-FD62C750DCAF}"/>
    <hyperlink ref="H194" r:id="rId729" xr:uid="{EE480473-586B-47F4-B6CA-13FCC3CFE1F9}"/>
    <hyperlink ref="I171" r:id="rId730" xr:uid="{E57C33BC-F59E-4CCE-9F88-7F56847C53EC}"/>
    <hyperlink ref="I172" r:id="rId731" xr:uid="{AA42AE0F-B318-4DF7-A033-44BEE9A78003}"/>
    <hyperlink ref="I173" r:id="rId732" xr:uid="{00A2049B-94E2-4B40-A7D8-A1EE7E08EB73}"/>
    <hyperlink ref="I174" r:id="rId733" xr:uid="{629CF131-7F39-4898-B242-8047D7271016}"/>
    <hyperlink ref="I175" r:id="rId734" xr:uid="{33AC7079-6278-442B-BCF0-D758D04F5135}"/>
    <hyperlink ref="I176" r:id="rId735" xr:uid="{95A13CA3-6C2B-495E-806B-184770463C68}"/>
    <hyperlink ref="I177" r:id="rId736" xr:uid="{740E3E5C-4129-4F6F-87EA-B93A29DBAA80}"/>
    <hyperlink ref="I178" r:id="rId737" xr:uid="{4EDF3779-81DD-4466-B7F2-7B96938843D8}"/>
    <hyperlink ref="I179" r:id="rId738" xr:uid="{07343003-BAE4-4AA7-9162-502DE8E415D8}"/>
    <hyperlink ref="I180" r:id="rId739" xr:uid="{BD615941-1717-4341-86F7-FC9A28B8DAC4}"/>
    <hyperlink ref="I181" r:id="rId740" xr:uid="{7F521CDD-4CA1-4594-AC5A-99CCBF4DD4E2}"/>
    <hyperlink ref="I182" r:id="rId741" xr:uid="{DCC77577-EABC-4E26-BAAD-D731CFFEA711}"/>
    <hyperlink ref="I183" r:id="rId742" xr:uid="{DAEF0B00-448C-4506-8227-3E05F824EDBA}"/>
    <hyperlink ref="I184" r:id="rId743" xr:uid="{6B14C000-1F2A-42AD-A795-E10E7B4A3F9C}"/>
    <hyperlink ref="I185" r:id="rId744" xr:uid="{544D367B-A809-4CFC-9FEE-BE9A7AB1EC35}"/>
    <hyperlink ref="I186" r:id="rId745" xr:uid="{0454B212-9BB9-4EC5-BDF0-DAF81E592D59}"/>
    <hyperlink ref="I187" r:id="rId746" xr:uid="{399A4F3C-A555-42F8-9DA2-4B6228F6A162}"/>
    <hyperlink ref="I188" r:id="rId747" xr:uid="{E3F5F490-F4B6-4B5A-AEB7-AE4F48441C22}"/>
    <hyperlink ref="I189" r:id="rId748" xr:uid="{156B5B74-D2C4-44DB-AB9A-62743DC5A8BA}"/>
    <hyperlink ref="I190" r:id="rId749" xr:uid="{A8BBCB8F-48B4-43A5-A86E-8FACD62E6239}"/>
    <hyperlink ref="I191" r:id="rId750" xr:uid="{A23EF366-D6F7-4C15-AFFD-45C70A25A6ED}"/>
    <hyperlink ref="I192" r:id="rId751" xr:uid="{AE724093-ADA4-4422-B91C-DF88BAD5FDCE}"/>
    <hyperlink ref="I193" r:id="rId752" xr:uid="{F7A77810-E0F3-445C-A4F1-97D56E1F3E93}"/>
    <hyperlink ref="I194" r:id="rId753" xr:uid="{CD1B0824-1992-4A1E-B7D9-E046CED41E38}"/>
    <hyperlink ref="G195" r:id="rId754" xr:uid="{62B100C5-10A5-4A52-8F59-125D9509F957}"/>
    <hyperlink ref="G196" r:id="rId755" xr:uid="{33342433-C047-479E-98A6-136704AE807D}"/>
    <hyperlink ref="G197" r:id="rId756" xr:uid="{0F00C37C-A9F0-4446-BBBA-9BD3E32F0C97}"/>
    <hyperlink ref="G198" r:id="rId757" xr:uid="{6EEF3A4B-5E4C-486D-BE47-F7D8E3C4C821}"/>
    <hyperlink ref="H195" r:id="rId758" xr:uid="{6D960E0D-FD6F-4D95-B196-F28AEFF8FA6D}"/>
    <hyperlink ref="H196" r:id="rId759" xr:uid="{67D21D6A-340F-4254-A48E-AF00B351D80A}"/>
    <hyperlink ref="H197" r:id="rId760" xr:uid="{02FDCBC9-09C8-4D7B-89DD-FE30CE0F89E6}"/>
    <hyperlink ref="H198" r:id="rId761" xr:uid="{59708FEF-7EE7-4868-A6F8-4199913CE5F2}"/>
    <hyperlink ref="I195" r:id="rId762" xr:uid="{7B904C08-F08C-41CC-BF87-73143D446D53}"/>
    <hyperlink ref="I196" r:id="rId763" xr:uid="{D2DCA0A7-F9AA-468B-9A21-2A82ECF69B8F}"/>
    <hyperlink ref="I197" r:id="rId764" xr:uid="{D9B0F32C-5D0E-443B-853D-4060EEE7269C}"/>
    <hyperlink ref="I198" r:id="rId765" xr:uid="{24069D00-A777-4090-B10C-0E0F11EA8A9C}"/>
    <hyperlink ref="G31" r:id="rId766" xr:uid="{CCD282A8-B745-4297-828B-04A09167BC8C}"/>
    <hyperlink ref="G32" r:id="rId767" xr:uid="{5A5C4DFF-B1F4-4050-B1E9-D32B204738E0}"/>
    <hyperlink ref="G33" r:id="rId768" xr:uid="{B9784169-EB9A-4519-8EDF-E69C502469F2}"/>
    <hyperlink ref="G34" r:id="rId769" xr:uid="{5C6D4D42-72B2-4399-A538-B8F78D6AB3D7}"/>
    <hyperlink ref="G35" r:id="rId770" xr:uid="{2D011169-5C35-4BFC-A6E8-88EDA613DED7}"/>
    <hyperlink ref="G36" r:id="rId771" xr:uid="{96113BF1-42C8-42FC-98F5-835F362E22AD}"/>
    <hyperlink ref="G37" r:id="rId772" xr:uid="{225ADC9C-4C24-48CF-8156-A1E2EFB740AD}"/>
    <hyperlink ref="G38" r:id="rId773" xr:uid="{04668D1A-D56F-408E-99FC-98FFAF635D10}"/>
    <hyperlink ref="G39" r:id="rId774" xr:uid="{B2D956D4-0647-40E6-AAEE-AB2EB5DFB935}"/>
    <hyperlink ref="G40" r:id="rId775" xr:uid="{C39A68FE-7F25-409E-B579-E904D36A16BF}"/>
    <hyperlink ref="G41" r:id="rId776" xr:uid="{A2AFEE86-E4F0-4D39-92B8-D70394805CB3}"/>
    <hyperlink ref="G42" r:id="rId777" xr:uid="{0D22577E-608D-42CD-9784-CCD3A16F0818}"/>
    <hyperlink ref="H31" r:id="rId778" xr:uid="{96EAA90B-37D7-474F-A677-CF33EFA4A76C}"/>
    <hyperlink ref="H32" r:id="rId779" xr:uid="{98A43918-42DC-420F-BABC-240462AF6B3E}"/>
    <hyperlink ref="H33" r:id="rId780" xr:uid="{DEC067CD-C53A-4197-9E64-1B136D253C2D}"/>
    <hyperlink ref="H34" r:id="rId781" xr:uid="{D0477EC0-FF93-4B19-B2A5-929D99C1C7B0}"/>
    <hyperlink ref="H35" r:id="rId782" xr:uid="{1DD41E42-80A4-4EF8-9FC5-DBE24530EB1A}"/>
    <hyperlink ref="H36" r:id="rId783" xr:uid="{172772FA-3CE4-4004-983E-72946D308D79}"/>
    <hyperlink ref="H37" r:id="rId784" xr:uid="{351AFC1E-7AD2-4507-97C3-5A6A55AA9566}"/>
    <hyperlink ref="H38" r:id="rId785" xr:uid="{BB09A1C1-ECE9-4A26-B7CC-5C843CB46AB4}"/>
    <hyperlink ref="H39" r:id="rId786" xr:uid="{4D5C010E-0DAF-40A8-B4FC-655F42A2B3E3}"/>
    <hyperlink ref="H40" r:id="rId787" xr:uid="{1BE0CF7E-0C8B-48CC-BDCA-5AC98049600A}"/>
    <hyperlink ref="H41" r:id="rId788" xr:uid="{AB2FB5E5-1B44-4C1E-9ADE-594A3899688C}"/>
    <hyperlink ref="H42" r:id="rId789" xr:uid="{15404A09-CC95-4F73-A2BD-6CCE37B9529E}"/>
    <hyperlink ref="I31" r:id="rId790" xr:uid="{02EEB63B-4BCA-4966-9BB6-4758DBD9B904}"/>
    <hyperlink ref="I32" r:id="rId791" xr:uid="{2B97862A-87FE-41AA-B9C9-5581730F914E}"/>
    <hyperlink ref="I33" r:id="rId792" xr:uid="{D7E88D34-74CB-43FF-BEB7-C4097AF0A53E}"/>
    <hyperlink ref="I34" r:id="rId793" xr:uid="{ACE372F1-928E-4DB7-A061-D14292AF487D}"/>
    <hyperlink ref="I35" r:id="rId794" xr:uid="{87A6E146-01F7-46C8-9DDC-552A352AE1C2}"/>
    <hyperlink ref="I36" r:id="rId795" xr:uid="{B02B1672-CA0E-4FDC-A2AA-F13C30E4CFF9}"/>
    <hyperlink ref="I37" r:id="rId796" xr:uid="{E25E2B6A-B01D-4309-8C72-AC43F68CE47D}"/>
    <hyperlink ref="I38" r:id="rId797" xr:uid="{7F5B62B7-6253-4910-BB6B-C2733D71EE4A}"/>
    <hyperlink ref="I39" r:id="rId798" xr:uid="{4077C5BB-BC2A-452E-8D6B-267E20FAB49B}"/>
    <hyperlink ref="I40" r:id="rId799" xr:uid="{1FAB6EC6-4776-456B-AD8B-2849272E8995}"/>
    <hyperlink ref="I41" r:id="rId800" xr:uid="{759725D2-D76C-4C11-86FF-75B0004D1CED}"/>
    <hyperlink ref="I42" r:id="rId801" xr:uid="{10DF6970-6CA0-4FD6-B1A9-0A77801A4B10}"/>
    <hyperlink ref="G126" r:id="rId802" xr:uid="{74D16775-277B-44EB-B035-6246E354A7D0}"/>
    <hyperlink ref="G127" r:id="rId803" xr:uid="{21471607-00CE-4473-9224-84B3B273B6FC}"/>
    <hyperlink ref="G128" r:id="rId804" xr:uid="{3A6E6FF3-75FD-403C-BA29-42F7CA548F0B}"/>
    <hyperlink ref="G129" r:id="rId805" xr:uid="{345881F2-DBB2-443F-B62C-497B1C04DE88}"/>
    <hyperlink ref="H126" r:id="rId806" xr:uid="{8979703E-3F08-41F7-A35F-BD6709F4D187}"/>
    <hyperlink ref="H127" r:id="rId807" xr:uid="{2B624F77-5BC0-4986-8002-0A12B17ED525}"/>
    <hyperlink ref="H128" r:id="rId808" xr:uid="{8F9CD4F1-0D97-47FD-84E2-85AEDD962FCE}"/>
    <hyperlink ref="H129" r:id="rId809" xr:uid="{5D9F4E9F-8873-4325-886C-EB8CF6DD33A3}"/>
    <hyperlink ref="I126" r:id="rId810" xr:uid="{83E03C42-D157-4513-8A95-862216A7969B}"/>
    <hyperlink ref="I127" r:id="rId811" xr:uid="{A9F2275A-3FAA-443E-97BC-1D347ED3A1DD}"/>
    <hyperlink ref="I128" r:id="rId812" xr:uid="{EE028AF4-CEF2-4774-B051-40B7749B945C}"/>
    <hyperlink ref="I129" r:id="rId813" xr:uid="{66E37EA7-6232-4DF8-8F11-8586709B2445}"/>
  </hyperlinks>
  <pageMargins left="0.7" right="0.7" top="0.75" bottom="0.75" header="0" footer="0"/>
  <pageSetup orientation="landscape" r:id="rId8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899"/>
  <sheetViews>
    <sheetView tabSelected="1" workbookViewId="0">
      <pane ySplit="1" topLeftCell="A2" activePane="bottomLeft" state="frozen"/>
      <selection activeCell="E1" sqref="E1"/>
      <selection pane="bottomLeft" activeCell="A5" sqref="A5"/>
    </sheetView>
  </sheetViews>
  <sheetFormatPr baseColWidth="10" defaultColWidth="14.44140625" defaultRowHeight="15" customHeight="1" x14ac:dyDescent="0.3"/>
  <cols>
    <col min="1" max="1" width="55.6640625" customWidth="1"/>
    <col min="2" max="2" width="12.6640625" customWidth="1"/>
    <col min="3" max="3" width="10.6640625" customWidth="1"/>
    <col min="4" max="4" width="14" customWidth="1"/>
    <col min="5" max="6" width="18.5546875" customWidth="1"/>
    <col min="7" max="7" width="41.44140625" bestFit="1" customWidth="1"/>
    <col min="8" max="10" width="12.109375" bestFit="1" customWidth="1"/>
    <col min="11" max="11" width="9.33203125" customWidth="1"/>
    <col min="12" max="12" width="10.6640625" customWidth="1"/>
    <col min="13" max="13" width="15.44140625" customWidth="1"/>
    <col min="14" max="14" width="10.6640625" customWidth="1"/>
    <col min="15" max="15" width="17.44140625" bestFit="1" customWidth="1"/>
    <col min="16" max="16" width="17.44140625" style="74" customWidth="1"/>
    <col min="17" max="17" width="19.88671875" bestFit="1" customWidth="1"/>
    <col min="18" max="18" width="19.88671875" customWidth="1"/>
    <col min="19" max="19" width="18.6640625" bestFit="1" customWidth="1"/>
    <col min="20" max="20" width="5.6640625" customWidth="1"/>
    <col min="21" max="21" width="9.33203125" customWidth="1"/>
    <col min="22" max="22" width="16.5546875" bestFit="1" customWidth="1"/>
    <col min="23" max="23" width="34.44140625" customWidth="1"/>
    <col min="24" max="24" width="16.5546875" bestFit="1" customWidth="1"/>
    <col min="25" max="25" width="29.6640625" bestFit="1" customWidth="1"/>
    <col min="26" max="26" width="18.44140625" bestFit="1" customWidth="1"/>
    <col min="27" max="27" width="16" bestFit="1" customWidth="1"/>
    <col min="28" max="28" width="20.109375" bestFit="1" customWidth="1"/>
    <col min="29" max="29" width="27" bestFit="1" customWidth="1"/>
    <col min="30" max="30" width="36.5546875" bestFit="1" customWidth="1"/>
    <col min="31" max="31" width="36.88671875" bestFit="1" customWidth="1"/>
    <col min="32" max="32" width="12.109375" bestFit="1" customWidth="1"/>
    <col min="33" max="33" width="13.44140625" bestFit="1" customWidth="1"/>
    <col min="34" max="34" width="14" bestFit="1" customWidth="1"/>
    <col min="35" max="35" width="16.33203125" bestFit="1" customWidth="1"/>
    <col min="36" max="36" width="14.33203125" bestFit="1" customWidth="1"/>
    <col min="37" max="37" width="15.88671875" bestFit="1" customWidth="1"/>
    <col min="38" max="38" width="15.6640625" customWidth="1"/>
    <col min="39" max="39" width="14.109375" customWidth="1"/>
    <col min="40" max="40" width="10.6640625" customWidth="1"/>
    <col min="41" max="41" width="16" customWidth="1"/>
  </cols>
  <sheetData>
    <row r="1" spans="1:42" ht="14.25" customHeight="1" x14ac:dyDescent="0.3">
      <c r="A1" s="1" t="s">
        <v>0</v>
      </c>
      <c r="B1" s="1" t="s">
        <v>1</v>
      </c>
      <c r="C1" s="1" t="s">
        <v>2</v>
      </c>
      <c r="D1" s="1" t="s">
        <v>3</v>
      </c>
      <c r="E1" s="1" t="s">
        <v>4</v>
      </c>
      <c r="F1" s="33" t="s">
        <v>5168</v>
      </c>
      <c r="G1" s="1" t="s">
        <v>5</v>
      </c>
      <c r="H1" s="1" t="s">
        <v>6</v>
      </c>
      <c r="I1" s="1" t="s">
        <v>7</v>
      </c>
      <c r="J1" s="1" t="s">
        <v>8</v>
      </c>
      <c r="K1" s="1" t="s">
        <v>9</v>
      </c>
      <c r="L1" s="1" t="s">
        <v>1751</v>
      </c>
      <c r="M1" s="1" t="s">
        <v>11</v>
      </c>
      <c r="N1" s="1" t="s">
        <v>12</v>
      </c>
      <c r="O1" s="1" t="s">
        <v>13</v>
      </c>
      <c r="P1" s="66" t="s">
        <v>5623</v>
      </c>
      <c r="Q1" s="1" t="s">
        <v>1752</v>
      </c>
      <c r="R1" s="33" t="s">
        <v>5144</v>
      </c>
      <c r="S1" s="1" t="s">
        <v>1753</v>
      </c>
      <c r="T1" s="1" t="s">
        <v>15</v>
      </c>
      <c r="U1" s="1" t="s">
        <v>16</v>
      </c>
      <c r="V1" s="2" t="s">
        <v>17</v>
      </c>
      <c r="W1" s="2" t="s">
        <v>1754</v>
      </c>
      <c r="X1" s="2" t="s">
        <v>1755</v>
      </c>
      <c r="Y1" s="2" t="s">
        <v>19</v>
      </c>
      <c r="Z1" s="2" t="s">
        <v>20</v>
      </c>
      <c r="AA1" s="2" t="s">
        <v>21</v>
      </c>
      <c r="AB1" s="2" t="s">
        <v>22</v>
      </c>
      <c r="AC1" s="1" t="s">
        <v>23</v>
      </c>
      <c r="AD1" s="1" t="s">
        <v>24</v>
      </c>
      <c r="AE1" s="1" t="s">
        <v>25</v>
      </c>
      <c r="AF1" s="1" t="s">
        <v>26</v>
      </c>
      <c r="AG1" s="1" t="s">
        <v>27</v>
      </c>
      <c r="AH1" s="1" t="s">
        <v>28</v>
      </c>
      <c r="AI1" s="1" t="s">
        <v>29</v>
      </c>
      <c r="AJ1" s="1" t="s">
        <v>30</v>
      </c>
      <c r="AK1" s="1" t="s">
        <v>31</v>
      </c>
      <c r="AL1" s="1" t="s">
        <v>32</v>
      </c>
      <c r="AM1" s="1" t="s">
        <v>33</v>
      </c>
      <c r="AN1" s="1" t="s">
        <v>34</v>
      </c>
      <c r="AO1" s="1" t="s">
        <v>35</v>
      </c>
      <c r="AP1" s="51" t="s">
        <v>5517</v>
      </c>
    </row>
    <row r="2" spans="1:42" ht="14.25" customHeight="1" x14ac:dyDescent="0.3">
      <c r="A2" s="36" t="s">
        <v>5109</v>
      </c>
      <c r="B2" s="37" t="s">
        <v>5100</v>
      </c>
      <c r="C2" s="37" t="s">
        <v>5078</v>
      </c>
      <c r="D2" s="38">
        <v>5414404225146</v>
      </c>
      <c r="E2" s="39" t="s">
        <v>5160</v>
      </c>
      <c r="F2" s="39" t="s">
        <v>5167</v>
      </c>
      <c r="G2" s="37" t="s">
        <v>5161</v>
      </c>
      <c r="H2" s="37"/>
      <c r="I2" s="37"/>
      <c r="J2" s="37"/>
      <c r="K2" s="37" t="s">
        <v>45</v>
      </c>
      <c r="L2" s="37" t="s">
        <v>1766</v>
      </c>
      <c r="M2" s="37" t="s">
        <v>5162</v>
      </c>
      <c r="N2" s="37" t="s">
        <v>5132</v>
      </c>
      <c r="O2" s="37" t="s">
        <v>5141</v>
      </c>
      <c r="P2" s="71" t="s">
        <v>61</v>
      </c>
      <c r="Q2" s="37" t="s">
        <v>1766</v>
      </c>
      <c r="R2" s="37" t="s">
        <v>5145</v>
      </c>
      <c r="S2" s="37" t="s">
        <v>5139</v>
      </c>
      <c r="T2" s="50">
        <v>4</v>
      </c>
      <c r="U2" s="37" t="s">
        <v>1766</v>
      </c>
      <c r="V2" s="37" t="s">
        <v>5134</v>
      </c>
      <c r="W2" s="37" t="s">
        <v>1766</v>
      </c>
      <c r="X2" s="37" t="s">
        <v>1766</v>
      </c>
      <c r="Y2" s="37" t="s">
        <v>5152</v>
      </c>
      <c r="Z2" s="37" t="s">
        <v>1766</v>
      </c>
      <c r="AA2" s="37" t="s">
        <v>1766</v>
      </c>
      <c r="AB2" s="37" t="s">
        <v>1766</v>
      </c>
      <c r="AC2" s="37" t="s">
        <v>1728</v>
      </c>
      <c r="AD2" s="37" t="s">
        <v>1771</v>
      </c>
      <c r="AE2" s="37" t="s">
        <v>57</v>
      </c>
      <c r="AF2" s="37" t="s">
        <v>5138</v>
      </c>
      <c r="AG2" s="37" t="s">
        <v>5137</v>
      </c>
      <c r="AH2" s="37" t="s">
        <v>5137</v>
      </c>
      <c r="AI2" s="37"/>
      <c r="AJ2" s="37">
        <v>2.23</v>
      </c>
      <c r="AK2" s="37"/>
      <c r="AL2" s="47">
        <v>17</v>
      </c>
      <c r="AM2" s="47" t="s">
        <v>5490</v>
      </c>
      <c r="AN2" s="47"/>
      <c r="AO2" s="47" t="s">
        <v>5491</v>
      </c>
      <c r="AP2" t="s">
        <v>5521</v>
      </c>
    </row>
    <row r="3" spans="1:42" ht="14.25" customHeight="1" x14ac:dyDescent="0.3">
      <c r="A3" s="36" t="s">
        <v>5108</v>
      </c>
      <c r="B3" s="37" t="s">
        <v>5099</v>
      </c>
      <c r="C3" s="37" t="s">
        <v>5078</v>
      </c>
      <c r="D3" s="38">
        <v>5414404225139</v>
      </c>
      <c r="E3" s="39" t="s">
        <v>5160</v>
      </c>
      <c r="F3" s="39" t="s">
        <v>5167</v>
      </c>
      <c r="G3" s="37" t="s">
        <v>5161</v>
      </c>
      <c r="H3" s="37"/>
      <c r="I3" s="37"/>
      <c r="J3" s="37"/>
      <c r="K3" s="37" t="s">
        <v>45</v>
      </c>
      <c r="L3" s="37" t="s">
        <v>1766</v>
      </c>
      <c r="M3" s="37" t="s">
        <v>5162</v>
      </c>
      <c r="N3" s="37" t="s">
        <v>5132</v>
      </c>
      <c r="O3" s="37" t="s">
        <v>5158</v>
      </c>
      <c r="P3" s="71" t="s">
        <v>61</v>
      </c>
      <c r="Q3" s="37" t="s">
        <v>1766</v>
      </c>
      <c r="R3" s="37" t="s">
        <v>5145</v>
      </c>
      <c r="S3" s="37" t="s">
        <v>5139</v>
      </c>
      <c r="T3" s="50">
        <v>4</v>
      </c>
      <c r="U3" s="37" t="s">
        <v>1766</v>
      </c>
      <c r="V3" s="37" t="s">
        <v>5134</v>
      </c>
      <c r="W3" s="37" t="s">
        <v>1766</v>
      </c>
      <c r="X3" s="37" t="s">
        <v>1766</v>
      </c>
      <c r="Y3" s="37" t="s">
        <v>5152</v>
      </c>
      <c r="Z3" s="37" t="s">
        <v>1766</v>
      </c>
      <c r="AA3" s="37" t="s">
        <v>1766</v>
      </c>
      <c r="AB3" s="37" t="s">
        <v>1766</v>
      </c>
      <c r="AC3" s="37" t="s">
        <v>1728</v>
      </c>
      <c r="AD3" s="37" t="s">
        <v>1771</v>
      </c>
      <c r="AE3" s="37" t="s">
        <v>57</v>
      </c>
      <c r="AF3" s="37" t="s">
        <v>5138</v>
      </c>
      <c r="AG3" s="37" t="s">
        <v>5137</v>
      </c>
      <c r="AH3" s="37" t="s">
        <v>5137</v>
      </c>
      <c r="AI3" s="37"/>
      <c r="AJ3" s="37">
        <v>2.23</v>
      </c>
      <c r="AK3" s="37"/>
      <c r="AL3" s="47">
        <v>17</v>
      </c>
      <c r="AM3" s="47" t="s">
        <v>5490</v>
      </c>
      <c r="AN3" s="47"/>
      <c r="AO3" s="47" t="s">
        <v>5491</v>
      </c>
      <c r="AP3" t="s">
        <v>5521</v>
      </c>
    </row>
    <row r="4" spans="1:42" ht="14.25" customHeight="1" x14ac:dyDescent="0.3">
      <c r="A4" s="36" t="s">
        <v>5107</v>
      </c>
      <c r="B4" s="37" t="s">
        <v>5098</v>
      </c>
      <c r="C4" s="37" t="s">
        <v>5078</v>
      </c>
      <c r="D4" s="38">
        <v>5414404225122</v>
      </c>
      <c r="E4" s="39" t="s">
        <v>5160</v>
      </c>
      <c r="F4" s="39" t="s">
        <v>5167</v>
      </c>
      <c r="G4" s="37" t="s">
        <v>5161</v>
      </c>
      <c r="H4" s="37"/>
      <c r="I4" s="37"/>
      <c r="J4" s="37"/>
      <c r="K4" s="37" t="s">
        <v>45</v>
      </c>
      <c r="L4" s="37" t="s">
        <v>1766</v>
      </c>
      <c r="M4" s="37" t="s">
        <v>5162</v>
      </c>
      <c r="N4" s="37" t="s">
        <v>5132</v>
      </c>
      <c r="O4" s="37" t="s">
        <v>5155</v>
      </c>
      <c r="P4" s="71" t="s">
        <v>61</v>
      </c>
      <c r="Q4" s="37" t="s">
        <v>1766</v>
      </c>
      <c r="R4" s="37" t="s">
        <v>5145</v>
      </c>
      <c r="S4" s="37" t="s">
        <v>5139</v>
      </c>
      <c r="T4" s="50">
        <v>4</v>
      </c>
      <c r="U4" s="37" t="s">
        <v>1766</v>
      </c>
      <c r="V4" s="37" t="s">
        <v>5134</v>
      </c>
      <c r="W4" s="37" t="s">
        <v>1766</v>
      </c>
      <c r="X4" s="37" t="s">
        <v>1766</v>
      </c>
      <c r="Y4" s="37" t="s">
        <v>5152</v>
      </c>
      <c r="Z4" s="37" t="s">
        <v>1766</v>
      </c>
      <c r="AA4" s="37" t="s">
        <v>1766</v>
      </c>
      <c r="AB4" s="37" t="s">
        <v>1766</v>
      </c>
      <c r="AC4" s="37" t="s">
        <v>1728</v>
      </c>
      <c r="AD4" s="37" t="s">
        <v>1771</v>
      </c>
      <c r="AE4" s="37" t="s">
        <v>57</v>
      </c>
      <c r="AF4" s="37" t="s">
        <v>5138</v>
      </c>
      <c r="AG4" s="37" t="s">
        <v>5137</v>
      </c>
      <c r="AH4" s="37" t="s">
        <v>5137</v>
      </c>
      <c r="AI4" s="37"/>
      <c r="AJ4" s="37">
        <v>2.23</v>
      </c>
      <c r="AK4" s="37"/>
      <c r="AL4" s="47">
        <v>17</v>
      </c>
      <c r="AM4" s="47" t="s">
        <v>5490</v>
      </c>
      <c r="AN4" s="47"/>
      <c r="AO4" s="47" t="s">
        <v>5491</v>
      </c>
      <c r="AP4" t="s">
        <v>5521</v>
      </c>
    </row>
    <row r="5" spans="1:42" ht="14.25" customHeight="1" x14ac:dyDescent="0.3">
      <c r="A5" s="36" t="s">
        <v>5106</v>
      </c>
      <c r="B5" s="37" t="s">
        <v>5097</v>
      </c>
      <c r="C5" s="37" t="s">
        <v>5078</v>
      </c>
      <c r="D5" s="38">
        <v>5414404225108</v>
      </c>
      <c r="E5" s="39" t="s">
        <v>5160</v>
      </c>
      <c r="F5" s="39" t="s">
        <v>5167</v>
      </c>
      <c r="G5" s="37" t="s">
        <v>5161</v>
      </c>
      <c r="H5" s="37"/>
      <c r="I5" s="37"/>
      <c r="J5" s="37"/>
      <c r="K5" s="37" t="s">
        <v>45</v>
      </c>
      <c r="L5" s="37" t="s">
        <v>1766</v>
      </c>
      <c r="M5" s="37" t="s">
        <v>5162</v>
      </c>
      <c r="N5" s="37" t="s">
        <v>5132</v>
      </c>
      <c r="O5" s="37" t="s">
        <v>5159</v>
      </c>
      <c r="P5" s="71" t="s">
        <v>61</v>
      </c>
      <c r="Q5" s="37" t="s">
        <v>1766</v>
      </c>
      <c r="R5" s="37" t="s">
        <v>5145</v>
      </c>
      <c r="S5" s="37" t="s">
        <v>5139</v>
      </c>
      <c r="T5" s="50">
        <v>4</v>
      </c>
      <c r="U5" s="37" t="s">
        <v>1766</v>
      </c>
      <c r="V5" s="37" t="s">
        <v>5134</v>
      </c>
      <c r="W5" s="37" t="s">
        <v>1766</v>
      </c>
      <c r="X5" s="37" t="s">
        <v>1766</v>
      </c>
      <c r="Y5" s="37" t="s">
        <v>5152</v>
      </c>
      <c r="Z5" s="37" t="s">
        <v>1766</v>
      </c>
      <c r="AA5" s="37" t="s">
        <v>1766</v>
      </c>
      <c r="AB5" s="37" t="s">
        <v>1766</v>
      </c>
      <c r="AC5" s="37" t="s">
        <v>1728</v>
      </c>
      <c r="AD5" s="37" t="s">
        <v>1771</v>
      </c>
      <c r="AE5" s="37" t="s">
        <v>57</v>
      </c>
      <c r="AF5" s="37" t="s">
        <v>5138</v>
      </c>
      <c r="AG5" s="37" t="s">
        <v>5137</v>
      </c>
      <c r="AH5" s="37" t="s">
        <v>5137</v>
      </c>
      <c r="AI5" s="37"/>
      <c r="AJ5" s="37">
        <v>2.23</v>
      </c>
      <c r="AK5" s="37"/>
      <c r="AL5" s="47">
        <v>17</v>
      </c>
      <c r="AM5" s="47" t="s">
        <v>5490</v>
      </c>
      <c r="AN5" s="47"/>
      <c r="AO5" s="47" t="s">
        <v>5491</v>
      </c>
      <c r="AP5" t="s">
        <v>5521</v>
      </c>
    </row>
    <row r="6" spans="1:42" ht="14.25" customHeight="1" x14ac:dyDescent="0.3">
      <c r="A6" s="36" t="s">
        <v>5110</v>
      </c>
      <c r="B6" s="37" t="s">
        <v>5080</v>
      </c>
      <c r="C6" s="37" t="s">
        <v>5078</v>
      </c>
      <c r="D6" s="38">
        <v>5414404224675</v>
      </c>
      <c r="E6" s="39" t="s">
        <v>5079</v>
      </c>
      <c r="F6" s="39" t="s">
        <v>5164</v>
      </c>
      <c r="G6" s="37" t="s">
        <v>5131</v>
      </c>
      <c r="H6" s="37"/>
      <c r="I6" s="37"/>
      <c r="J6" s="37"/>
      <c r="K6" s="37" t="s">
        <v>45</v>
      </c>
      <c r="L6" s="37" t="s">
        <v>5243</v>
      </c>
      <c r="M6" s="37" t="s">
        <v>5133</v>
      </c>
      <c r="N6" s="37" t="s">
        <v>5132</v>
      </c>
      <c r="O6" s="37" t="s">
        <v>5146</v>
      </c>
      <c r="P6" s="71" t="s">
        <v>3268</v>
      </c>
      <c r="Q6" s="37" t="s">
        <v>1766</v>
      </c>
      <c r="R6" s="37" t="s">
        <v>5163</v>
      </c>
      <c r="S6" s="37" t="s">
        <v>5135</v>
      </c>
      <c r="T6" s="40">
        <v>8</v>
      </c>
      <c r="U6" s="37" t="s">
        <v>1766</v>
      </c>
      <c r="V6" s="37" t="s">
        <v>5134</v>
      </c>
      <c r="W6" s="37" t="s">
        <v>1766</v>
      </c>
      <c r="X6" s="37" t="s">
        <v>1766</v>
      </c>
      <c r="Y6" s="37" t="s">
        <v>5151</v>
      </c>
      <c r="Z6" s="37" t="s">
        <v>1766</v>
      </c>
      <c r="AA6" s="37" t="s">
        <v>1766</v>
      </c>
      <c r="AB6" s="37" t="s">
        <v>1766</v>
      </c>
      <c r="AC6" s="37" t="s">
        <v>1728</v>
      </c>
      <c r="AD6" s="37" t="s">
        <v>1771</v>
      </c>
      <c r="AE6" s="37" t="s">
        <v>57</v>
      </c>
      <c r="AF6" s="37" t="s">
        <v>5138</v>
      </c>
      <c r="AG6" s="37" t="s">
        <v>5165</v>
      </c>
      <c r="AH6" s="37" t="s">
        <v>5165</v>
      </c>
      <c r="AI6" s="37"/>
      <c r="AJ6" s="37">
        <v>1.71</v>
      </c>
      <c r="AK6" s="37"/>
      <c r="AL6" s="47" t="s">
        <v>5489</v>
      </c>
      <c r="AM6" s="47"/>
      <c r="AN6" s="47"/>
      <c r="AO6" s="47"/>
      <c r="AP6" t="s">
        <v>5521</v>
      </c>
    </row>
    <row r="7" spans="1:42" ht="14.25" customHeight="1" x14ac:dyDescent="0.3">
      <c r="A7" s="36" t="s">
        <v>5113</v>
      </c>
      <c r="B7" s="37" t="s">
        <v>5083</v>
      </c>
      <c r="C7" s="37" t="s">
        <v>5078</v>
      </c>
      <c r="D7" s="38">
        <v>5414404224743</v>
      </c>
      <c r="E7" s="39" t="s">
        <v>5079</v>
      </c>
      <c r="F7" s="39" t="s">
        <v>5164</v>
      </c>
      <c r="G7" s="37" t="s">
        <v>5131</v>
      </c>
      <c r="H7" s="37"/>
      <c r="I7" s="37"/>
      <c r="J7" s="37"/>
      <c r="K7" s="37" t="s">
        <v>45</v>
      </c>
      <c r="L7" s="37" t="s">
        <v>5243</v>
      </c>
      <c r="M7" s="37" t="s">
        <v>5133</v>
      </c>
      <c r="N7" s="37" t="s">
        <v>5132</v>
      </c>
      <c r="O7" s="37" t="s">
        <v>5149</v>
      </c>
      <c r="P7" s="71" t="s">
        <v>5624</v>
      </c>
      <c r="Q7" s="37" t="s">
        <v>1766</v>
      </c>
      <c r="R7" s="37" t="s">
        <v>5163</v>
      </c>
      <c r="S7" s="37" t="s">
        <v>5135</v>
      </c>
      <c r="T7" s="40">
        <v>8</v>
      </c>
      <c r="U7" s="37" t="s">
        <v>1766</v>
      </c>
      <c r="V7" s="37" t="s">
        <v>5134</v>
      </c>
      <c r="W7" s="37" t="s">
        <v>1766</v>
      </c>
      <c r="X7" s="37" t="s">
        <v>1766</v>
      </c>
      <c r="Y7" s="37" t="s">
        <v>5151</v>
      </c>
      <c r="Z7" s="37" t="s">
        <v>1766</v>
      </c>
      <c r="AA7" s="37" t="s">
        <v>1766</v>
      </c>
      <c r="AB7" s="37" t="s">
        <v>1766</v>
      </c>
      <c r="AC7" s="37" t="s">
        <v>1728</v>
      </c>
      <c r="AD7" s="37" t="s">
        <v>1771</v>
      </c>
      <c r="AE7" s="37" t="s">
        <v>57</v>
      </c>
      <c r="AF7" s="37" t="s">
        <v>5138</v>
      </c>
      <c r="AG7" s="37" t="s">
        <v>5165</v>
      </c>
      <c r="AH7" s="37" t="s">
        <v>5165</v>
      </c>
      <c r="AI7" s="37"/>
      <c r="AJ7" s="37">
        <v>1.71</v>
      </c>
      <c r="AK7" s="37"/>
      <c r="AL7" s="47" t="s">
        <v>5489</v>
      </c>
      <c r="AM7" s="47"/>
      <c r="AN7" s="47"/>
      <c r="AO7" s="47"/>
      <c r="AP7" t="s">
        <v>5521</v>
      </c>
    </row>
    <row r="8" spans="1:42" ht="14.25" customHeight="1" x14ac:dyDescent="0.3">
      <c r="A8" s="36" t="s">
        <v>5112</v>
      </c>
      <c r="B8" s="37" t="s">
        <v>5082</v>
      </c>
      <c r="C8" s="37" t="s">
        <v>5078</v>
      </c>
      <c r="D8" s="38">
        <v>5414404224729</v>
      </c>
      <c r="E8" s="39" t="s">
        <v>5079</v>
      </c>
      <c r="F8" s="39" t="s">
        <v>5164</v>
      </c>
      <c r="G8" s="37" t="s">
        <v>5131</v>
      </c>
      <c r="H8" s="37"/>
      <c r="I8" s="37"/>
      <c r="J8" s="37"/>
      <c r="K8" s="37" t="s">
        <v>45</v>
      </c>
      <c r="L8" s="37" t="s">
        <v>5243</v>
      </c>
      <c r="M8" s="37" t="s">
        <v>5133</v>
      </c>
      <c r="N8" s="37" t="s">
        <v>5132</v>
      </c>
      <c r="O8" s="37" t="s">
        <v>5147</v>
      </c>
      <c r="P8" s="71" t="s">
        <v>586</v>
      </c>
      <c r="Q8" s="37" t="s">
        <v>1766</v>
      </c>
      <c r="R8" s="37" t="s">
        <v>5163</v>
      </c>
      <c r="S8" s="37" t="s">
        <v>5135</v>
      </c>
      <c r="T8" s="40">
        <v>8</v>
      </c>
      <c r="U8" s="37" t="s">
        <v>1766</v>
      </c>
      <c r="V8" s="37" t="s">
        <v>5134</v>
      </c>
      <c r="W8" s="37" t="s">
        <v>1766</v>
      </c>
      <c r="X8" s="37" t="s">
        <v>1766</v>
      </c>
      <c r="Y8" s="37" t="s">
        <v>5151</v>
      </c>
      <c r="Z8" s="37" t="s">
        <v>1766</v>
      </c>
      <c r="AA8" s="37" t="s">
        <v>1766</v>
      </c>
      <c r="AB8" s="37" t="s">
        <v>1766</v>
      </c>
      <c r="AC8" s="37" t="s">
        <v>1728</v>
      </c>
      <c r="AD8" s="37" t="s">
        <v>1771</v>
      </c>
      <c r="AE8" s="37" t="s">
        <v>57</v>
      </c>
      <c r="AF8" s="37" t="s">
        <v>5138</v>
      </c>
      <c r="AG8" s="37" t="s">
        <v>5165</v>
      </c>
      <c r="AH8" s="37" t="s">
        <v>5165</v>
      </c>
      <c r="AI8" s="37"/>
      <c r="AJ8" s="37">
        <v>1.71</v>
      </c>
      <c r="AK8" s="37"/>
      <c r="AL8" s="47" t="s">
        <v>5489</v>
      </c>
      <c r="AM8" s="47"/>
      <c r="AN8" s="47"/>
      <c r="AO8" s="47"/>
      <c r="AP8" t="s">
        <v>5521</v>
      </c>
    </row>
    <row r="9" spans="1:42" ht="14.25" customHeight="1" x14ac:dyDescent="0.3">
      <c r="A9" s="36" t="s">
        <v>5111</v>
      </c>
      <c r="B9" s="37" t="s">
        <v>5081</v>
      </c>
      <c r="C9" s="37" t="s">
        <v>5078</v>
      </c>
      <c r="D9" s="38">
        <v>5414404224699</v>
      </c>
      <c r="E9" s="39" t="s">
        <v>5079</v>
      </c>
      <c r="F9" s="39" t="s">
        <v>5164</v>
      </c>
      <c r="G9" s="37" t="s">
        <v>5131</v>
      </c>
      <c r="H9" s="37"/>
      <c r="I9" s="37"/>
      <c r="J9" s="37"/>
      <c r="K9" s="37" t="s">
        <v>45</v>
      </c>
      <c r="L9" s="37" t="s">
        <v>5243</v>
      </c>
      <c r="M9" s="37" t="s">
        <v>5133</v>
      </c>
      <c r="N9" s="37" t="s">
        <v>5132</v>
      </c>
      <c r="O9" s="37" t="s">
        <v>5148</v>
      </c>
      <c r="P9" s="71" t="s">
        <v>5624</v>
      </c>
      <c r="Q9" s="37" t="s">
        <v>1766</v>
      </c>
      <c r="R9" s="37" t="s">
        <v>5163</v>
      </c>
      <c r="S9" s="37" t="s">
        <v>5135</v>
      </c>
      <c r="T9" s="40">
        <v>8</v>
      </c>
      <c r="U9" s="37" t="s">
        <v>1766</v>
      </c>
      <c r="V9" s="37" t="s">
        <v>5134</v>
      </c>
      <c r="W9" s="37" t="s">
        <v>1766</v>
      </c>
      <c r="X9" s="37" t="s">
        <v>1766</v>
      </c>
      <c r="Y9" s="37" t="s">
        <v>5151</v>
      </c>
      <c r="Z9" s="37" t="s">
        <v>1766</v>
      </c>
      <c r="AA9" s="37" t="s">
        <v>1766</v>
      </c>
      <c r="AB9" s="37" t="s">
        <v>1766</v>
      </c>
      <c r="AC9" s="37" t="s">
        <v>1728</v>
      </c>
      <c r="AD9" s="37" t="s">
        <v>1771</v>
      </c>
      <c r="AE9" s="37" t="s">
        <v>57</v>
      </c>
      <c r="AF9" s="37" t="s">
        <v>5138</v>
      </c>
      <c r="AG9" s="37" t="s">
        <v>5165</v>
      </c>
      <c r="AH9" s="37" t="s">
        <v>5165</v>
      </c>
      <c r="AI9" s="37"/>
      <c r="AJ9" s="37">
        <v>1.71</v>
      </c>
      <c r="AK9" s="37"/>
      <c r="AL9" s="47" t="s">
        <v>5489</v>
      </c>
      <c r="AM9" s="47"/>
      <c r="AN9" s="47"/>
      <c r="AO9" s="47"/>
      <c r="AP9" t="s">
        <v>5521</v>
      </c>
    </row>
    <row r="10" spans="1:42" ht="14.25" customHeight="1" x14ac:dyDescent="0.3">
      <c r="A10" s="36" t="s">
        <v>5124</v>
      </c>
      <c r="B10" s="37" t="s">
        <v>5095</v>
      </c>
      <c r="C10" s="37" t="s">
        <v>5078</v>
      </c>
      <c r="D10" s="38">
        <v>5414404225023</v>
      </c>
      <c r="E10" s="39" t="s">
        <v>5136</v>
      </c>
      <c r="F10" s="39" t="s">
        <v>5166</v>
      </c>
      <c r="G10" s="37" t="s">
        <v>5131</v>
      </c>
      <c r="H10" s="37"/>
      <c r="I10" s="37"/>
      <c r="J10" s="37"/>
      <c r="K10" s="37" t="s">
        <v>45</v>
      </c>
      <c r="L10" s="37" t="s">
        <v>5243</v>
      </c>
      <c r="M10" s="37" t="s">
        <v>5143</v>
      </c>
      <c r="N10" s="37" t="s">
        <v>5132</v>
      </c>
      <c r="O10" s="37" t="s">
        <v>586</v>
      </c>
      <c r="P10" s="71" t="s">
        <v>586</v>
      </c>
      <c r="Q10" s="37" t="s">
        <v>1766</v>
      </c>
      <c r="R10" s="37" t="s">
        <v>5145</v>
      </c>
      <c r="S10" s="37" t="s">
        <v>5139</v>
      </c>
      <c r="T10" s="50">
        <v>6</v>
      </c>
      <c r="U10" s="37" t="s">
        <v>1766</v>
      </c>
      <c r="V10" s="37" t="s">
        <v>5134</v>
      </c>
      <c r="W10" s="37" t="s">
        <v>1766</v>
      </c>
      <c r="X10" s="37" t="s">
        <v>1766</v>
      </c>
      <c r="Y10" s="37" t="s">
        <v>5151</v>
      </c>
      <c r="Z10" s="37" t="s">
        <v>1766</v>
      </c>
      <c r="AA10" s="37" t="s">
        <v>1766</v>
      </c>
      <c r="AB10" s="37" t="s">
        <v>1766</v>
      </c>
      <c r="AC10" s="37" t="s">
        <v>1728</v>
      </c>
      <c r="AD10" s="37" t="s">
        <v>1771</v>
      </c>
      <c r="AE10" s="37" t="s">
        <v>57</v>
      </c>
      <c r="AF10" s="37" t="s">
        <v>5138</v>
      </c>
      <c r="AG10" s="37" t="s">
        <v>5137</v>
      </c>
      <c r="AH10" s="37" t="s">
        <v>5137</v>
      </c>
      <c r="AI10" s="37"/>
      <c r="AJ10" s="37">
        <v>2.0699999999999998</v>
      </c>
      <c r="AK10" s="37"/>
      <c r="AL10" s="47">
        <v>17</v>
      </c>
      <c r="AM10" s="47" t="s">
        <v>5490</v>
      </c>
      <c r="AN10" s="47"/>
      <c r="AO10" s="47" t="s">
        <v>5491</v>
      </c>
      <c r="AP10" t="s">
        <v>5521</v>
      </c>
    </row>
    <row r="11" spans="1:42" ht="14.25" customHeight="1" x14ac:dyDescent="0.3">
      <c r="A11" s="36" t="s">
        <v>5125</v>
      </c>
      <c r="B11" s="37" t="s">
        <v>5096</v>
      </c>
      <c r="C11" s="37" t="s">
        <v>5078</v>
      </c>
      <c r="D11" s="38">
        <v>5414404225030</v>
      </c>
      <c r="E11" s="39" t="s">
        <v>5136</v>
      </c>
      <c r="F11" s="39" t="s">
        <v>5166</v>
      </c>
      <c r="G11" s="37" t="s">
        <v>5131</v>
      </c>
      <c r="H11" s="37"/>
      <c r="I11" s="37"/>
      <c r="J11" s="37"/>
      <c r="K11" s="37" t="s">
        <v>45</v>
      </c>
      <c r="L11" s="37" t="s">
        <v>5243</v>
      </c>
      <c r="M11" s="37" t="s">
        <v>5143</v>
      </c>
      <c r="N11" s="37" t="s">
        <v>5132</v>
      </c>
      <c r="O11" s="37" t="s">
        <v>5140</v>
      </c>
      <c r="P11" s="71" t="s">
        <v>3268</v>
      </c>
      <c r="Q11" s="37" t="s">
        <v>1766</v>
      </c>
      <c r="R11" s="37" t="s">
        <v>5145</v>
      </c>
      <c r="S11" s="37" t="s">
        <v>5139</v>
      </c>
      <c r="T11" s="50">
        <v>6</v>
      </c>
      <c r="U11" s="37" t="s">
        <v>1766</v>
      </c>
      <c r="V11" s="37" t="s">
        <v>5134</v>
      </c>
      <c r="W11" s="37" t="s">
        <v>1766</v>
      </c>
      <c r="X11" s="37" t="s">
        <v>1766</v>
      </c>
      <c r="Y11" s="37" t="s">
        <v>5151</v>
      </c>
      <c r="Z11" s="37" t="s">
        <v>1766</v>
      </c>
      <c r="AA11" s="37" t="s">
        <v>1766</v>
      </c>
      <c r="AB11" s="37" t="s">
        <v>1766</v>
      </c>
      <c r="AC11" s="37" t="s">
        <v>1728</v>
      </c>
      <c r="AD11" s="37" t="s">
        <v>1771</v>
      </c>
      <c r="AE11" s="37" t="s">
        <v>57</v>
      </c>
      <c r="AF11" s="37" t="s">
        <v>5138</v>
      </c>
      <c r="AG11" s="37" t="s">
        <v>5137</v>
      </c>
      <c r="AH11" s="37" t="s">
        <v>5137</v>
      </c>
      <c r="AI11" s="37"/>
      <c r="AJ11" s="37">
        <v>2.0699999999999998</v>
      </c>
      <c r="AK11" s="37"/>
      <c r="AL11" s="47">
        <v>17</v>
      </c>
      <c r="AM11" s="47" t="s">
        <v>5490</v>
      </c>
      <c r="AN11" s="47"/>
      <c r="AO11" s="47" t="s">
        <v>5491</v>
      </c>
      <c r="AP11" t="s">
        <v>5521</v>
      </c>
    </row>
    <row r="12" spans="1:42" ht="14.25" customHeight="1" x14ac:dyDescent="0.3">
      <c r="A12" s="36" t="s">
        <v>5123</v>
      </c>
      <c r="B12" s="37" t="s">
        <v>5094</v>
      </c>
      <c r="C12" s="37" t="s">
        <v>5078</v>
      </c>
      <c r="D12" s="38">
        <v>5414404225016</v>
      </c>
      <c r="E12" s="39" t="s">
        <v>5136</v>
      </c>
      <c r="F12" s="39" t="s">
        <v>5166</v>
      </c>
      <c r="G12" s="37" t="s">
        <v>5131</v>
      </c>
      <c r="H12" s="37"/>
      <c r="I12" s="37"/>
      <c r="J12" s="37"/>
      <c r="K12" s="37" t="s">
        <v>45</v>
      </c>
      <c r="L12" s="37" t="s">
        <v>5243</v>
      </c>
      <c r="M12" s="37" t="s">
        <v>5143</v>
      </c>
      <c r="N12" s="37" t="s">
        <v>5132</v>
      </c>
      <c r="O12" s="37" t="s">
        <v>5157</v>
      </c>
      <c r="P12" s="71" t="s">
        <v>3268</v>
      </c>
      <c r="Q12" s="37" t="s">
        <v>1766</v>
      </c>
      <c r="R12" s="37" t="s">
        <v>5145</v>
      </c>
      <c r="S12" s="37" t="s">
        <v>5139</v>
      </c>
      <c r="T12" s="50">
        <v>6</v>
      </c>
      <c r="U12" s="37" t="s">
        <v>1766</v>
      </c>
      <c r="V12" s="37" t="s">
        <v>5134</v>
      </c>
      <c r="W12" s="37" t="s">
        <v>1766</v>
      </c>
      <c r="X12" s="37" t="s">
        <v>1766</v>
      </c>
      <c r="Y12" s="37" t="s">
        <v>5151</v>
      </c>
      <c r="Z12" s="37" t="s">
        <v>1766</v>
      </c>
      <c r="AA12" s="37" t="s">
        <v>1766</v>
      </c>
      <c r="AB12" s="37" t="s">
        <v>1766</v>
      </c>
      <c r="AC12" s="37" t="s">
        <v>1728</v>
      </c>
      <c r="AD12" s="37" t="s">
        <v>1771</v>
      </c>
      <c r="AE12" s="37" t="s">
        <v>57</v>
      </c>
      <c r="AF12" s="37" t="s">
        <v>5138</v>
      </c>
      <c r="AG12" s="37" t="s">
        <v>5137</v>
      </c>
      <c r="AH12" s="37" t="s">
        <v>5137</v>
      </c>
      <c r="AI12" s="37"/>
      <c r="AJ12" s="37">
        <v>2.0699999999999998</v>
      </c>
      <c r="AK12" s="37"/>
      <c r="AL12" s="47">
        <v>17</v>
      </c>
      <c r="AM12" s="47" t="s">
        <v>5490</v>
      </c>
      <c r="AN12" s="47"/>
      <c r="AO12" s="47" t="s">
        <v>5491</v>
      </c>
      <c r="AP12" t="s">
        <v>5521</v>
      </c>
    </row>
    <row r="13" spans="1:42" ht="14.25" customHeight="1" x14ac:dyDescent="0.3">
      <c r="A13" s="36" t="s">
        <v>5121</v>
      </c>
      <c r="B13" s="37" t="s">
        <v>5091</v>
      </c>
      <c r="C13" s="37" t="s">
        <v>5078</v>
      </c>
      <c r="D13" s="38">
        <v>5414404224989</v>
      </c>
      <c r="E13" s="39" t="s">
        <v>5136</v>
      </c>
      <c r="F13" s="39" t="s">
        <v>5166</v>
      </c>
      <c r="G13" s="37" t="s">
        <v>5131</v>
      </c>
      <c r="H13" s="37"/>
      <c r="I13" s="37"/>
      <c r="J13" s="37"/>
      <c r="K13" s="37" t="s">
        <v>45</v>
      </c>
      <c r="L13" s="37" t="s">
        <v>5243</v>
      </c>
      <c r="M13" s="37" t="s">
        <v>5143</v>
      </c>
      <c r="N13" s="37" t="s">
        <v>5132</v>
      </c>
      <c r="O13" s="37" t="s">
        <v>427</v>
      </c>
      <c r="P13" s="71" t="s">
        <v>586</v>
      </c>
      <c r="Q13" s="37" t="s">
        <v>1766</v>
      </c>
      <c r="R13" s="37" t="s">
        <v>5145</v>
      </c>
      <c r="S13" s="37" t="s">
        <v>5139</v>
      </c>
      <c r="T13" s="50">
        <v>6</v>
      </c>
      <c r="U13" s="37" t="s">
        <v>1766</v>
      </c>
      <c r="V13" s="37" t="s">
        <v>5134</v>
      </c>
      <c r="W13" s="37" t="s">
        <v>1766</v>
      </c>
      <c r="X13" s="37" t="s">
        <v>1766</v>
      </c>
      <c r="Y13" s="37" t="s">
        <v>5151</v>
      </c>
      <c r="Z13" s="37" t="s">
        <v>1766</v>
      </c>
      <c r="AA13" s="37" t="s">
        <v>1766</v>
      </c>
      <c r="AB13" s="37" t="s">
        <v>1766</v>
      </c>
      <c r="AC13" s="37" t="s">
        <v>1728</v>
      </c>
      <c r="AD13" s="37" t="s">
        <v>1771</v>
      </c>
      <c r="AE13" s="37" t="s">
        <v>57</v>
      </c>
      <c r="AF13" s="37" t="s">
        <v>5138</v>
      </c>
      <c r="AG13" s="37" t="s">
        <v>5137</v>
      </c>
      <c r="AH13" s="37" t="s">
        <v>5137</v>
      </c>
      <c r="AI13" s="37"/>
      <c r="AJ13" s="37">
        <v>2.0699999999999998</v>
      </c>
      <c r="AK13" s="37"/>
      <c r="AL13" s="47">
        <v>17</v>
      </c>
      <c r="AM13" s="47" t="s">
        <v>5490</v>
      </c>
      <c r="AN13" s="47"/>
      <c r="AO13" s="47" t="s">
        <v>5491</v>
      </c>
      <c r="AP13" t="s">
        <v>5521</v>
      </c>
    </row>
    <row r="14" spans="1:42" ht="14.25" customHeight="1" x14ac:dyDescent="0.3">
      <c r="A14" s="36" t="s">
        <v>5122</v>
      </c>
      <c r="B14" s="37" t="s">
        <v>5093</v>
      </c>
      <c r="C14" s="37" t="s">
        <v>5078</v>
      </c>
      <c r="D14" s="38">
        <v>5414404225009</v>
      </c>
      <c r="E14" s="39" t="s">
        <v>5136</v>
      </c>
      <c r="F14" s="39" t="s">
        <v>5166</v>
      </c>
      <c r="G14" s="37" t="s">
        <v>5131</v>
      </c>
      <c r="H14" s="37"/>
      <c r="I14" s="37"/>
      <c r="J14" s="37"/>
      <c r="K14" s="37" t="s">
        <v>45</v>
      </c>
      <c r="L14" s="37" t="s">
        <v>5243</v>
      </c>
      <c r="M14" s="37" t="s">
        <v>5143</v>
      </c>
      <c r="N14" s="37" t="s">
        <v>5132</v>
      </c>
      <c r="O14" s="37" t="s">
        <v>5156</v>
      </c>
      <c r="P14" s="71" t="s">
        <v>3268</v>
      </c>
      <c r="Q14" s="37" t="s">
        <v>1766</v>
      </c>
      <c r="R14" s="37" t="s">
        <v>5145</v>
      </c>
      <c r="S14" s="37" t="s">
        <v>5139</v>
      </c>
      <c r="T14" s="50">
        <v>6</v>
      </c>
      <c r="U14" s="37" t="s">
        <v>1766</v>
      </c>
      <c r="V14" s="37" t="s">
        <v>5134</v>
      </c>
      <c r="W14" s="37" t="s">
        <v>1766</v>
      </c>
      <c r="X14" s="37" t="s">
        <v>1766</v>
      </c>
      <c r="Y14" s="37" t="s">
        <v>5151</v>
      </c>
      <c r="Z14" s="37" t="s">
        <v>1766</v>
      </c>
      <c r="AA14" s="37" t="s">
        <v>1766</v>
      </c>
      <c r="AB14" s="37" t="s">
        <v>1766</v>
      </c>
      <c r="AC14" s="37" t="s">
        <v>1728</v>
      </c>
      <c r="AD14" s="37" t="s">
        <v>1771</v>
      </c>
      <c r="AE14" s="37" t="s">
        <v>57</v>
      </c>
      <c r="AF14" s="37" t="s">
        <v>5138</v>
      </c>
      <c r="AG14" s="37" t="s">
        <v>5137</v>
      </c>
      <c r="AH14" s="37" t="s">
        <v>5137</v>
      </c>
      <c r="AI14" s="37"/>
      <c r="AJ14" s="37">
        <v>2.0699999999999998</v>
      </c>
      <c r="AK14" s="37"/>
      <c r="AL14" s="47">
        <v>17</v>
      </c>
      <c r="AM14" s="47" t="s">
        <v>5490</v>
      </c>
      <c r="AN14" s="47"/>
      <c r="AO14" s="47" t="s">
        <v>5491</v>
      </c>
      <c r="AP14" t="s">
        <v>5521</v>
      </c>
    </row>
    <row r="15" spans="1:42" ht="14.25" customHeight="1" x14ac:dyDescent="0.3">
      <c r="A15" s="36" t="s">
        <v>5154</v>
      </c>
      <c r="B15" s="37" t="s">
        <v>5092</v>
      </c>
      <c r="C15" s="37" t="s">
        <v>5078</v>
      </c>
      <c r="D15" s="38">
        <v>5414404224996</v>
      </c>
      <c r="E15" s="39" t="s">
        <v>5136</v>
      </c>
      <c r="F15" s="39" t="s">
        <v>5166</v>
      </c>
      <c r="G15" s="37" t="s">
        <v>5131</v>
      </c>
      <c r="H15" s="37"/>
      <c r="I15" s="37"/>
      <c r="J15" s="37"/>
      <c r="K15" s="37" t="s">
        <v>45</v>
      </c>
      <c r="L15" s="37" t="s">
        <v>5243</v>
      </c>
      <c r="M15" s="37" t="s">
        <v>5143</v>
      </c>
      <c r="N15" s="37" t="s">
        <v>5132</v>
      </c>
      <c r="O15" s="37" t="s">
        <v>5155</v>
      </c>
      <c r="P15" s="71" t="s">
        <v>61</v>
      </c>
      <c r="Q15" s="37" t="s">
        <v>1766</v>
      </c>
      <c r="R15" s="37" t="s">
        <v>5145</v>
      </c>
      <c r="S15" s="37" t="s">
        <v>5139</v>
      </c>
      <c r="T15" s="50">
        <v>6</v>
      </c>
      <c r="U15" s="37" t="s">
        <v>1766</v>
      </c>
      <c r="V15" s="37" t="s">
        <v>5134</v>
      </c>
      <c r="W15" s="37" t="s">
        <v>1766</v>
      </c>
      <c r="X15" s="37" t="s">
        <v>1766</v>
      </c>
      <c r="Y15" s="37" t="s">
        <v>5151</v>
      </c>
      <c r="Z15" s="37" t="s">
        <v>1766</v>
      </c>
      <c r="AA15" s="37" t="s">
        <v>1766</v>
      </c>
      <c r="AB15" s="37" t="s">
        <v>1766</v>
      </c>
      <c r="AC15" s="37" t="s">
        <v>1728</v>
      </c>
      <c r="AD15" s="37" t="s">
        <v>1771</v>
      </c>
      <c r="AE15" s="37" t="s">
        <v>57</v>
      </c>
      <c r="AF15" s="37" t="s">
        <v>5138</v>
      </c>
      <c r="AG15" s="37" t="s">
        <v>5137</v>
      </c>
      <c r="AH15" s="37" t="s">
        <v>5137</v>
      </c>
      <c r="AI15" s="37"/>
      <c r="AJ15" s="37">
        <v>2.0699999999999998</v>
      </c>
      <c r="AK15" s="37"/>
      <c r="AL15" s="47">
        <v>17</v>
      </c>
      <c r="AM15" s="47" t="s">
        <v>5490</v>
      </c>
      <c r="AN15" s="47"/>
      <c r="AO15" s="47" t="s">
        <v>5491</v>
      </c>
      <c r="AP15" t="s">
        <v>5521</v>
      </c>
    </row>
    <row r="16" spans="1:42" ht="14.25" customHeight="1" x14ac:dyDescent="0.3">
      <c r="A16" s="36" t="s">
        <v>5114</v>
      </c>
      <c r="B16" s="37" t="s">
        <v>5084</v>
      </c>
      <c r="C16" s="37" t="s">
        <v>5078</v>
      </c>
      <c r="D16" s="38">
        <v>5414404224903</v>
      </c>
      <c r="E16" s="39" t="s">
        <v>5136</v>
      </c>
      <c r="F16" s="39" t="s">
        <v>5166</v>
      </c>
      <c r="G16" s="37" t="s">
        <v>5131</v>
      </c>
      <c r="H16" s="37"/>
      <c r="I16" s="37"/>
      <c r="J16" s="37"/>
      <c r="K16" s="37" t="s">
        <v>45</v>
      </c>
      <c r="L16" s="37" t="s">
        <v>5243</v>
      </c>
      <c r="M16" s="37" t="s">
        <v>5143</v>
      </c>
      <c r="N16" s="37" t="s">
        <v>5132</v>
      </c>
      <c r="O16" s="37" t="s">
        <v>586</v>
      </c>
      <c r="P16" s="71" t="s">
        <v>586</v>
      </c>
      <c r="Q16" s="37" t="s">
        <v>1766</v>
      </c>
      <c r="R16" s="37" t="s">
        <v>5145</v>
      </c>
      <c r="S16" s="37" t="s">
        <v>5139</v>
      </c>
      <c r="T16" s="50">
        <v>6</v>
      </c>
      <c r="U16" s="37" t="s">
        <v>1766</v>
      </c>
      <c r="V16" s="37" t="s">
        <v>5134</v>
      </c>
      <c r="W16" s="37" t="s">
        <v>1766</v>
      </c>
      <c r="X16" s="37" t="s">
        <v>1766</v>
      </c>
      <c r="Y16" s="37" t="s">
        <v>5151</v>
      </c>
      <c r="Z16" s="37" t="s">
        <v>1766</v>
      </c>
      <c r="AA16" s="37" t="s">
        <v>1766</v>
      </c>
      <c r="AB16" s="37" t="s">
        <v>1766</v>
      </c>
      <c r="AC16" s="37" t="s">
        <v>1728</v>
      </c>
      <c r="AD16" s="37" t="s">
        <v>1771</v>
      </c>
      <c r="AE16" s="37" t="s">
        <v>57</v>
      </c>
      <c r="AF16" s="37" t="s">
        <v>5138</v>
      </c>
      <c r="AG16" s="37" t="s">
        <v>5137</v>
      </c>
      <c r="AH16" s="37" t="s">
        <v>5137</v>
      </c>
      <c r="AI16" s="37"/>
      <c r="AJ16" s="37">
        <v>2.0699999999999998</v>
      </c>
      <c r="AK16" s="37"/>
      <c r="AL16" s="47">
        <v>17</v>
      </c>
      <c r="AM16" s="47" t="s">
        <v>5490</v>
      </c>
      <c r="AN16" s="47"/>
      <c r="AO16" s="47" t="s">
        <v>5491</v>
      </c>
      <c r="AP16" t="s">
        <v>5521</v>
      </c>
    </row>
    <row r="17" spans="1:42" ht="14.25" customHeight="1" x14ac:dyDescent="0.3">
      <c r="A17" s="36" t="s">
        <v>5119</v>
      </c>
      <c r="B17" s="37" t="s">
        <v>5089</v>
      </c>
      <c r="C17" s="37" t="s">
        <v>5078</v>
      </c>
      <c r="D17" s="38">
        <v>5414404224965</v>
      </c>
      <c r="E17" s="39" t="s">
        <v>5136</v>
      </c>
      <c r="F17" s="39" t="s">
        <v>5166</v>
      </c>
      <c r="G17" s="37" t="s">
        <v>5131</v>
      </c>
      <c r="H17" s="37"/>
      <c r="I17" s="37"/>
      <c r="J17" s="37"/>
      <c r="K17" s="37" t="s">
        <v>45</v>
      </c>
      <c r="L17" s="37" t="s">
        <v>5243</v>
      </c>
      <c r="M17" s="37" t="s">
        <v>5143</v>
      </c>
      <c r="N17" s="37" t="s">
        <v>5132</v>
      </c>
      <c r="O17" s="37" t="s">
        <v>5140</v>
      </c>
      <c r="P17" s="71" t="s">
        <v>3268</v>
      </c>
      <c r="Q17" s="37" t="s">
        <v>1766</v>
      </c>
      <c r="R17" s="37" t="s">
        <v>5145</v>
      </c>
      <c r="S17" s="37" t="s">
        <v>5139</v>
      </c>
      <c r="T17" s="50">
        <v>6</v>
      </c>
      <c r="U17" s="37" t="s">
        <v>1766</v>
      </c>
      <c r="V17" s="37" t="s">
        <v>5134</v>
      </c>
      <c r="W17" s="37" t="s">
        <v>1766</v>
      </c>
      <c r="X17" s="37" t="s">
        <v>1766</v>
      </c>
      <c r="Y17" s="37" t="s">
        <v>5151</v>
      </c>
      <c r="Z17" s="37" t="s">
        <v>1766</v>
      </c>
      <c r="AA17" s="37" t="s">
        <v>1766</v>
      </c>
      <c r="AB17" s="37" t="s">
        <v>1766</v>
      </c>
      <c r="AC17" s="37" t="s">
        <v>1728</v>
      </c>
      <c r="AD17" s="37" t="s">
        <v>1771</v>
      </c>
      <c r="AE17" s="37" t="s">
        <v>57</v>
      </c>
      <c r="AF17" s="37" t="s">
        <v>5138</v>
      </c>
      <c r="AG17" s="37" t="s">
        <v>5137</v>
      </c>
      <c r="AH17" s="37" t="s">
        <v>5137</v>
      </c>
      <c r="AI17" s="37"/>
      <c r="AJ17" s="37">
        <v>2.0699999999999998</v>
      </c>
      <c r="AK17" s="37"/>
      <c r="AL17" s="47">
        <v>17</v>
      </c>
      <c r="AM17" s="47" t="s">
        <v>5490</v>
      </c>
      <c r="AN17" s="47"/>
      <c r="AO17" s="47" t="s">
        <v>5491</v>
      </c>
      <c r="AP17" t="s">
        <v>5521</v>
      </c>
    </row>
    <row r="18" spans="1:42" ht="14.25" customHeight="1" x14ac:dyDescent="0.3">
      <c r="A18" s="36" t="s">
        <v>5118</v>
      </c>
      <c r="B18" s="37" t="s">
        <v>5088</v>
      </c>
      <c r="C18" s="37" t="s">
        <v>5078</v>
      </c>
      <c r="D18" s="38">
        <v>5414404224958</v>
      </c>
      <c r="E18" s="39" t="s">
        <v>5136</v>
      </c>
      <c r="F18" s="39" t="s">
        <v>5166</v>
      </c>
      <c r="G18" s="37" t="s">
        <v>5131</v>
      </c>
      <c r="H18" s="37"/>
      <c r="I18" s="37"/>
      <c r="J18" s="37"/>
      <c r="K18" s="37" t="s">
        <v>45</v>
      </c>
      <c r="L18" s="37" t="s">
        <v>5243</v>
      </c>
      <c r="M18" s="37" t="s">
        <v>5143</v>
      </c>
      <c r="N18" s="37" t="s">
        <v>5132</v>
      </c>
      <c r="O18" s="37" t="s">
        <v>5153</v>
      </c>
      <c r="P18" s="71" t="s">
        <v>3268</v>
      </c>
      <c r="Q18" s="37" t="s">
        <v>1766</v>
      </c>
      <c r="R18" s="37" t="s">
        <v>5145</v>
      </c>
      <c r="S18" s="37" t="s">
        <v>5139</v>
      </c>
      <c r="T18" s="50">
        <v>6</v>
      </c>
      <c r="U18" s="37" t="s">
        <v>1766</v>
      </c>
      <c r="V18" s="37" t="s">
        <v>5134</v>
      </c>
      <c r="W18" s="37" t="s">
        <v>1766</v>
      </c>
      <c r="X18" s="37" t="s">
        <v>1766</v>
      </c>
      <c r="Y18" s="37" t="s">
        <v>5151</v>
      </c>
      <c r="Z18" s="37" t="s">
        <v>1766</v>
      </c>
      <c r="AA18" s="37" t="s">
        <v>1766</v>
      </c>
      <c r="AB18" s="37" t="s">
        <v>1766</v>
      </c>
      <c r="AC18" s="37" t="s">
        <v>1728</v>
      </c>
      <c r="AD18" s="37" t="s">
        <v>1771</v>
      </c>
      <c r="AE18" s="37" t="s">
        <v>57</v>
      </c>
      <c r="AF18" s="37" t="s">
        <v>5138</v>
      </c>
      <c r="AG18" s="37" t="s">
        <v>5137</v>
      </c>
      <c r="AH18" s="37" t="s">
        <v>5137</v>
      </c>
      <c r="AI18" s="37"/>
      <c r="AJ18" s="37">
        <v>2.0699999999999998</v>
      </c>
      <c r="AK18" s="37"/>
      <c r="AL18" s="47">
        <v>17</v>
      </c>
      <c r="AM18" s="47" t="s">
        <v>5490</v>
      </c>
      <c r="AN18" s="47"/>
      <c r="AO18" s="47" t="s">
        <v>5491</v>
      </c>
      <c r="AP18" t="s">
        <v>5521</v>
      </c>
    </row>
    <row r="19" spans="1:42" ht="14.25" customHeight="1" x14ac:dyDescent="0.3">
      <c r="A19" s="36" t="s">
        <v>5115</v>
      </c>
      <c r="B19" s="37" t="s">
        <v>5085</v>
      </c>
      <c r="C19" s="37" t="s">
        <v>5078</v>
      </c>
      <c r="D19" s="38">
        <v>5414404224910</v>
      </c>
      <c r="E19" s="39" t="s">
        <v>5136</v>
      </c>
      <c r="F19" s="39" t="s">
        <v>5166</v>
      </c>
      <c r="G19" s="37" t="s">
        <v>5131</v>
      </c>
      <c r="H19" s="37"/>
      <c r="I19" s="37"/>
      <c r="J19" s="37"/>
      <c r="K19" s="37" t="s">
        <v>45</v>
      </c>
      <c r="L19" s="37" t="s">
        <v>5243</v>
      </c>
      <c r="M19" s="37" t="s">
        <v>5143</v>
      </c>
      <c r="N19" s="37" t="s">
        <v>5132</v>
      </c>
      <c r="O19" s="37" t="s">
        <v>887</v>
      </c>
      <c r="P19" s="71" t="s">
        <v>586</v>
      </c>
      <c r="Q19" s="37" t="s">
        <v>1766</v>
      </c>
      <c r="R19" s="37" t="s">
        <v>5145</v>
      </c>
      <c r="S19" s="37" t="s">
        <v>5139</v>
      </c>
      <c r="T19" s="50">
        <v>6</v>
      </c>
      <c r="U19" s="37" t="s">
        <v>1766</v>
      </c>
      <c r="V19" s="37" t="s">
        <v>5134</v>
      </c>
      <c r="W19" s="37" t="s">
        <v>1766</v>
      </c>
      <c r="X19" s="37" t="s">
        <v>1766</v>
      </c>
      <c r="Y19" s="37" t="s">
        <v>5151</v>
      </c>
      <c r="Z19" s="37" t="s">
        <v>1766</v>
      </c>
      <c r="AA19" s="37" t="s">
        <v>1766</v>
      </c>
      <c r="AB19" s="37" t="s">
        <v>1766</v>
      </c>
      <c r="AC19" s="37" t="s">
        <v>1728</v>
      </c>
      <c r="AD19" s="37" t="s">
        <v>1771</v>
      </c>
      <c r="AE19" s="37" t="s">
        <v>57</v>
      </c>
      <c r="AF19" s="37" t="s">
        <v>5138</v>
      </c>
      <c r="AG19" s="37" t="s">
        <v>5137</v>
      </c>
      <c r="AH19" s="37" t="s">
        <v>5137</v>
      </c>
      <c r="AI19" s="37"/>
      <c r="AJ19" s="37">
        <v>2.0699999999999998</v>
      </c>
      <c r="AK19" s="37"/>
      <c r="AL19" s="47">
        <v>17</v>
      </c>
      <c r="AM19" s="47" t="s">
        <v>5490</v>
      </c>
      <c r="AN19" s="47"/>
      <c r="AO19" s="47" t="s">
        <v>5491</v>
      </c>
      <c r="AP19" t="s">
        <v>5521</v>
      </c>
    </row>
    <row r="20" spans="1:42" ht="14.25" customHeight="1" x14ac:dyDescent="0.3">
      <c r="A20" s="36" t="s">
        <v>5116</v>
      </c>
      <c r="B20" s="37" t="s">
        <v>5086</v>
      </c>
      <c r="C20" s="37" t="s">
        <v>5078</v>
      </c>
      <c r="D20" s="38">
        <v>5414404224927</v>
      </c>
      <c r="E20" s="39" t="s">
        <v>5136</v>
      </c>
      <c r="F20" s="39" t="s">
        <v>5166</v>
      </c>
      <c r="G20" s="37" t="s">
        <v>5131</v>
      </c>
      <c r="H20" s="37"/>
      <c r="I20" s="37"/>
      <c r="J20" s="37"/>
      <c r="K20" s="37" t="s">
        <v>45</v>
      </c>
      <c r="L20" s="37" t="s">
        <v>5243</v>
      </c>
      <c r="M20" s="37" t="s">
        <v>5143</v>
      </c>
      <c r="N20" s="37" t="s">
        <v>5132</v>
      </c>
      <c r="O20" s="37" t="s">
        <v>427</v>
      </c>
      <c r="P20" s="71" t="s">
        <v>586</v>
      </c>
      <c r="Q20" s="37" t="s">
        <v>1766</v>
      </c>
      <c r="R20" s="37" t="s">
        <v>5145</v>
      </c>
      <c r="S20" s="37" t="s">
        <v>5139</v>
      </c>
      <c r="T20" s="50">
        <v>6</v>
      </c>
      <c r="U20" s="37" t="s">
        <v>1766</v>
      </c>
      <c r="V20" s="37" t="s">
        <v>5134</v>
      </c>
      <c r="W20" s="37" t="s">
        <v>1766</v>
      </c>
      <c r="X20" s="37" t="s">
        <v>1766</v>
      </c>
      <c r="Y20" s="37" t="s">
        <v>5151</v>
      </c>
      <c r="Z20" s="37" t="s">
        <v>1766</v>
      </c>
      <c r="AA20" s="37" t="s">
        <v>1766</v>
      </c>
      <c r="AB20" s="37" t="s">
        <v>1766</v>
      </c>
      <c r="AC20" s="37" t="s">
        <v>1728</v>
      </c>
      <c r="AD20" s="37" t="s">
        <v>1771</v>
      </c>
      <c r="AE20" s="37" t="s">
        <v>57</v>
      </c>
      <c r="AF20" s="37" t="s">
        <v>5138</v>
      </c>
      <c r="AG20" s="37" t="s">
        <v>5137</v>
      </c>
      <c r="AH20" s="37" t="s">
        <v>5137</v>
      </c>
      <c r="AI20" s="37"/>
      <c r="AJ20" s="37">
        <v>2.0699999999999998</v>
      </c>
      <c r="AK20" s="37"/>
      <c r="AL20" s="47">
        <v>17</v>
      </c>
      <c r="AM20" s="47" t="s">
        <v>5490</v>
      </c>
      <c r="AN20" s="47"/>
      <c r="AO20" s="47" t="s">
        <v>5491</v>
      </c>
      <c r="AP20" t="s">
        <v>5521</v>
      </c>
    </row>
    <row r="21" spans="1:42" ht="14.25" customHeight="1" x14ac:dyDescent="0.3">
      <c r="A21" s="36" t="s">
        <v>5120</v>
      </c>
      <c r="B21" s="37" t="s">
        <v>5090</v>
      </c>
      <c r="C21" s="37" t="s">
        <v>5078</v>
      </c>
      <c r="D21" s="38">
        <v>5414404224972</v>
      </c>
      <c r="E21" s="39" t="s">
        <v>5136</v>
      </c>
      <c r="F21" s="39" t="s">
        <v>5166</v>
      </c>
      <c r="G21" s="37" t="s">
        <v>5131</v>
      </c>
      <c r="H21" s="37"/>
      <c r="I21" s="37"/>
      <c r="J21" s="37"/>
      <c r="K21" s="37" t="s">
        <v>45</v>
      </c>
      <c r="L21" s="37" t="s">
        <v>5243</v>
      </c>
      <c r="M21" s="37" t="s">
        <v>5143</v>
      </c>
      <c r="N21" s="37" t="s">
        <v>5132</v>
      </c>
      <c r="O21" s="37" t="s">
        <v>5150</v>
      </c>
      <c r="P21" s="71" t="s">
        <v>5624</v>
      </c>
      <c r="Q21" s="37" t="s">
        <v>1766</v>
      </c>
      <c r="R21" s="37" t="s">
        <v>5145</v>
      </c>
      <c r="S21" s="37" t="s">
        <v>5139</v>
      </c>
      <c r="T21" s="50">
        <v>6</v>
      </c>
      <c r="U21" s="37" t="s">
        <v>1766</v>
      </c>
      <c r="V21" s="37" t="s">
        <v>5134</v>
      </c>
      <c r="W21" s="37" t="s">
        <v>1766</v>
      </c>
      <c r="X21" s="37" t="s">
        <v>1766</v>
      </c>
      <c r="Y21" s="37" t="s">
        <v>5151</v>
      </c>
      <c r="Z21" s="37" t="s">
        <v>1766</v>
      </c>
      <c r="AA21" s="37" t="s">
        <v>1766</v>
      </c>
      <c r="AB21" s="37" t="s">
        <v>1766</v>
      </c>
      <c r="AC21" s="37" t="s">
        <v>1728</v>
      </c>
      <c r="AD21" s="37" t="s">
        <v>1771</v>
      </c>
      <c r="AE21" s="37" t="s">
        <v>57</v>
      </c>
      <c r="AF21" s="37" t="s">
        <v>5138</v>
      </c>
      <c r="AG21" s="37" t="s">
        <v>5137</v>
      </c>
      <c r="AH21" s="37" t="s">
        <v>5137</v>
      </c>
      <c r="AI21" s="37"/>
      <c r="AJ21" s="37">
        <v>2.0699999999999998</v>
      </c>
      <c r="AK21" s="37"/>
      <c r="AL21" s="47">
        <v>17</v>
      </c>
      <c r="AM21" s="47" t="s">
        <v>5490</v>
      </c>
      <c r="AN21" s="47"/>
      <c r="AO21" s="47" t="s">
        <v>5491</v>
      </c>
      <c r="AP21" t="s">
        <v>5521</v>
      </c>
    </row>
    <row r="22" spans="1:42" ht="14.25" customHeight="1" x14ac:dyDescent="0.3">
      <c r="A22" s="36" t="s">
        <v>5117</v>
      </c>
      <c r="B22" s="37" t="s">
        <v>5087</v>
      </c>
      <c r="C22" s="37" t="s">
        <v>5078</v>
      </c>
      <c r="D22" s="38">
        <v>5414404224941</v>
      </c>
      <c r="E22" s="39" t="s">
        <v>5136</v>
      </c>
      <c r="F22" s="39" t="s">
        <v>5166</v>
      </c>
      <c r="G22" s="37" t="s">
        <v>5131</v>
      </c>
      <c r="H22" s="37"/>
      <c r="I22" s="37"/>
      <c r="J22" s="37"/>
      <c r="K22" s="37" t="s">
        <v>45</v>
      </c>
      <c r="L22" s="37" t="s">
        <v>5243</v>
      </c>
      <c r="M22" s="37" t="s">
        <v>5143</v>
      </c>
      <c r="N22" s="37" t="s">
        <v>5132</v>
      </c>
      <c r="O22" s="37" t="s">
        <v>5066</v>
      </c>
      <c r="P22" s="71" t="s">
        <v>586</v>
      </c>
      <c r="Q22" s="37" t="s">
        <v>1766</v>
      </c>
      <c r="R22" s="37" t="s">
        <v>5145</v>
      </c>
      <c r="S22" s="37" t="s">
        <v>5139</v>
      </c>
      <c r="T22" s="50">
        <v>6</v>
      </c>
      <c r="U22" s="37" t="s">
        <v>1766</v>
      </c>
      <c r="V22" s="37" t="s">
        <v>5134</v>
      </c>
      <c r="W22" s="37" t="s">
        <v>1766</v>
      </c>
      <c r="X22" s="37" t="s">
        <v>1766</v>
      </c>
      <c r="Y22" s="37" t="s">
        <v>5151</v>
      </c>
      <c r="Z22" s="37" t="s">
        <v>1766</v>
      </c>
      <c r="AA22" s="37" t="s">
        <v>1766</v>
      </c>
      <c r="AB22" s="37" t="s">
        <v>1766</v>
      </c>
      <c r="AC22" s="37" t="s">
        <v>1728</v>
      </c>
      <c r="AD22" s="37" t="s">
        <v>1771</v>
      </c>
      <c r="AE22" s="37" t="s">
        <v>57</v>
      </c>
      <c r="AF22" s="37" t="s">
        <v>5138</v>
      </c>
      <c r="AG22" s="37" t="s">
        <v>5137</v>
      </c>
      <c r="AH22" s="37" t="s">
        <v>5137</v>
      </c>
      <c r="AI22" s="37"/>
      <c r="AJ22" s="37">
        <v>2.0699999999999998</v>
      </c>
      <c r="AK22" s="37"/>
      <c r="AL22" s="47">
        <v>17</v>
      </c>
      <c r="AM22" s="47" t="s">
        <v>5490</v>
      </c>
      <c r="AN22" s="47"/>
      <c r="AO22" s="47" t="s">
        <v>5491</v>
      </c>
      <c r="AP22" t="s">
        <v>5521</v>
      </c>
    </row>
    <row r="23" spans="1:42" s="37" customFormat="1" ht="14.25" customHeight="1" x14ac:dyDescent="0.3">
      <c r="A23" s="36" t="s">
        <v>5127</v>
      </c>
      <c r="B23" s="37" t="s">
        <v>5102</v>
      </c>
      <c r="C23" s="37" t="s">
        <v>5078</v>
      </c>
      <c r="D23" s="38">
        <v>5414404225276</v>
      </c>
      <c r="E23" s="39" t="s">
        <v>5169</v>
      </c>
      <c r="F23" s="39" t="s">
        <v>5174</v>
      </c>
      <c r="G23" s="37" t="s">
        <v>5131</v>
      </c>
      <c r="K23" s="37" t="s">
        <v>45</v>
      </c>
      <c r="L23" s="37" t="s">
        <v>5243</v>
      </c>
      <c r="M23" s="37" t="s">
        <v>5175</v>
      </c>
      <c r="N23" s="37" t="s">
        <v>5132</v>
      </c>
      <c r="O23" s="37" t="s">
        <v>5157</v>
      </c>
      <c r="P23" s="71" t="s">
        <v>3268</v>
      </c>
      <c r="Q23" s="37" t="s">
        <v>1766</v>
      </c>
      <c r="R23" s="37" t="s">
        <v>5173</v>
      </c>
      <c r="S23" s="37" t="s">
        <v>5172</v>
      </c>
      <c r="T23" s="41">
        <v>10</v>
      </c>
      <c r="U23" s="37" t="s">
        <v>1766</v>
      </c>
      <c r="V23" s="37" t="s">
        <v>5170</v>
      </c>
      <c r="W23" s="37" t="s">
        <v>1766</v>
      </c>
      <c r="X23" s="37" t="s">
        <v>1766</v>
      </c>
      <c r="Y23" s="37" t="s">
        <v>5151</v>
      </c>
      <c r="Z23" s="37" t="s">
        <v>1766</v>
      </c>
      <c r="AA23" s="37" t="s">
        <v>1766</v>
      </c>
      <c r="AB23" s="37" t="s">
        <v>1766</v>
      </c>
      <c r="AC23" s="37" t="s">
        <v>1728</v>
      </c>
      <c r="AD23" s="37" t="s">
        <v>1771</v>
      </c>
      <c r="AE23" s="37" t="s">
        <v>57</v>
      </c>
      <c r="AF23" s="37" t="s">
        <v>5138</v>
      </c>
      <c r="AG23" s="37" t="s">
        <v>5171</v>
      </c>
      <c r="AH23" s="37" t="s">
        <v>5171</v>
      </c>
      <c r="AJ23" s="37">
        <v>3.6019999999999999</v>
      </c>
      <c r="AL23" s="47">
        <v>14</v>
      </c>
      <c r="AM23" s="47"/>
      <c r="AN23" s="47"/>
      <c r="AO23" s="47"/>
      <c r="AP23" t="s">
        <v>5521</v>
      </c>
    </row>
    <row r="24" spans="1:42" s="37" customFormat="1" ht="14.25" customHeight="1" x14ac:dyDescent="0.3">
      <c r="A24" s="36" t="s">
        <v>5126</v>
      </c>
      <c r="B24" s="37" t="s">
        <v>5101</v>
      </c>
      <c r="C24" s="37" t="s">
        <v>5078</v>
      </c>
      <c r="D24" s="38">
        <v>5414404225184</v>
      </c>
      <c r="E24" s="39" t="s">
        <v>5169</v>
      </c>
      <c r="F24" s="39" t="s">
        <v>5174</v>
      </c>
      <c r="G24" s="37" t="s">
        <v>5131</v>
      </c>
      <c r="K24" s="37" t="s">
        <v>45</v>
      </c>
      <c r="L24" s="37" t="s">
        <v>5243</v>
      </c>
      <c r="M24" s="37" t="s">
        <v>5175</v>
      </c>
      <c r="N24" s="37" t="s">
        <v>5132</v>
      </c>
      <c r="O24" s="37" t="s">
        <v>427</v>
      </c>
      <c r="P24" s="71" t="s">
        <v>586</v>
      </c>
      <c r="Q24" s="37" t="s">
        <v>1766</v>
      </c>
      <c r="R24" s="37" t="s">
        <v>5173</v>
      </c>
      <c r="S24" s="37" t="s">
        <v>5172</v>
      </c>
      <c r="T24" s="41">
        <v>10</v>
      </c>
      <c r="U24" s="37" t="s">
        <v>1766</v>
      </c>
      <c r="V24" s="37" t="s">
        <v>5170</v>
      </c>
      <c r="W24" s="37" t="s">
        <v>1766</v>
      </c>
      <c r="X24" s="37" t="s">
        <v>1766</v>
      </c>
      <c r="Y24" s="37" t="s">
        <v>5151</v>
      </c>
      <c r="Z24" s="37" t="s">
        <v>1766</v>
      </c>
      <c r="AA24" s="37" t="s">
        <v>1766</v>
      </c>
      <c r="AB24" s="37" t="s">
        <v>1766</v>
      </c>
      <c r="AC24" s="37" t="s">
        <v>1728</v>
      </c>
      <c r="AD24" s="37" t="s">
        <v>1771</v>
      </c>
      <c r="AE24" s="37" t="s">
        <v>57</v>
      </c>
      <c r="AF24" s="37" t="s">
        <v>5138</v>
      </c>
      <c r="AG24" s="37" t="s">
        <v>5171</v>
      </c>
      <c r="AH24" s="37" t="s">
        <v>5171</v>
      </c>
      <c r="AJ24" s="37">
        <v>3.6019999999999999</v>
      </c>
      <c r="AL24" s="47">
        <v>14</v>
      </c>
      <c r="AM24" s="47"/>
      <c r="AN24" s="47"/>
      <c r="AO24" s="47"/>
      <c r="AP24" t="s">
        <v>5521</v>
      </c>
    </row>
    <row r="25" spans="1:42" s="37" customFormat="1" ht="14.25" customHeight="1" x14ac:dyDescent="0.3">
      <c r="A25" s="36" t="s">
        <v>5129</v>
      </c>
      <c r="B25" s="37" t="s">
        <v>5104</v>
      </c>
      <c r="C25" s="37" t="s">
        <v>5078</v>
      </c>
      <c r="D25" s="38">
        <v>5414404225535</v>
      </c>
      <c r="E25" s="39" t="s">
        <v>5176</v>
      </c>
      <c r="F25" s="39" t="s">
        <v>5177</v>
      </c>
      <c r="G25" s="37" t="s">
        <v>5131</v>
      </c>
      <c r="K25" s="37" t="s">
        <v>45</v>
      </c>
      <c r="L25" s="37" t="s">
        <v>5243</v>
      </c>
      <c r="M25" s="37" t="s">
        <v>5180</v>
      </c>
      <c r="N25" s="37" t="s">
        <v>5132</v>
      </c>
      <c r="O25" s="37" t="s">
        <v>5179</v>
      </c>
      <c r="P25" s="69" t="s">
        <v>586</v>
      </c>
      <c r="Q25" s="37" t="s">
        <v>1766</v>
      </c>
      <c r="R25" s="37" t="s">
        <v>5145</v>
      </c>
      <c r="S25" s="37" t="s">
        <v>5139</v>
      </c>
      <c r="T25" s="41">
        <v>6</v>
      </c>
      <c r="U25" s="37" t="s">
        <v>1766</v>
      </c>
      <c r="V25" s="37" t="s">
        <v>5134</v>
      </c>
      <c r="W25" s="37" t="s">
        <v>1766</v>
      </c>
      <c r="X25" s="37" t="s">
        <v>1766</v>
      </c>
      <c r="Y25" s="37" t="s">
        <v>5151</v>
      </c>
      <c r="Z25" s="37" t="s">
        <v>1766</v>
      </c>
      <c r="AA25" s="37" t="s">
        <v>1766</v>
      </c>
      <c r="AB25" s="37" t="s">
        <v>1766</v>
      </c>
      <c r="AC25" s="37" t="s">
        <v>1728</v>
      </c>
      <c r="AD25" s="37" t="s">
        <v>1771</v>
      </c>
      <c r="AE25" s="37" t="s">
        <v>57</v>
      </c>
      <c r="AF25" s="37" t="s">
        <v>5138</v>
      </c>
      <c r="AG25" s="37" t="s">
        <v>5137</v>
      </c>
      <c r="AH25" s="37" t="s">
        <v>5137</v>
      </c>
      <c r="AJ25" s="37">
        <v>2.5</v>
      </c>
      <c r="AL25" s="47" t="s">
        <v>5492</v>
      </c>
      <c r="AM25" s="47" t="s">
        <v>5493</v>
      </c>
      <c r="AN25" s="47"/>
      <c r="AO25" s="47" t="s">
        <v>5494</v>
      </c>
      <c r="AP25" t="s">
        <v>5521</v>
      </c>
    </row>
    <row r="26" spans="1:42" s="37" customFormat="1" ht="14.25" customHeight="1" x14ac:dyDescent="0.3">
      <c r="A26" s="36" t="s">
        <v>5128</v>
      </c>
      <c r="B26" s="37" t="s">
        <v>5103</v>
      </c>
      <c r="C26" s="37" t="s">
        <v>5078</v>
      </c>
      <c r="D26" s="38">
        <v>5414404225511</v>
      </c>
      <c r="E26" s="39" t="s">
        <v>5176</v>
      </c>
      <c r="F26" s="39" t="s">
        <v>5177</v>
      </c>
      <c r="G26" s="37" t="s">
        <v>5131</v>
      </c>
      <c r="K26" s="37" t="s">
        <v>45</v>
      </c>
      <c r="L26" s="37" t="s">
        <v>5243</v>
      </c>
      <c r="M26" s="37" t="s">
        <v>5180</v>
      </c>
      <c r="N26" s="37" t="s">
        <v>5132</v>
      </c>
      <c r="O26" s="37" t="s">
        <v>5178</v>
      </c>
      <c r="P26" s="69" t="s">
        <v>586</v>
      </c>
      <c r="Q26" s="37" t="s">
        <v>1766</v>
      </c>
      <c r="R26" s="37" t="s">
        <v>5145</v>
      </c>
      <c r="S26" s="37" t="s">
        <v>5139</v>
      </c>
      <c r="T26" s="41">
        <v>6</v>
      </c>
      <c r="U26" s="37" t="s">
        <v>1766</v>
      </c>
      <c r="V26" s="37" t="s">
        <v>5134</v>
      </c>
      <c r="W26" s="37" t="s">
        <v>1766</v>
      </c>
      <c r="X26" s="37" t="s">
        <v>1766</v>
      </c>
      <c r="Y26" s="37" t="s">
        <v>5151</v>
      </c>
      <c r="Z26" s="37" t="s">
        <v>1766</v>
      </c>
      <c r="AA26" s="37" t="s">
        <v>1766</v>
      </c>
      <c r="AB26" s="37" t="s">
        <v>1766</v>
      </c>
      <c r="AC26" s="37" t="s">
        <v>1728</v>
      </c>
      <c r="AD26" s="37" t="s">
        <v>1771</v>
      </c>
      <c r="AE26" s="37" t="s">
        <v>57</v>
      </c>
      <c r="AF26" s="37" t="s">
        <v>5138</v>
      </c>
      <c r="AG26" s="37" t="s">
        <v>5137</v>
      </c>
      <c r="AH26" s="37" t="s">
        <v>5137</v>
      </c>
      <c r="AJ26" s="37">
        <v>2.5</v>
      </c>
      <c r="AL26" s="47" t="s">
        <v>5492</v>
      </c>
      <c r="AM26" s="47" t="s">
        <v>5493</v>
      </c>
      <c r="AN26" s="47"/>
      <c r="AO26" s="47" t="s">
        <v>5494</v>
      </c>
      <c r="AP26" t="s">
        <v>5521</v>
      </c>
    </row>
    <row r="27" spans="1:42" s="37" customFormat="1" ht="14.25" customHeight="1" x14ac:dyDescent="0.3">
      <c r="A27" s="36" t="s">
        <v>5130</v>
      </c>
      <c r="B27" s="37" t="s">
        <v>5105</v>
      </c>
      <c r="C27" s="37" t="s">
        <v>5078</v>
      </c>
      <c r="D27" s="38">
        <v>5414404225573</v>
      </c>
      <c r="E27" s="39" t="s">
        <v>5176</v>
      </c>
      <c r="F27" s="39" t="s">
        <v>5177</v>
      </c>
      <c r="G27" s="37" t="s">
        <v>5131</v>
      </c>
      <c r="K27" s="37" t="s">
        <v>45</v>
      </c>
      <c r="L27" s="37" t="s">
        <v>5243</v>
      </c>
      <c r="M27" s="37" t="s">
        <v>5180</v>
      </c>
      <c r="N27" s="37" t="s">
        <v>5132</v>
      </c>
      <c r="O27" s="37" t="s">
        <v>5142</v>
      </c>
      <c r="P27" s="69" t="s">
        <v>586</v>
      </c>
      <c r="Q27" s="37" t="s">
        <v>1766</v>
      </c>
      <c r="R27" s="37" t="s">
        <v>5145</v>
      </c>
      <c r="S27" s="37" t="s">
        <v>5139</v>
      </c>
      <c r="T27" s="41">
        <v>6</v>
      </c>
      <c r="U27" s="37" t="s">
        <v>1766</v>
      </c>
      <c r="V27" s="37" t="s">
        <v>5134</v>
      </c>
      <c r="W27" s="37" t="s">
        <v>1766</v>
      </c>
      <c r="X27" s="37" t="s">
        <v>1766</v>
      </c>
      <c r="Y27" s="37" t="s">
        <v>5151</v>
      </c>
      <c r="Z27" s="37" t="s">
        <v>1766</v>
      </c>
      <c r="AA27" s="37" t="s">
        <v>1766</v>
      </c>
      <c r="AB27" s="37" t="s">
        <v>1766</v>
      </c>
      <c r="AC27" s="37" t="s">
        <v>1728</v>
      </c>
      <c r="AD27" s="37" t="s">
        <v>1771</v>
      </c>
      <c r="AE27" s="37" t="s">
        <v>57</v>
      </c>
      <c r="AF27" s="37" t="s">
        <v>5138</v>
      </c>
      <c r="AG27" s="37" t="s">
        <v>5137</v>
      </c>
      <c r="AH27" s="37" t="s">
        <v>5137</v>
      </c>
      <c r="AJ27" s="37">
        <v>2.5</v>
      </c>
      <c r="AL27" s="47" t="s">
        <v>5492</v>
      </c>
      <c r="AM27" s="47" t="s">
        <v>5493</v>
      </c>
      <c r="AN27" s="47"/>
      <c r="AO27" s="47" t="s">
        <v>5494</v>
      </c>
      <c r="AP27" t="s">
        <v>5521</v>
      </c>
    </row>
    <row r="28" spans="1:42" s="37" customFormat="1" ht="14.25" customHeight="1" x14ac:dyDescent="0.3">
      <c r="A28" s="3" t="s">
        <v>1756</v>
      </c>
      <c r="B28" s="3" t="s">
        <v>1757</v>
      </c>
      <c r="C28" s="3" t="s">
        <v>1758</v>
      </c>
      <c r="D28" s="16">
        <v>3524835077008</v>
      </c>
      <c r="E28" s="3" t="s">
        <v>1759</v>
      </c>
      <c r="F28" s="3"/>
      <c r="G28" s="3" t="s">
        <v>1760</v>
      </c>
      <c r="H28" s="5"/>
      <c r="I28" s="5"/>
      <c r="J28" s="5"/>
      <c r="K28" s="3" t="s">
        <v>45</v>
      </c>
      <c r="L28" s="3" t="s">
        <v>1761</v>
      </c>
      <c r="M28" s="3" t="s">
        <v>1762</v>
      </c>
      <c r="N28" s="3" t="s">
        <v>391</v>
      </c>
      <c r="O28" s="3" t="s">
        <v>1763</v>
      </c>
      <c r="P28" s="71" t="s">
        <v>599</v>
      </c>
      <c r="Q28" s="3" t="s">
        <v>1764</v>
      </c>
      <c r="R28" s="3"/>
      <c r="S28" s="3" t="s">
        <v>1765</v>
      </c>
      <c r="T28" s="17">
        <v>8</v>
      </c>
      <c r="U28" s="3" t="s">
        <v>1766</v>
      </c>
      <c r="V28" s="3" t="s">
        <v>1767</v>
      </c>
      <c r="W28" s="3" t="s">
        <v>1768</v>
      </c>
      <c r="X28" s="3" t="s">
        <v>1769</v>
      </c>
      <c r="Y28" s="3" t="s">
        <v>1770</v>
      </c>
      <c r="Z28" s="3" t="s">
        <v>391</v>
      </c>
      <c r="AA28" s="3" t="s">
        <v>391</v>
      </c>
      <c r="AB28" s="3" t="s">
        <v>1766</v>
      </c>
      <c r="AC28" s="3" t="s">
        <v>1728</v>
      </c>
      <c r="AD28" s="3" t="s">
        <v>1771</v>
      </c>
      <c r="AE28" s="3" t="s">
        <v>57</v>
      </c>
      <c r="AF28" s="32" t="s">
        <v>5138</v>
      </c>
      <c r="AG28" s="3" t="s">
        <v>1772</v>
      </c>
      <c r="AH28" s="3" t="s">
        <v>1772</v>
      </c>
      <c r="AI28"/>
      <c r="AJ28" s="3">
        <v>1.982</v>
      </c>
      <c r="AK28"/>
      <c r="AL28" s="3">
        <v>31.64</v>
      </c>
      <c r="AM28" s="3">
        <f>59.9/1.2</f>
        <v>49.916666666666664</v>
      </c>
      <c r="AN28" s="18">
        <v>0.2</v>
      </c>
      <c r="AO28" s="3">
        <f>64.9/1.2</f>
        <v>54.083333333333343</v>
      </c>
      <c r="AP28" t="s">
        <v>5521</v>
      </c>
    </row>
    <row r="29" spans="1:42" s="37" customFormat="1" ht="14.25" customHeight="1" x14ac:dyDescent="0.3">
      <c r="A29" s="3" t="s">
        <v>1756</v>
      </c>
      <c r="B29" s="3" t="s">
        <v>1773</v>
      </c>
      <c r="C29" s="3" t="s">
        <v>1758</v>
      </c>
      <c r="D29" s="16">
        <v>3524835077046</v>
      </c>
      <c r="E29" s="3" t="s">
        <v>1759</v>
      </c>
      <c r="F29" s="3"/>
      <c r="G29" s="3" t="s">
        <v>1760</v>
      </c>
      <c r="H29"/>
      <c r="I29"/>
      <c r="J29"/>
      <c r="K29" s="3" t="s">
        <v>45</v>
      </c>
      <c r="L29" s="3" t="s">
        <v>1761</v>
      </c>
      <c r="M29" s="3" t="s">
        <v>1762</v>
      </c>
      <c r="N29" s="3" t="s">
        <v>391</v>
      </c>
      <c r="O29" s="3" t="s">
        <v>1774</v>
      </c>
      <c r="P29" s="71" t="s">
        <v>599</v>
      </c>
      <c r="Q29" s="3" t="s">
        <v>1764</v>
      </c>
      <c r="R29" s="3"/>
      <c r="S29" s="3" t="s">
        <v>1775</v>
      </c>
      <c r="T29" s="17">
        <v>8</v>
      </c>
      <c r="U29" s="3" t="s">
        <v>1766</v>
      </c>
      <c r="V29" s="3" t="s">
        <v>1767</v>
      </c>
      <c r="W29" s="3" t="s">
        <v>1768</v>
      </c>
      <c r="X29" s="3" t="s">
        <v>1769</v>
      </c>
      <c r="Y29" s="3" t="s">
        <v>1770</v>
      </c>
      <c r="Z29" s="3" t="s">
        <v>391</v>
      </c>
      <c r="AA29" s="3" t="s">
        <v>391</v>
      </c>
      <c r="AB29" s="3" t="s">
        <v>1766</v>
      </c>
      <c r="AC29" s="3" t="s">
        <v>1728</v>
      </c>
      <c r="AD29" s="3" t="s">
        <v>1771</v>
      </c>
      <c r="AE29" s="3" t="s">
        <v>57</v>
      </c>
      <c r="AF29" s="32" t="s">
        <v>5138</v>
      </c>
      <c r="AG29" s="3" t="s">
        <v>1772</v>
      </c>
      <c r="AH29" s="3" t="s">
        <v>1772</v>
      </c>
      <c r="AI29"/>
      <c r="AJ29" s="3">
        <v>1.982</v>
      </c>
      <c r="AK29"/>
      <c r="AL29" s="3">
        <v>31.64</v>
      </c>
      <c r="AM29" s="3">
        <f>59.9/1.2</f>
        <v>49.916666666666664</v>
      </c>
      <c r="AN29" s="18">
        <v>0.2</v>
      </c>
      <c r="AO29" s="3">
        <f>64.9/1.2</f>
        <v>54.083333333333343</v>
      </c>
      <c r="AP29" t="s">
        <v>5521</v>
      </c>
    </row>
    <row r="30" spans="1:42" s="37" customFormat="1" ht="14.25" customHeight="1" x14ac:dyDescent="0.3">
      <c r="A30" s="3" t="s">
        <v>1756</v>
      </c>
      <c r="B30" s="3" t="s">
        <v>1776</v>
      </c>
      <c r="C30" s="3" t="s">
        <v>1758</v>
      </c>
      <c r="D30" s="16">
        <v>3524835078036</v>
      </c>
      <c r="E30" s="3" t="s">
        <v>1759</v>
      </c>
      <c r="F30" s="3"/>
      <c r="G30" s="3" t="s">
        <v>1760</v>
      </c>
      <c r="H30"/>
      <c r="I30"/>
      <c r="J30"/>
      <c r="K30" s="3" t="s">
        <v>45</v>
      </c>
      <c r="L30" s="3" t="s">
        <v>1761</v>
      </c>
      <c r="M30" s="3" t="s">
        <v>1762</v>
      </c>
      <c r="N30" s="3" t="s">
        <v>391</v>
      </c>
      <c r="O30" s="3" t="s">
        <v>1777</v>
      </c>
      <c r="P30" s="69" t="s">
        <v>3268</v>
      </c>
      <c r="Q30" s="3" t="s">
        <v>1764</v>
      </c>
      <c r="R30" s="3"/>
      <c r="S30" s="3" t="s">
        <v>1778</v>
      </c>
      <c r="T30" s="17">
        <v>8</v>
      </c>
      <c r="U30" s="3" t="s">
        <v>1766</v>
      </c>
      <c r="V30" s="3" t="s">
        <v>1767</v>
      </c>
      <c r="W30" s="3" t="s">
        <v>1768</v>
      </c>
      <c r="X30" s="3" t="s">
        <v>1769</v>
      </c>
      <c r="Y30" s="3" t="s">
        <v>1770</v>
      </c>
      <c r="Z30" s="3" t="s">
        <v>391</v>
      </c>
      <c r="AA30" s="3" t="s">
        <v>391</v>
      </c>
      <c r="AB30" s="3" t="s">
        <v>1766</v>
      </c>
      <c r="AC30" s="3" t="s">
        <v>1728</v>
      </c>
      <c r="AD30" s="3" t="s">
        <v>1771</v>
      </c>
      <c r="AE30" s="3" t="s">
        <v>57</v>
      </c>
      <c r="AF30" s="32" t="s">
        <v>5138</v>
      </c>
      <c r="AG30" s="3" t="s">
        <v>1772</v>
      </c>
      <c r="AH30" s="3" t="s">
        <v>1772</v>
      </c>
      <c r="AI30"/>
      <c r="AJ30" s="3">
        <v>1.982</v>
      </c>
      <c r="AK30"/>
      <c r="AL30" s="3">
        <v>31.64</v>
      </c>
      <c r="AM30" s="3">
        <f>59.9/1.2</f>
        <v>49.916666666666664</v>
      </c>
      <c r="AN30" s="18">
        <v>0.2</v>
      </c>
      <c r="AO30" s="3">
        <f>64.9/1.2</f>
        <v>54.083333333333343</v>
      </c>
      <c r="AP30" t="s">
        <v>5521</v>
      </c>
    </row>
    <row r="31" spans="1:42" s="37" customFormat="1" ht="14.25" customHeight="1" x14ac:dyDescent="0.3">
      <c r="A31" s="3" t="s">
        <v>1756</v>
      </c>
      <c r="B31" s="3" t="s">
        <v>1779</v>
      </c>
      <c r="C31" s="3" t="s">
        <v>1758</v>
      </c>
      <c r="D31" s="16">
        <v>3524835078166</v>
      </c>
      <c r="E31" s="3" t="s">
        <v>1759</v>
      </c>
      <c r="F31" s="3"/>
      <c r="G31" s="3" t="s">
        <v>1760</v>
      </c>
      <c r="H31"/>
      <c r="I31"/>
      <c r="J31"/>
      <c r="K31" s="3" t="s">
        <v>45</v>
      </c>
      <c r="L31" s="3" t="s">
        <v>1761</v>
      </c>
      <c r="M31" s="3" t="s">
        <v>1762</v>
      </c>
      <c r="N31" s="3" t="s">
        <v>391</v>
      </c>
      <c r="O31" s="3" t="s">
        <v>1780</v>
      </c>
      <c r="P31" s="71" t="s">
        <v>49</v>
      </c>
      <c r="Q31" s="3" t="s">
        <v>1764</v>
      </c>
      <c r="R31" s="3"/>
      <c r="S31" s="3" t="s">
        <v>1781</v>
      </c>
      <c r="T31" s="17">
        <v>8</v>
      </c>
      <c r="U31" s="3" t="s">
        <v>1766</v>
      </c>
      <c r="V31" s="3" t="s">
        <v>1767</v>
      </c>
      <c r="W31" s="3" t="s">
        <v>1768</v>
      </c>
      <c r="X31" s="3" t="s">
        <v>1769</v>
      </c>
      <c r="Y31" s="3" t="s">
        <v>1770</v>
      </c>
      <c r="Z31" s="3" t="s">
        <v>391</v>
      </c>
      <c r="AA31" s="3" t="s">
        <v>391</v>
      </c>
      <c r="AB31" s="3" t="s">
        <v>1766</v>
      </c>
      <c r="AC31" s="3" t="s">
        <v>1728</v>
      </c>
      <c r="AD31" s="3" t="s">
        <v>1771</v>
      </c>
      <c r="AE31" s="3" t="s">
        <v>57</v>
      </c>
      <c r="AF31" s="32" t="s">
        <v>5138</v>
      </c>
      <c r="AG31" s="3" t="s">
        <v>1772</v>
      </c>
      <c r="AH31" s="3" t="s">
        <v>1772</v>
      </c>
      <c r="AI31"/>
      <c r="AJ31" s="3">
        <v>1.982</v>
      </c>
      <c r="AK31"/>
      <c r="AL31" s="3">
        <v>31.64</v>
      </c>
      <c r="AM31" s="3">
        <f>59.9/1.2</f>
        <v>49.916666666666664</v>
      </c>
      <c r="AN31" s="18">
        <v>0.2</v>
      </c>
      <c r="AO31" s="3">
        <f>64.9/1.2</f>
        <v>54.083333333333343</v>
      </c>
      <c r="AP31" t="s">
        <v>5521</v>
      </c>
    </row>
    <row r="32" spans="1:42" s="37" customFormat="1" ht="14.25" customHeight="1" x14ac:dyDescent="0.3">
      <c r="A32" s="3" t="s">
        <v>1756</v>
      </c>
      <c r="B32" s="3" t="s">
        <v>1782</v>
      </c>
      <c r="C32" s="3" t="s">
        <v>1758</v>
      </c>
      <c r="D32" s="16">
        <v>3524835078227</v>
      </c>
      <c r="E32" s="3" t="s">
        <v>1759</v>
      </c>
      <c r="F32" s="3"/>
      <c r="G32" s="3" t="s">
        <v>1760</v>
      </c>
      <c r="H32"/>
      <c r="I32"/>
      <c r="J32"/>
      <c r="K32" s="3" t="s">
        <v>45</v>
      </c>
      <c r="L32" s="3" t="s">
        <v>1761</v>
      </c>
      <c r="M32" s="3" t="s">
        <v>1762</v>
      </c>
      <c r="N32" s="3" t="s">
        <v>391</v>
      </c>
      <c r="O32" s="3" t="s">
        <v>1783</v>
      </c>
      <c r="P32" s="71" t="s">
        <v>49</v>
      </c>
      <c r="Q32" s="3" t="s">
        <v>1764</v>
      </c>
      <c r="R32" s="3"/>
      <c r="S32" s="3" t="s">
        <v>1784</v>
      </c>
      <c r="T32" s="17">
        <v>8</v>
      </c>
      <c r="U32" s="3" t="s">
        <v>1766</v>
      </c>
      <c r="V32" s="3" t="s">
        <v>1767</v>
      </c>
      <c r="W32" s="3" t="s">
        <v>1768</v>
      </c>
      <c r="X32" s="3" t="s">
        <v>1769</v>
      </c>
      <c r="Y32" s="3" t="s">
        <v>1770</v>
      </c>
      <c r="Z32" s="3" t="s">
        <v>391</v>
      </c>
      <c r="AA32" s="3" t="s">
        <v>391</v>
      </c>
      <c r="AB32" s="3" t="s">
        <v>1766</v>
      </c>
      <c r="AC32" s="3" t="s">
        <v>1728</v>
      </c>
      <c r="AD32" s="3" t="s">
        <v>1771</v>
      </c>
      <c r="AE32" s="3" t="s">
        <v>57</v>
      </c>
      <c r="AF32" s="32" t="s">
        <v>5138</v>
      </c>
      <c r="AG32" s="3" t="s">
        <v>1772</v>
      </c>
      <c r="AH32" s="3" t="s">
        <v>1772</v>
      </c>
      <c r="AI32"/>
      <c r="AJ32" s="3">
        <v>1.982</v>
      </c>
      <c r="AK32"/>
      <c r="AL32" s="3">
        <v>31.64</v>
      </c>
      <c r="AM32" s="3">
        <f>59.9/1.2</f>
        <v>49.916666666666664</v>
      </c>
      <c r="AN32" s="18">
        <v>0.2</v>
      </c>
      <c r="AO32" s="3">
        <f>64.9/1.2</f>
        <v>54.083333333333343</v>
      </c>
      <c r="AP32" t="s">
        <v>5521</v>
      </c>
    </row>
    <row r="33" spans="1:42" s="37" customFormat="1" ht="14.25" customHeight="1" x14ac:dyDescent="0.3">
      <c r="A33" s="3" t="s">
        <v>1756</v>
      </c>
      <c r="B33" s="3" t="s">
        <v>1785</v>
      </c>
      <c r="C33" s="3" t="s">
        <v>1758</v>
      </c>
      <c r="D33" s="16">
        <v>3524835078265</v>
      </c>
      <c r="E33" s="3" t="s">
        <v>1759</v>
      </c>
      <c r="F33" s="3"/>
      <c r="G33" s="3" t="s">
        <v>1760</v>
      </c>
      <c r="H33"/>
      <c r="I33"/>
      <c r="J33"/>
      <c r="K33" s="3" t="s">
        <v>45</v>
      </c>
      <c r="L33" s="3" t="s">
        <v>1761</v>
      </c>
      <c r="M33" s="3" t="s">
        <v>1762</v>
      </c>
      <c r="N33" s="3" t="s">
        <v>391</v>
      </c>
      <c r="O33" s="3" t="s">
        <v>1786</v>
      </c>
      <c r="P33" s="71" t="s">
        <v>599</v>
      </c>
      <c r="Q33" s="3" t="s">
        <v>1764</v>
      </c>
      <c r="R33" s="3"/>
      <c r="S33" s="3" t="s">
        <v>1787</v>
      </c>
      <c r="T33" s="17">
        <v>8</v>
      </c>
      <c r="U33" s="3" t="s">
        <v>1766</v>
      </c>
      <c r="V33" s="3" t="s">
        <v>1767</v>
      </c>
      <c r="W33" s="3" t="s">
        <v>1768</v>
      </c>
      <c r="X33" s="3" t="s">
        <v>1769</v>
      </c>
      <c r="Y33" s="3" t="s">
        <v>1770</v>
      </c>
      <c r="Z33" s="3" t="s">
        <v>391</v>
      </c>
      <c r="AA33" s="3" t="s">
        <v>391</v>
      </c>
      <c r="AB33" s="3" t="s">
        <v>1766</v>
      </c>
      <c r="AC33" s="3" t="s">
        <v>1728</v>
      </c>
      <c r="AD33" s="3" t="s">
        <v>1771</v>
      </c>
      <c r="AE33" s="3" t="s">
        <v>57</v>
      </c>
      <c r="AF33" s="32" t="s">
        <v>5138</v>
      </c>
      <c r="AG33" s="3" t="s">
        <v>1772</v>
      </c>
      <c r="AH33" s="3" t="s">
        <v>1772</v>
      </c>
      <c r="AI33"/>
      <c r="AJ33" s="3">
        <v>1.982</v>
      </c>
      <c r="AK33"/>
      <c r="AL33" s="3">
        <v>31.64</v>
      </c>
      <c r="AM33" s="3">
        <f>59.9/1.2</f>
        <v>49.916666666666664</v>
      </c>
      <c r="AN33" s="18">
        <v>0.2</v>
      </c>
      <c r="AO33" s="3">
        <f>64.9/1.2</f>
        <v>54.083333333333343</v>
      </c>
      <c r="AP33" t="s">
        <v>5521</v>
      </c>
    </row>
    <row r="34" spans="1:42" s="37" customFormat="1" ht="14.25" customHeight="1" x14ac:dyDescent="0.3">
      <c r="A34" s="3" t="s">
        <v>1756</v>
      </c>
      <c r="B34" s="3" t="s">
        <v>1788</v>
      </c>
      <c r="C34" s="3" t="s">
        <v>1758</v>
      </c>
      <c r="D34" s="16">
        <v>3524835079187</v>
      </c>
      <c r="E34" s="3" t="s">
        <v>1759</v>
      </c>
      <c r="F34" s="3"/>
      <c r="G34" s="3" t="s">
        <v>1760</v>
      </c>
      <c r="H34"/>
      <c r="I34"/>
      <c r="J34"/>
      <c r="K34" s="3" t="s">
        <v>45</v>
      </c>
      <c r="L34" s="3" t="s">
        <v>1761</v>
      </c>
      <c r="M34" s="3" t="s">
        <v>1762</v>
      </c>
      <c r="N34" s="3" t="s">
        <v>391</v>
      </c>
      <c r="O34" s="3" t="s">
        <v>1789</v>
      </c>
      <c r="P34" s="71" t="s">
        <v>5624</v>
      </c>
      <c r="Q34" s="3" t="s">
        <v>1764</v>
      </c>
      <c r="R34" s="3"/>
      <c r="S34" s="3" t="s">
        <v>1790</v>
      </c>
      <c r="T34" s="17">
        <v>8</v>
      </c>
      <c r="U34" s="3" t="s">
        <v>1766</v>
      </c>
      <c r="V34" s="3" t="s">
        <v>1767</v>
      </c>
      <c r="W34" s="3" t="s">
        <v>1768</v>
      </c>
      <c r="X34" s="3" t="s">
        <v>1769</v>
      </c>
      <c r="Y34" s="3" t="s">
        <v>1770</v>
      </c>
      <c r="Z34" s="3" t="s">
        <v>391</v>
      </c>
      <c r="AA34" s="3" t="s">
        <v>391</v>
      </c>
      <c r="AB34" s="3" t="s">
        <v>1766</v>
      </c>
      <c r="AC34" s="3" t="s">
        <v>1728</v>
      </c>
      <c r="AD34" s="3" t="s">
        <v>1771</v>
      </c>
      <c r="AE34" s="3" t="s">
        <v>57</v>
      </c>
      <c r="AF34" s="32" t="s">
        <v>5138</v>
      </c>
      <c r="AG34" s="3" t="s">
        <v>1772</v>
      </c>
      <c r="AH34" s="3" t="s">
        <v>1772</v>
      </c>
      <c r="AI34"/>
      <c r="AJ34" s="3">
        <v>1.982</v>
      </c>
      <c r="AK34"/>
      <c r="AL34" s="3">
        <v>31.64</v>
      </c>
      <c r="AM34" s="3">
        <f>59.9/1.2</f>
        <v>49.916666666666664</v>
      </c>
      <c r="AN34" s="18">
        <v>0.2</v>
      </c>
      <c r="AO34" s="3">
        <f>64.9/1.2</f>
        <v>54.083333333333343</v>
      </c>
      <c r="AP34" t="s">
        <v>5521</v>
      </c>
    </row>
    <row r="35" spans="1:42" s="37" customFormat="1" ht="14.25" customHeight="1" x14ac:dyDescent="0.3">
      <c r="A35" s="3" t="s">
        <v>1807</v>
      </c>
      <c r="B35" s="3" t="s">
        <v>1808</v>
      </c>
      <c r="C35" s="3" t="s">
        <v>1758</v>
      </c>
      <c r="D35" s="19">
        <v>3524835077053</v>
      </c>
      <c r="E35" s="3" t="s">
        <v>1759</v>
      </c>
      <c r="F35" s="3"/>
      <c r="G35" s="3" t="s">
        <v>1760</v>
      </c>
      <c r="H35"/>
      <c r="I35"/>
      <c r="J35"/>
      <c r="K35" s="3" t="s">
        <v>45</v>
      </c>
      <c r="L35" s="3" t="s">
        <v>1793</v>
      </c>
      <c r="M35" s="3" t="s">
        <v>1809</v>
      </c>
      <c r="N35" s="3" t="s">
        <v>391</v>
      </c>
      <c r="O35" s="3" t="s">
        <v>1810</v>
      </c>
      <c r="P35" s="71" t="s">
        <v>599</v>
      </c>
      <c r="Q35" s="3" t="s">
        <v>1764</v>
      </c>
      <c r="R35" s="3"/>
      <c r="S35" s="3" t="s">
        <v>1811</v>
      </c>
      <c r="T35" s="17">
        <v>8</v>
      </c>
      <c r="U35" s="3" t="s">
        <v>1766</v>
      </c>
      <c r="V35" s="3" t="s">
        <v>1767</v>
      </c>
      <c r="W35" s="3" t="s">
        <v>1768</v>
      </c>
      <c r="X35" s="3" t="s">
        <v>1769</v>
      </c>
      <c r="Y35" s="3" t="s">
        <v>1770</v>
      </c>
      <c r="Z35" s="3" t="s">
        <v>391</v>
      </c>
      <c r="AA35" s="3" t="s">
        <v>391</v>
      </c>
      <c r="AB35" s="3" t="s">
        <v>1797</v>
      </c>
      <c r="AC35" s="3" t="s">
        <v>1728</v>
      </c>
      <c r="AD35" s="3" t="s">
        <v>1771</v>
      </c>
      <c r="AE35" s="3" t="s">
        <v>57</v>
      </c>
      <c r="AF35" s="32" t="s">
        <v>5138</v>
      </c>
      <c r="AG35" s="3" t="s">
        <v>1812</v>
      </c>
      <c r="AH35" s="3" t="s">
        <v>1812</v>
      </c>
      <c r="AI35"/>
      <c r="AJ35" s="3">
        <v>1.22</v>
      </c>
      <c r="AK35"/>
      <c r="AL35" s="3">
        <v>45.21</v>
      </c>
      <c r="AM35" s="3">
        <f>89.9/1.2</f>
        <v>74.916666666666671</v>
      </c>
      <c r="AN35" s="18">
        <v>0.2</v>
      </c>
      <c r="AO35" s="3">
        <f>AM35*1.2</f>
        <v>89.9</v>
      </c>
      <c r="AP35" t="s">
        <v>5521</v>
      </c>
    </row>
    <row r="36" spans="1:42" s="37" customFormat="1" ht="14.25" customHeight="1" x14ac:dyDescent="0.3">
      <c r="A36" s="3" t="s">
        <v>1807</v>
      </c>
      <c r="B36" s="3" t="s">
        <v>1813</v>
      </c>
      <c r="C36" s="3" t="s">
        <v>1758</v>
      </c>
      <c r="D36" s="19">
        <v>3524835078272</v>
      </c>
      <c r="E36" s="3" t="s">
        <v>1759</v>
      </c>
      <c r="F36" s="3"/>
      <c r="G36" s="3" t="s">
        <v>1760</v>
      </c>
      <c r="H36"/>
      <c r="I36"/>
      <c r="J36"/>
      <c r="K36" s="3" t="s">
        <v>45</v>
      </c>
      <c r="L36" s="3" t="s">
        <v>1793</v>
      </c>
      <c r="M36" s="3" t="s">
        <v>1809</v>
      </c>
      <c r="N36" s="3" t="s">
        <v>391</v>
      </c>
      <c r="O36" s="3" t="s">
        <v>1814</v>
      </c>
      <c r="P36" s="71" t="s">
        <v>49</v>
      </c>
      <c r="Q36" s="3" t="s">
        <v>1764</v>
      </c>
      <c r="R36" s="3"/>
      <c r="S36" s="3" t="s">
        <v>1811</v>
      </c>
      <c r="T36" s="17">
        <v>8</v>
      </c>
      <c r="U36" s="3" t="s">
        <v>1766</v>
      </c>
      <c r="V36" s="3" t="s">
        <v>1767</v>
      </c>
      <c r="W36" s="3" t="s">
        <v>1768</v>
      </c>
      <c r="X36" s="3" t="s">
        <v>1769</v>
      </c>
      <c r="Y36" s="3" t="s">
        <v>1770</v>
      </c>
      <c r="Z36" s="3" t="s">
        <v>391</v>
      </c>
      <c r="AA36" s="3" t="s">
        <v>391</v>
      </c>
      <c r="AB36" s="3" t="s">
        <v>1797</v>
      </c>
      <c r="AC36" s="3" t="s">
        <v>1728</v>
      </c>
      <c r="AD36" s="3" t="s">
        <v>1771</v>
      </c>
      <c r="AE36" s="3" t="s">
        <v>57</v>
      </c>
      <c r="AF36" s="32" t="s">
        <v>5138</v>
      </c>
      <c r="AG36" s="3" t="s">
        <v>1812</v>
      </c>
      <c r="AH36" s="3" t="s">
        <v>1812</v>
      </c>
      <c r="AI36"/>
      <c r="AJ36" s="3">
        <v>1.22</v>
      </c>
      <c r="AK36"/>
      <c r="AL36" s="3">
        <v>41.67</v>
      </c>
      <c r="AM36" s="3">
        <f>79.9/1.2</f>
        <v>66.583333333333343</v>
      </c>
      <c r="AN36" s="18">
        <v>0.2</v>
      </c>
      <c r="AO36" s="3">
        <f>AM36*1.2</f>
        <v>79.900000000000006</v>
      </c>
      <c r="AP36" t="s">
        <v>5521</v>
      </c>
    </row>
    <row r="37" spans="1:42" s="37" customFormat="1" ht="14.25" customHeight="1" x14ac:dyDescent="0.3">
      <c r="A37" s="3" t="s">
        <v>1807</v>
      </c>
      <c r="B37" s="3" t="s">
        <v>1815</v>
      </c>
      <c r="C37" s="3" t="s">
        <v>1758</v>
      </c>
      <c r="D37" s="19">
        <v>3524835078302</v>
      </c>
      <c r="E37" s="3" t="s">
        <v>1759</v>
      </c>
      <c r="F37" s="3"/>
      <c r="G37" s="3" t="s">
        <v>1760</v>
      </c>
      <c r="H37"/>
      <c r="I37"/>
      <c r="J37"/>
      <c r="K37" s="3" t="s">
        <v>45</v>
      </c>
      <c r="L37" s="3" t="s">
        <v>1793</v>
      </c>
      <c r="M37" s="3" t="s">
        <v>1809</v>
      </c>
      <c r="N37" s="3" t="s">
        <v>391</v>
      </c>
      <c r="O37" s="3" t="s">
        <v>1800</v>
      </c>
      <c r="P37" s="71" t="s">
        <v>599</v>
      </c>
      <c r="Q37" s="3" t="s">
        <v>1764</v>
      </c>
      <c r="R37" s="3"/>
      <c r="S37" s="3" t="s">
        <v>1811</v>
      </c>
      <c r="T37" s="17">
        <v>8</v>
      </c>
      <c r="U37" s="3" t="s">
        <v>1766</v>
      </c>
      <c r="V37" s="3" t="s">
        <v>1767</v>
      </c>
      <c r="W37" s="3" t="s">
        <v>1768</v>
      </c>
      <c r="X37" s="3" t="s">
        <v>1769</v>
      </c>
      <c r="Y37" s="3" t="s">
        <v>1770</v>
      </c>
      <c r="Z37" s="3" t="s">
        <v>391</v>
      </c>
      <c r="AA37" s="3" t="s">
        <v>391</v>
      </c>
      <c r="AB37" s="3" t="s">
        <v>1797</v>
      </c>
      <c r="AC37" s="3" t="s">
        <v>1728</v>
      </c>
      <c r="AD37" s="3" t="s">
        <v>1771</v>
      </c>
      <c r="AE37" s="3" t="s">
        <v>57</v>
      </c>
      <c r="AF37" s="32" t="s">
        <v>5138</v>
      </c>
      <c r="AG37" s="3" t="s">
        <v>1812</v>
      </c>
      <c r="AH37" s="3" t="s">
        <v>1812</v>
      </c>
      <c r="AI37"/>
      <c r="AJ37" s="3">
        <v>1.22</v>
      </c>
      <c r="AK37"/>
      <c r="AL37" s="3">
        <v>41.67</v>
      </c>
      <c r="AM37" s="3">
        <f>79.9/1.2</f>
        <v>66.583333333333343</v>
      </c>
      <c r="AN37" s="18">
        <v>0.2</v>
      </c>
      <c r="AO37" s="3">
        <f>AM37*1.2</f>
        <v>79.900000000000006</v>
      </c>
      <c r="AP37" t="s">
        <v>5521</v>
      </c>
    </row>
    <row r="38" spans="1:42" s="37" customFormat="1" ht="14.25" customHeight="1" x14ac:dyDescent="0.3">
      <c r="A38" s="3" t="s">
        <v>1807</v>
      </c>
      <c r="B38" s="3" t="s">
        <v>1816</v>
      </c>
      <c r="C38" s="3" t="s">
        <v>1758</v>
      </c>
      <c r="D38" s="19">
        <v>3524835078395</v>
      </c>
      <c r="E38" s="3" t="s">
        <v>1759</v>
      </c>
      <c r="F38" s="3"/>
      <c r="G38" s="3" t="s">
        <v>1760</v>
      </c>
      <c r="H38"/>
      <c r="I38"/>
      <c r="J38"/>
      <c r="K38" s="3" t="s">
        <v>45</v>
      </c>
      <c r="L38" s="3" t="s">
        <v>1793</v>
      </c>
      <c r="M38" s="3" t="s">
        <v>1809</v>
      </c>
      <c r="N38" s="3" t="s">
        <v>391</v>
      </c>
      <c r="O38" s="3" t="s">
        <v>1802</v>
      </c>
      <c r="P38" s="71" t="s">
        <v>599</v>
      </c>
      <c r="Q38" s="3" t="s">
        <v>1764</v>
      </c>
      <c r="R38" s="3"/>
      <c r="S38" s="3" t="s">
        <v>1811</v>
      </c>
      <c r="T38" s="17">
        <v>8</v>
      </c>
      <c r="U38" s="3" t="s">
        <v>1766</v>
      </c>
      <c r="V38" s="3" t="s">
        <v>1767</v>
      </c>
      <c r="W38" s="3" t="s">
        <v>1768</v>
      </c>
      <c r="X38" s="3" t="s">
        <v>1769</v>
      </c>
      <c r="Y38" s="3" t="s">
        <v>1770</v>
      </c>
      <c r="Z38" s="3" t="s">
        <v>391</v>
      </c>
      <c r="AA38" s="3" t="s">
        <v>391</v>
      </c>
      <c r="AB38" s="3" t="s">
        <v>1797</v>
      </c>
      <c r="AC38" s="3" t="s">
        <v>1728</v>
      </c>
      <c r="AD38" s="3" t="s">
        <v>1771</v>
      </c>
      <c r="AE38" s="3" t="s">
        <v>57</v>
      </c>
      <c r="AF38" s="32" t="s">
        <v>5138</v>
      </c>
      <c r="AG38" s="3" t="s">
        <v>1812</v>
      </c>
      <c r="AH38" s="3" t="s">
        <v>1812</v>
      </c>
      <c r="AI38"/>
      <c r="AJ38" s="3">
        <v>1.22</v>
      </c>
      <c r="AK38"/>
      <c r="AL38" s="3">
        <v>41.67</v>
      </c>
      <c r="AM38" s="3">
        <f>79.9/1.2</f>
        <v>66.583333333333343</v>
      </c>
      <c r="AN38" s="18">
        <v>0.2</v>
      </c>
      <c r="AO38" s="3">
        <f>AM38*1.2</f>
        <v>79.900000000000006</v>
      </c>
      <c r="AP38" t="s">
        <v>5521</v>
      </c>
    </row>
    <row r="39" spans="1:42" s="37" customFormat="1" ht="14.25" customHeight="1" x14ac:dyDescent="0.3">
      <c r="A39" s="3" t="s">
        <v>1807</v>
      </c>
      <c r="B39" s="3" t="s">
        <v>1817</v>
      </c>
      <c r="C39" s="3" t="s">
        <v>1758</v>
      </c>
      <c r="D39" s="19">
        <v>3524835078425</v>
      </c>
      <c r="E39" s="3" t="s">
        <v>1759</v>
      </c>
      <c r="F39" s="3"/>
      <c r="G39" s="3" t="s">
        <v>1760</v>
      </c>
      <c r="H39"/>
      <c r="I39"/>
      <c r="J39"/>
      <c r="K39" s="3" t="s">
        <v>45</v>
      </c>
      <c r="L39" s="3" t="s">
        <v>1793</v>
      </c>
      <c r="M39" s="3" t="s">
        <v>1809</v>
      </c>
      <c r="N39" s="3" t="s">
        <v>391</v>
      </c>
      <c r="O39" s="3" t="s">
        <v>1818</v>
      </c>
      <c r="P39" s="71" t="s">
        <v>599</v>
      </c>
      <c r="Q39" s="3" t="s">
        <v>1764</v>
      </c>
      <c r="R39" s="3"/>
      <c r="S39" s="3" t="s">
        <v>1811</v>
      </c>
      <c r="T39" s="17">
        <v>8</v>
      </c>
      <c r="U39" s="3" t="s">
        <v>1766</v>
      </c>
      <c r="V39" s="3" t="s">
        <v>1767</v>
      </c>
      <c r="W39" s="3" t="s">
        <v>1768</v>
      </c>
      <c r="X39" s="3" t="s">
        <v>1769</v>
      </c>
      <c r="Y39" s="3" t="s">
        <v>1770</v>
      </c>
      <c r="Z39" s="3" t="s">
        <v>391</v>
      </c>
      <c r="AA39" s="3" t="s">
        <v>391</v>
      </c>
      <c r="AB39" s="3" t="s">
        <v>1797</v>
      </c>
      <c r="AC39" s="3" t="s">
        <v>1728</v>
      </c>
      <c r="AD39" s="3" t="s">
        <v>1771</v>
      </c>
      <c r="AE39" s="3" t="s">
        <v>57</v>
      </c>
      <c r="AF39" s="32" t="s">
        <v>5138</v>
      </c>
      <c r="AG39" s="3" t="s">
        <v>1812</v>
      </c>
      <c r="AH39" s="3" t="s">
        <v>1812</v>
      </c>
      <c r="AI39"/>
      <c r="AJ39" s="3">
        <v>1.22</v>
      </c>
      <c r="AK39"/>
      <c r="AL39" s="3">
        <v>41.67</v>
      </c>
      <c r="AM39" s="3">
        <f>79.9/1.2</f>
        <v>66.583333333333343</v>
      </c>
      <c r="AN39" s="18">
        <v>0.2</v>
      </c>
      <c r="AO39" s="3">
        <f>AM39*1.2</f>
        <v>79.900000000000006</v>
      </c>
      <c r="AP39" t="s">
        <v>5521</v>
      </c>
    </row>
    <row r="40" spans="1:42" s="37" customFormat="1" ht="14.25" customHeight="1" x14ac:dyDescent="0.3">
      <c r="A40" s="3" t="s">
        <v>1807</v>
      </c>
      <c r="B40" s="3" t="s">
        <v>1819</v>
      </c>
      <c r="C40" s="3" t="s">
        <v>1758</v>
      </c>
      <c r="D40" s="19">
        <v>3524835078517</v>
      </c>
      <c r="E40" s="3" t="s">
        <v>1759</v>
      </c>
      <c r="F40" s="3"/>
      <c r="G40" s="3" t="s">
        <v>1760</v>
      </c>
      <c r="H40"/>
      <c r="I40"/>
      <c r="J40"/>
      <c r="K40" s="3" t="s">
        <v>45</v>
      </c>
      <c r="L40" s="3" t="s">
        <v>1793</v>
      </c>
      <c r="M40" s="3" t="s">
        <v>1809</v>
      </c>
      <c r="N40" s="3" t="s">
        <v>391</v>
      </c>
      <c r="O40" s="3" t="s">
        <v>1820</v>
      </c>
      <c r="P40" s="71" t="s">
        <v>49</v>
      </c>
      <c r="Q40" s="3" t="s">
        <v>1764</v>
      </c>
      <c r="R40" s="3"/>
      <c r="S40" s="3" t="s">
        <v>1811</v>
      </c>
      <c r="T40" s="17">
        <v>8</v>
      </c>
      <c r="U40" s="3" t="s">
        <v>1766</v>
      </c>
      <c r="V40" s="3" t="s">
        <v>1767</v>
      </c>
      <c r="W40" s="3" t="s">
        <v>1768</v>
      </c>
      <c r="X40" s="3" t="s">
        <v>1769</v>
      </c>
      <c r="Y40" s="3" t="s">
        <v>1770</v>
      </c>
      <c r="Z40" s="3" t="s">
        <v>391</v>
      </c>
      <c r="AA40" s="3" t="s">
        <v>391</v>
      </c>
      <c r="AB40" s="3" t="s">
        <v>1797</v>
      </c>
      <c r="AC40" s="3" t="s">
        <v>1728</v>
      </c>
      <c r="AD40" s="3" t="s">
        <v>1771</v>
      </c>
      <c r="AE40" s="3" t="s">
        <v>57</v>
      </c>
      <c r="AF40" s="32" t="s">
        <v>5138</v>
      </c>
      <c r="AG40" s="3" t="s">
        <v>1812</v>
      </c>
      <c r="AH40" s="3" t="s">
        <v>1812</v>
      </c>
      <c r="AI40"/>
      <c r="AJ40" s="3">
        <v>1.22</v>
      </c>
      <c r="AK40"/>
      <c r="AL40" s="3">
        <v>41.67</v>
      </c>
      <c r="AM40" s="3">
        <f>79.9/1.2</f>
        <v>66.583333333333343</v>
      </c>
      <c r="AN40" s="18">
        <v>0.2</v>
      </c>
      <c r="AO40" s="3">
        <f>AM40*1.2</f>
        <v>79.900000000000006</v>
      </c>
      <c r="AP40" t="s">
        <v>5521</v>
      </c>
    </row>
    <row r="41" spans="1:42" s="37" customFormat="1" ht="14.25" customHeight="1" x14ac:dyDescent="0.3">
      <c r="A41" s="3" t="s">
        <v>1807</v>
      </c>
      <c r="B41" s="3" t="s">
        <v>1821</v>
      </c>
      <c r="C41" s="3" t="s">
        <v>1758</v>
      </c>
      <c r="D41" s="19">
        <v>3524835079194</v>
      </c>
      <c r="E41" s="3" t="s">
        <v>1759</v>
      </c>
      <c r="F41" s="3"/>
      <c r="G41" s="3" t="s">
        <v>1760</v>
      </c>
      <c r="H41"/>
      <c r="I41"/>
      <c r="J41"/>
      <c r="K41" s="3" t="s">
        <v>45</v>
      </c>
      <c r="L41" s="3" t="s">
        <v>1793</v>
      </c>
      <c r="M41" s="3" t="s">
        <v>1809</v>
      </c>
      <c r="N41" s="3" t="s">
        <v>391</v>
      </c>
      <c r="O41" s="3" t="s">
        <v>1789</v>
      </c>
      <c r="P41" s="71" t="s">
        <v>5624</v>
      </c>
      <c r="Q41" s="3" t="s">
        <v>1764</v>
      </c>
      <c r="R41" s="3"/>
      <c r="S41" s="3" t="s">
        <v>1811</v>
      </c>
      <c r="T41" s="17">
        <v>8</v>
      </c>
      <c r="U41" s="3" t="s">
        <v>1766</v>
      </c>
      <c r="V41" s="3" t="s">
        <v>1767</v>
      </c>
      <c r="W41" s="3" t="s">
        <v>1768</v>
      </c>
      <c r="X41" s="3" t="s">
        <v>1769</v>
      </c>
      <c r="Y41" s="3" t="s">
        <v>1770</v>
      </c>
      <c r="Z41" s="3" t="s">
        <v>391</v>
      </c>
      <c r="AA41" s="3" t="s">
        <v>391</v>
      </c>
      <c r="AB41" s="3" t="s">
        <v>1797</v>
      </c>
      <c r="AC41" s="3" t="s">
        <v>1728</v>
      </c>
      <c r="AD41" s="3" t="s">
        <v>1771</v>
      </c>
      <c r="AE41" s="3" t="s">
        <v>57</v>
      </c>
      <c r="AF41" s="32" t="s">
        <v>5138</v>
      </c>
      <c r="AG41" s="3" t="s">
        <v>1812</v>
      </c>
      <c r="AH41" s="3" t="s">
        <v>1812</v>
      </c>
      <c r="AI41"/>
      <c r="AJ41" s="3">
        <v>1.22</v>
      </c>
      <c r="AK41"/>
      <c r="AL41" s="3">
        <v>45.21</v>
      </c>
      <c r="AM41" s="3">
        <f>89.9/1.2</f>
        <v>74.916666666666671</v>
      </c>
      <c r="AN41" s="18">
        <v>0.2</v>
      </c>
      <c r="AO41" s="3">
        <f>AM41*1.2</f>
        <v>89.9</v>
      </c>
      <c r="AP41" t="s">
        <v>5521</v>
      </c>
    </row>
    <row r="42" spans="1:42" s="37" customFormat="1" ht="14.25" customHeight="1" x14ac:dyDescent="0.3">
      <c r="A42" s="3" t="s">
        <v>1807</v>
      </c>
      <c r="B42" s="32" t="s">
        <v>1822</v>
      </c>
      <c r="C42" s="3" t="s">
        <v>1758</v>
      </c>
      <c r="D42" s="19">
        <v>3524835079231</v>
      </c>
      <c r="E42" s="3" t="s">
        <v>1759</v>
      </c>
      <c r="F42" s="3"/>
      <c r="G42" s="3" t="s">
        <v>1760</v>
      </c>
      <c r="H42"/>
      <c r="I42"/>
      <c r="J42"/>
      <c r="K42" s="3" t="s">
        <v>45</v>
      </c>
      <c r="L42" s="3" t="s">
        <v>1793</v>
      </c>
      <c r="M42" s="3" t="s">
        <v>1809</v>
      </c>
      <c r="N42" s="3" t="s">
        <v>391</v>
      </c>
      <c r="O42" s="3" t="s">
        <v>1763</v>
      </c>
      <c r="P42" s="71" t="s">
        <v>599</v>
      </c>
      <c r="Q42" s="3" t="s">
        <v>1764</v>
      </c>
      <c r="R42" s="3"/>
      <c r="S42" s="3" t="s">
        <v>1811</v>
      </c>
      <c r="T42" s="17">
        <v>8</v>
      </c>
      <c r="U42" s="3" t="s">
        <v>1766</v>
      </c>
      <c r="V42" s="3" t="s">
        <v>1767</v>
      </c>
      <c r="W42" s="3" t="s">
        <v>1768</v>
      </c>
      <c r="X42" s="3" t="s">
        <v>1769</v>
      </c>
      <c r="Y42" s="3" t="s">
        <v>1770</v>
      </c>
      <c r="Z42" s="3" t="s">
        <v>391</v>
      </c>
      <c r="AA42" s="3" t="s">
        <v>391</v>
      </c>
      <c r="AB42" s="3" t="s">
        <v>1797</v>
      </c>
      <c r="AC42" s="3" t="s">
        <v>1728</v>
      </c>
      <c r="AD42" s="3" t="s">
        <v>1771</v>
      </c>
      <c r="AE42" s="3" t="s">
        <v>57</v>
      </c>
      <c r="AF42" s="32" t="s">
        <v>5138</v>
      </c>
      <c r="AG42" s="3" t="s">
        <v>1812</v>
      </c>
      <c r="AH42" s="3" t="s">
        <v>1812</v>
      </c>
      <c r="AI42"/>
      <c r="AJ42" s="3">
        <v>1.22</v>
      </c>
      <c r="AK42"/>
      <c r="AL42" s="3">
        <v>36</v>
      </c>
      <c r="AM42" s="3">
        <f>69.9/1.2</f>
        <v>58.250000000000007</v>
      </c>
      <c r="AN42" s="18">
        <v>0.2</v>
      </c>
      <c r="AO42" s="3">
        <f>AM42*1.2</f>
        <v>69.900000000000006</v>
      </c>
      <c r="AP42" t="s">
        <v>5521</v>
      </c>
    </row>
    <row r="43" spans="1:42" s="37" customFormat="1" ht="14.25" customHeight="1" x14ac:dyDescent="0.3">
      <c r="A43" s="3" t="s">
        <v>1791</v>
      </c>
      <c r="B43" s="3" t="s">
        <v>1792</v>
      </c>
      <c r="C43" s="3" t="s">
        <v>1758</v>
      </c>
      <c r="D43" s="19">
        <v>3524835077039</v>
      </c>
      <c r="E43" s="3" t="s">
        <v>1759</v>
      </c>
      <c r="F43" s="3"/>
      <c r="G43" s="3" t="s">
        <v>1760</v>
      </c>
      <c r="H43"/>
      <c r="I43"/>
      <c r="J43"/>
      <c r="K43" s="3" t="s">
        <v>45</v>
      </c>
      <c r="L43" s="3" t="s">
        <v>1793</v>
      </c>
      <c r="M43" s="3" t="s">
        <v>1794</v>
      </c>
      <c r="N43" s="3" t="s">
        <v>391</v>
      </c>
      <c r="O43" s="3" t="s">
        <v>1795</v>
      </c>
      <c r="P43" s="71" t="s">
        <v>599</v>
      </c>
      <c r="Q43" s="3" t="s">
        <v>1796</v>
      </c>
      <c r="R43" s="3"/>
      <c r="S43" s="3" t="s">
        <v>1775</v>
      </c>
      <c r="T43" s="17">
        <v>8</v>
      </c>
      <c r="U43" s="3" t="s">
        <v>1766</v>
      </c>
      <c r="V43" s="3" t="s">
        <v>1767</v>
      </c>
      <c r="W43" s="3" t="s">
        <v>1768</v>
      </c>
      <c r="X43" s="3" t="s">
        <v>1769</v>
      </c>
      <c r="Y43" s="3" t="s">
        <v>1770</v>
      </c>
      <c r="Z43" s="3" t="s">
        <v>391</v>
      </c>
      <c r="AA43" s="3" t="s">
        <v>391</v>
      </c>
      <c r="AB43" s="3" t="s">
        <v>1797</v>
      </c>
      <c r="AC43" s="3" t="s">
        <v>1728</v>
      </c>
      <c r="AD43" s="3" t="s">
        <v>1771</v>
      </c>
      <c r="AE43" s="3" t="s">
        <v>57</v>
      </c>
      <c r="AF43" s="32" t="s">
        <v>5138</v>
      </c>
      <c r="AG43" s="3" t="s">
        <v>1798</v>
      </c>
      <c r="AH43" s="3" t="s">
        <v>1798</v>
      </c>
      <c r="AI43"/>
      <c r="AJ43" s="3">
        <v>1.548</v>
      </c>
      <c r="AK43"/>
      <c r="AL43" s="3">
        <v>42.26</v>
      </c>
      <c r="AM43" s="3">
        <f>59.9/1.2</f>
        <v>49.916666666666664</v>
      </c>
      <c r="AN43" s="18">
        <v>0.2</v>
      </c>
      <c r="AO43" s="3">
        <f>79.9/1.2</f>
        <v>66.583333333333343</v>
      </c>
      <c r="AP43" t="s">
        <v>5521</v>
      </c>
    </row>
    <row r="44" spans="1:42" s="37" customFormat="1" ht="14.25" customHeight="1" x14ac:dyDescent="0.3">
      <c r="A44" s="3" t="s">
        <v>1791</v>
      </c>
      <c r="B44" s="3" t="s">
        <v>1799</v>
      </c>
      <c r="C44" s="3" t="s">
        <v>1758</v>
      </c>
      <c r="D44" s="19">
        <v>3524835078326</v>
      </c>
      <c r="E44" s="3" t="s">
        <v>1759</v>
      </c>
      <c r="F44" s="3"/>
      <c r="G44" s="3" t="s">
        <v>1760</v>
      </c>
      <c r="H44"/>
      <c r="I44"/>
      <c r="J44"/>
      <c r="K44" s="3" t="s">
        <v>45</v>
      </c>
      <c r="L44" s="3" t="s">
        <v>1793</v>
      </c>
      <c r="M44" s="3" t="s">
        <v>1794</v>
      </c>
      <c r="N44" s="3" t="s">
        <v>391</v>
      </c>
      <c r="O44" s="3" t="s">
        <v>1800</v>
      </c>
      <c r="P44" s="71" t="s">
        <v>599</v>
      </c>
      <c r="Q44" s="3" t="s">
        <v>1796</v>
      </c>
      <c r="R44" s="3"/>
      <c r="S44" s="3" t="s">
        <v>1775</v>
      </c>
      <c r="T44" s="17">
        <v>8</v>
      </c>
      <c r="U44" s="3" t="s">
        <v>1766</v>
      </c>
      <c r="V44" s="3" t="s">
        <v>1767</v>
      </c>
      <c r="W44" s="3" t="s">
        <v>1768</v>
      </c>
      <c r="X44" s="3" t="s">
        <v>1769</v>
      </c>
      <c r="Y44" s="3" t="s">
        <v>1770</v>
      </c>
      <c r="Z44" s="3" t="s">
        <v>391</v>
      </c>
      <c r="AA44" s="3" t="s">
        <v>391</v>
      </c>
      <c r="AB44" s="3" t="s">
        <v>1797</v>
      </c>
      <c r="AC44" s="3" t="s">
        <v>1728</v>
      </c>
      <c r="AD44" s="3" t="s">
        <v>1771</v>
      </c>
      <c r="AE44" s="3" t="s">
        <v>57</v>
      </c>
      <c r="AF44" s="32" t="s">
        <v>5138</v>
      </c>
      <c r="AG44" s="3" t="s">
        <v>1798</v>
      </c>
      <c r="AH44" s="3" t="s">
        <v>1798</v>
      </c>
      <c r="AI44"/>
      <c r="AJ44" s="3">
        <v>1.548</v>
      </c>
      <c r="AK44"/>
      <c r="AL44" s="3">
        <v>47.57</v>
      </c>
      <c r="AM44" s="3">
        <f>59.9/1.2</f>
        <v>49.916666666666664</v>
      </c>
      <c r="AN44" s="18">
        <v>0.2</v>
      </c>
      <c r="AO44" s="3">
        <f>79.9/1.2</f>
        <v>66.583333333333343</v>
      </c>
      <c r="AP44" t="s">
        <v>5521</v>
      </c>
    </row>
    <row r="45" spans="1:42" s="37" customFormat="1" ht="14.25" customHeight="1" x14ac:dyDescent="0.3">
      <c r="A45" s="3" t="s">
        <v>1791</v>
      </c>
      <c r="B45" s="3" t="s">
        <v>1801</v>
      </c>
      <c r="C45" s="3" t="s">
        <v>1758</v>
      </c>
      <c r="D45" s="19">
        <v>3524835078418</v>
      </c>
      <c r="E45" s="3" t="s">
        <v>1759</v>
      </c>
      <c r="F45" s="3"/>
      <c r="G45" s="3" t="s">
        <v>1760</v>
      </c>
      <c r="H45"/>
      <c r="I45"/>
      <c r="J45"/>
      <c r="K45" s="3" t="s">
        <v>45</v>
      </c>
      <c r="L45" s="3" t="s">
        <v>1793</v>
      </c>
      <c r="M45" s="3" t="s">
        <v>1794</v>
      </c>
      <c r="N45" s="3" t="s">
        <v>391</v>
      </c>
      <c r="O45" s="3" t="s">
        <v>1802</v>
      </c>
      <c r="P45" s="71" t="s">
        <v>599</v>
      </c>
      <c r="Q45" s="3" t="s">
        <v>1796</v>
      </c>
      <c r="R45" s="3"/>
      <c r="S45" s="3" t="s">
        <v>1775</v>
      </c>
      <c r="T45" s="17">
        <v>8</v>
      </c>
      <c r="U45" s="3" t="s">
        <v>1766</v>
      </c>
      <c r="V45" s="3" t="s">
        <v>1767</v>
      </c>
      <c r="W45" s="3" t="s">
        <v>1768</v>
      </c>
      <c r="X45" s="3" t="s">
        <v>1769</v>
      </c>
      <c r="Y45" s="3" t="s">
        <v>1770</v>
      </c>
      <c r="Z45" s="3" t="s">
        <v>391</v>
      </c>
      <c r="AA45" s="3" t="s">
        <v>391</v>
      </c>
      <c r="AB45" s="3" t="s">
        <v>1797</v>
      </c>
      <c r="AC45" s="3" t="s">
        <v>1728</v>
      </c>
      <c r="AD45" s="3" t="s">
        <v>1771</v>
      </c>
      <c r="AE45" s="3" t="s">
        <v>57</v>
      </c>
      <c r="AF45" s="32" t="s">
        <v>5138</v>
      </c>
      <c r="AG45" s="3" t="s">
        <v>1798</v>
      </c>
      <c r="AH45" s="3" t="s">
        <v>1798</v>
      </c>
      <c r="AI45"/>
      <c r="AJ45" s="3">
        <v>1.548</v>
      </c>
      <c r="AK45"/>
      <c r="AL45" s="3">
        <v>47.57</v>
      </c>
      <c r="AM45" s="3">
        <f>59.9/1.2</f>
        <v>49.916666666666664</v>
      </c>
      <c r="AN45" s="18">
        <v>0.2</v>
      </c>
      <c r="AO45" s="3">
        <f>79.9/1.2</f>
        <v>66.583333333333343</v>
      </c>
      <c r="AP45" t="s">
        <v>5521</v>
      </c>
    </row>
    <row r="46" spans="1:42" s="37" customFormat="1" ht="14.25" customHeight="1" x14ac:dyDescent="0.3">
      <c r="A46" s="3" t="s">
        <v>1791</v>
      </c>
      <c r="B46" s="3" t="s">
        <v>1803</v>
      </c>
      <c r="C46" s="3" t="s">
        <v>1758</v>
      </c>
      <c r="D46" s="19">
        <v>3524835078449</v>
      </c>
      <c r="E46" s="3" t="s">
        <v>1759</v>
      </c>
      <c r="F46" s="3"/>
      <c r="G46" s="3" t="s">
        <v>1760</v>
      </c>
      <c r="H46"/>
      <c r="I46"/>
      <c r="J46"/>
      <c r="K46" s="3" t="s">
        <v>45</v>
      </c>
      <c r="L46" s="3" t="s">
        <v>1793</v>
      </c>
      <c r="M46" s="3" t="s">
        <v>1794</v>
      </c>
      <c r="N46" s="3" t="s">
        <v>391</v>
      </c>
      <c r="O46" s="3" t="s">
        <v>1786</v>
      </c>
      <c r="P46" s="71" t="s">
        <v>599</v>
      </c>
      <c r="Q46" s="3" t="s">
        <v>1796</v>
      </c>
      <c r="R46" s="3"/>
      <c r="S46" s="3" t="s">
        <v>1775</v>
      </c>
      <c r="T46" s="17">
        <v>8</v>
      </c>
      <c r="U46" s="3" t="s">
        <v>1766</v>
      </c>
      <c r="V46" s="3" t="s">
        <v>1767</v>
      </c>
      <c r="W46" s="3" t="s">
        <v>1768</v>
      </c>
      <c r="X46" s="3" t="s">
        <v>1769</v>
      </c>
      <c r="Y46" s="3" t="s">
        <v>1770</v>
      </c>
      <c r="Z46" s="3" t="s">
        <v>391</v>
      </c>
      <c r="AA46" s="3" t="s">
        <v>391</v>
      </c>
      <c r="AB46" s="3" t="s">
        <v>1797</v>
      </c>
      <c r="AC46" s="3" t="s">
        <v>1728</v>
      </c>
      <c r="AD46" s="3" t="s">
        <v>1771</v>
      </c>
      <c r="AE46" s="3" t="s">
        <v>57</v>
      </c>
      <c r="AF46" s="32" t="s">
        <v>5138</v>
      </c>
      <c r="AG46" s="3" t="s">
        <v>1798</v>
      </c>
      <c r="AH46" s="3" t="s">
        <v>1798</v>
      </c>
      <c r="AI46"/>
      <c r="AJ46" s="3">
        <v>1.548</v>
      </c>
      <c r="AK46"/>
      <c r="AL46" s="3">
        <v>47.57</v>
      </c>
      <c r="AM46" s="3">
        <f>59.9/1.2</f>
        <v>49.916666666666664</v>
      </c>
      <c r="AN46" s="18">
        <v>0.2</v>
      </c>
      <c r="AO46" s="3">
        <f>79.9/1.2</f>
        <v>66.583333333333343</v>
      </c>
      <c r="AP46" t="s">
        <v>5521</v>
      </c>
    </row>
    <row r="47" spans="1:42" s="37" customFormat="1" ht="14.25" customHeight="1" x14ac:dyDescent="0.3">
      <c r="A47" s="3" t="s">
        <v>1791</v>
      </c>
      <c r="B47" s="3" t="s">
        <v>1804</v>
      </c>
      <c r="C47" s="3" t="s">
        <v>1758</v>
      </c>
      <c r="D47" s="19">
        <v>3524835078500</v>
      </c>
      <c r="E47" s="3" t="s">
        <v>1759</v>
      </c>
      <c r="F47" s="3"/>
      <c r="G47" s="3" t="s">
        <v>1760</v>
      </c>
      <c r="H47"/>
      <c r="I47"/>
      <c r="J47"/>
      <c r="K47" s="3" t="s">
        <v>45</v>
      </c>
      <c r="L47" s="3" t="s">
        <v>1793</v>
      </c>
      <c r="M47" s="3" t="s">
        <v>1794</v>
      </c>
      <c r="N47" s="3" t="s">
        <v>391</v>
      </c>
      <c r="O47" s="3" t="s">
        <v>1783</v>
      </c>
      <c r="P47" s="71" t="s">
        <v>49</v>
      </c>
      <c r="Q47" s="3" t="s">
        <v>1796</v>
      </c>
      <c r="R47" s="3"/>
      <c r="S47" s="3" t="s">
        <v>1775</v>
      </c>
      <c r="T47" s="17">
        <v>8</v>
      </c>
      <c r="U47" s="3" t="s">
        <v>1766</v>
      </c>
      <c r="V47" s="3" t="s">
        <v>1767</v>
      </c>
      <c r="W47" s="3" t="s">
        <v>1768</v>
      </c>
      <c r="X47" s="3" t="s">
        <v>1769</v>
      </c>
      <c r="Y47" s="3" t="s">
        <v>1770</v>
      </c>
      <c r="Z47" s="3" t="s">
        <v>391</v>
      </c>
      <c r="AA47" s="3" t="s">
        <v>391</v>
      </c>
      <c r="AB47" s="3" t="s">
        <v>1797</v>
      </c>
      <c r="AC47" s="3" t="s">
        <v>1728</v>
      </c>
      <c r="AD47" s="3" t="s">
        <v>1771</v>
      </c>
      <c r="AE47" s="3" t="s">
        <v>57</v>
      </c>
      <c r="AF47" s="32" t="s">
        <v>5138</v>
      </c>
      <c r="AG47" s="3" t="s">
        <v>1798</v>
      </c>
      <c r="AH47" s="3" t="s">
        <v>1798</v>
      </c>
      <c r="AI47"/>
      <c r="AJ47" s="3">
        <v>1.548</v>
      </c>
      <c r="AK47"/>
      <c r="AL47" s="3">
        <v>47.57</v>
      </c>
      <c r="AM47" s="3">
        <f>59.9/1.2</f>
        <v>49.916666666666664</v>
      </c>
      <c r="AN47" s="18">
        <v>0.2</v>
      </c>
      <c r="AO47" s="3">
        <f>79.9/1.2</f>
        <v>66.583333333333343</v>
      </c>
      <c r="AP47" t="s">
        <v>5521</v>
      </c>
    </row>
    <row r="48" spans="1:42" s="37" customFormat="1" ht="14.25" customHeight="1" x14ac:dyDescent="0.3">
      <c r="A48" s="3" t="s">
        <v>1791</v>
      </c>
      <c r="B48" s="3" t="s">
        <v>1805</v>
      </c>
      <c r="C48" s="3" t="s">
        <v>1758</v>
      </c>
      <c r="D48" s="19">
        <v>3524835079217</v>
      </c>
      <c r="E48" s="3" t="s">
        <v>1759</v>
      </c>
      <c r="F48" s="3"/>
      <c r="G48" s="3" t="s">
        <v>1760</v>
      </c>
      <c r="H48"/>
      <c r="I48"/>
      <c r="J48"/>
      <c r="K48" s="3" t="s">
        <v>45</v>
      </c>
      <c r="L48" s="3" t="s">
        <v>1793</v>
      </c>
      <c r="M48" s="3" t="s">
        <v>1794</v>
      </c>
      <c r="N48" s="3" t="s">
        <v>391</v>
      </c>
      <c r="O48" s="3" t="s">
        <v>1806</v>
      </c>
      <c r="P48" s="71" t="s">
        <v>5624</v>
      </c>
      <c r="Q48" s="3" t="s">
        <v>1796</v>
      </c>
      <c r="R48" s="3"/>
      <c r="S48" s="3" t="s">
        <v>1775</v>
      </c>
      <c r="T48" s="17">
        <v>8</v>
      </c>
      <c r="U48" s="3" t="s">
        <v>1766</v>
      </c>
      <c r="V48" s="3" t="s">
        <v>1767</v>
      </c>
      <c r="W48" s="3" t="s">
        <v>1768</v>
      </c>
      <c r="X48" s="3" t="s">
        <v>1769</v>
      </c>
      <c r="Y48" s="3" t="s">
        <v>1770</v>
      </c>
      <c r="Z48" s="3" t="s">
        <v>391</v>
      </c>
      <c r="AA48" s="3" t="s">
        <v>391</v>
      </c>
      <c r="AB48" s="3" t="s">
        <v>1797</v>
      </c>
      <c r="AC48" s="3" t="s">
        <v>1728</v>
      </c>
      <c r="AD48" s="3" t="s">
        <v>1771</v>
      </c>
      <c r="AE48" s="3" t="s">
        <v>57</v>
      </c>
      <c r="AF48" s="32" t="s">
        <v>5138</v>
      </c>
      <c r="AG48" s="3" t="s">
        <v>1798</v>
      </c>
      <c r="AH48" s="3" t="s">
        <v>1798</v>
      </c>
      <c r="AI48"/>
      <c r="AJ48" s="3">
        <v>1.548</v>
      </c>
      <c r="AK48"/>
      <c r="AL48" s="3">
        <v>52.29</v>
      </c>
      <c r="AM48" s="3">
        <f>59.9/1.2</f>
        <v>49.916666666666664</v>
      </c>
      <c r="AN48" s="18">
        <v>0.2</v>
      </c>
      <c r="AO48" s="3">
        <f>79.9/1.2</f>
        <v>66.583333333333343</v>
      </c>
      <c r="AP48" t="s">
        <v>5521</v>
      </c>
    </row>
    <row r="49" spans="1:42" s="37" customFormat="1" ht="14.25" customHeight="1" x14ac:dyDescent="0.3">
      <c r="A49" s="37" t="s">
        <v>5462</v>
      </c>
      <c r="B49" s="37" t="s">
        <v>5076</v>
      </c>
      <c r="C49" s="37" t="s">
        <v>5453</v>
      </c>
      <c r="D49" s="42">
        <v>3524835089032</v>
      </c>
      <c r="E49" s="39" t="s">
        <v>5464</v>
      </c>
      <c r="F49" s="39" t="s">
        <v>5479</v>
      </c>
      <c r="G49" s="37" t="s">
        <v>1760</v>
      </c>
      <c r="H49" s="44"/>
      <c r="I49" s="44"/>
      <c r="J49" s="44"/>
      <c r="K49" s="37" t="s">
        <v>45</v>
      </c>
      <c r="L49" s="37" t="s">
        <v>5478</v>
      </c>
      <c r="M49" s="37" t="s">
        <v>5466</v>
      </c>
      <c r="N49" s="37" t="s">
        <v>391</v>
      </c>
      <c r="O49" s="94" t="s">
        <v>5476</v>
      </c>
      <c r="P49" s="71" t="s">
        <v>599</v>
      </c>
      <c r="Q49" s="94" t="s">
        <v>1796</v>
      </c>
      <c r="R49" s="37" t="s">
        <v>1766</v>
      </c>
      <c r="S49" s="37" t="s">
        <v>1775</v>
      </c>
      <c r="T49" s="41">
        <v>8</v>
      </c>
      <c r="U49" s="37" t="s">
        <v>1766</v>
      </c>
      <c r="V49" s="37" t="s">
        <v>5134</v>
      </c>
      <c r="W49" s="37" t="s">
        <v>5465</v>
      </c>
      <c r="X49" s="37" t="s">
        <v>5481</v>
      </c>
      <c r="Y49" s="37" t="s">
        <v>1770</v>
      </c>
      <c r="Z49" s="37" t="s">
        <v>391</v>
      </c>
      <c r="AA49" s="37" t="s">
        <v>391</v>
      </c>
      <c r="AB49" s="37" t="s">
        <v>5478</v>
      </c>
      <c r="AC49" s="37" t="s">
        <v>1728</v>
      </c>
      <c r="AD49" s="37" t="s">
        <v>1771</v>
      </c>
      <c r="AE49" s="37" t="s">
        <v>57</v>
      </c>
      <c r="AF49" s="37" t="s">
        <v>5138</v>
      </c>
      <c r="AG49" s="37" t="s">
        <v>5467</v>
      </c>
      <c r="AH49" s="37" t="s">
        <v>5467</v>
      </c>
      <c r="AJ49" s="37">
        <v>2.0590000000000002</v>
      </c>
      <c r="AL49" s="47" t="s">
        <v>5514</v>
      </c>
      <c r="AM49" s="47" t="s">
        <v>5515</v>
      </c>
      <c r="AN49" s="47"/>
      <c r="AO49" s="47" t="s">
        <v>5516</v>
      </c>
      <c r="AP49" t="s">
        <v>5521</v>
      </c>
    </row>
    <row r="50" spans="1:42" s="37" customFormat="1" ht="14.25" customHeight="1" x14ac:dyDescent="0.3">
      <c r="A50" s="37" t="s">
        <v>5458</v>
      </c>
      <c r="B50" s="37" t="s">
        <v>5072</v>
      </c>
      <c r="C50" s="37" t="s">
        <v>5453</v>
      </c>
      <c r="D50" s="42">
        <v>3524835089025</v>
      </c>
      <c r="E50" s="39" t="s">
        <v>5464</v>
      </c>
      <c r="F50" s="39" t="s">
        <v>5479</v>
      </c>
      <c r="G50" s="37" t="s">
        <v>1760</v>
      </c>
      <c r="H50" s="44"/>
      <c r="I50" s="44"/>
      <c r="J50" s="44"/>
      <c r="K50" s="37" t="s">
        <v>45</v>
      </c>
      <c r="L50" s="37" t="s">
        <v>5478</v>
      </c>
      <c r="M50" s="37" t="s">
        <v>5466</v>
      </c>
      <c r="N50" s="37" t="s">
        <v>391</v>
      </c>
      <c r="O50" s="94" t="s">
        <v>5472</v>
      </c>
      <c r="P50" s="71" t="s">
        <v>5624</v>
      </c>
      <c r="Q50" s="94" t="s">
        <v>1796</v>
      </c>
      <c r="R50" s="37" t="s">
        <v>1766</v>
      </c>
      <c r="S50" s="37" t="s">
        <v>1775</v>
      </c>
      <c r="T50" s="41">
        <v>8</v>
      </c>
      <c r="U50" s="37" t="s">
        <v>1766</v>
      </c>
      <c r="V50" s="37" t="s">
        <v>5134</v>
      </c>
      <c r="W50" s="37" t="s">
        <v>5465</v>
      </c>
      <c r="X50" s="37" t="s">
        <v>5481</v>
      </c>
      <c r="Y50" s="37" t="s">
        <v>1770</v>
      </c>
      <c r="Z50" s="37" t="s">
        <v>391</v>
      </c>
      <c r="AA50" s="37" t="s">
        <v>391</v>
      </c>
      <c r="AB50" s="37" t="s">
        <v>5478</v>
      </c>
      <c r="AC50" s="37" t="s">
        <v>1728</v>
      </c>
      <c r="AD50" s="37" t="s">
        <v>1771</v>
      </c>
      <c r="AE50" s="37" t="s">
        <v>57</v>
      </c>
      <c r="AF50" s="37" t="s">
        <v>5138</v>
      </c>
      <c r="AG50" s="37" t="s">
        <v>5467</v>
      </c>
      <c r="AH50" s="37" t="s">
        <v>5467</v>
      </c>
      <c r="AJ50" s="37">
        <v>2.0590000000000002</v>
      </c>
      <c r="AL50" s="47" t="s">
        <v>5507</v>
      </c>
      <c r="AM50" s="47" t="s">
        <v>5508</v>
      </c>
      <c r="AN50" s="47"/>
      <c r="AO50" s="47" t="s">
        <v>5509</v>
      </c>
      <c r="AP50" t="s">
        <v>5521</v>
      </c>
    </row>
    <row r="51" spans="1:42" s="37" customFormat="1" ht="14.25" customHeight="1" x14ac:dyDescent="0.3">
      <c r="A51" s="37" t="s">
        <v>5456</v>
      </c>
      <c r="B51" s="37" t="s">
        <v>5070</v>
      </c>
      <c r="C51" s="37" t="s">
        <v>5453</v>
      </c>
      <c r="D51" s="42">
        <v>3524835089018</v>
      </c>
      <c r="E51" s="39" t="s">
        <v>5464</v>
      </c>
      <c r="F51" s="39" t="s">
        <v>5479</v>
      </c>
      <c r="G51" s="37" t="s">
        <v>1760</v>
      </c>
      <c r="H51" s="44"/>
      <c r="I51" s="44"/>
      <c r="J51" s="44"/>
      <c r="K51" s="37" t="s">
        <v>45</v>
      </c>
      <c r="L51" s="37" t="s">
        <v>5478</v>
      </c>
      <c r="M51" s="37" t="s">
        <v>5466</v>
      </c>
      <c r="N51" s="37" t="s">
        <v>391</v>
      </c>
      <c r="O51" s="94" t="s">
        <v>5470</v>
      </c>
      <c r="P51" s="71" t="s">
        <v>5624</v>
      </c>
      <c r="Q51" s="94" t="s">
        <v>1796</v>
      </c>
      <c r="R51" s="37" t="s">
        <v>1766</v>
      </c>
      <c r="S51" s="37" t="s">
        <v>1775</v>
      </c>
      <c r="T51" s="41">
        <v>8</v>
      </c>
      <c r="U51" s="37" t="s">
        <v>1766</v>
      </c>
      <c r="V51" s="37" t="s">
        <v>5134</v>
      </c>
      <c r="W51" s="37" t="s">
        <v>5465</v>
      </c>
      <c r="X51" s="37" t="s">
        <v>5481</v>
      </c>
      <c r="Y51" s="37" t="s">
        <v>1770</v>
      </c>
      <c r="Z51" s="37" t="s">
        <v>391</v>
      </c>
      <c r="AA51" s="37" t="s">
        <v>391</v>
      </c>
      <c r="AB51" s="37" t="s">
        <v>5478</v>
      </c>
      <c r="AC51" s="37" t="s">
        <v>1728</v>
      </c>
      <c r="AD51" s="37" t="s">
        <v>1771</v>
      </c>
      <c r="AE51" s="37" t="s">
        <v>57</v>
      </c>
      <c r="AF51" s="37" t="s">
        <v>5138</v>
      </c>
      <c r="AG51" s="37" t="s">
        <v>5467</v>
      </c>
      <c r="AH51" s="37" t="s">
        <v>5467</v>
      </c>
      <c r="AJ51" s="37">
        <v>2.0590000000000002</v>
      </c>
      <c r="AL51" s="47" t="s">
        <v>5513</v>
      </c>
      <c r="AM51" s="47" t="s">
        <v>5508</v>
      </c>
      <c r="AN51" s="47"/>
      <c r="AO51" s="47" t="s">
        <v>5509</v>
      </c>
      <c r="AP51" t="s">
        <v>5521</v>
      </c>
    </row>
    <row r="52" spans="1:42" s="37" customFormat="1" ht="14.25" customHeight="1" x14ac:dyDescent="0.3">
      <c r="A52" s="37" t="s">
        <v>5455</v>
      </c>
      <c r="B52" s="37" t="s">
        <v>5069</v>
      </c>
      <c r="C52" s="37" t="s">
        <v>5453</v>
      </c>
      <c r="D52" s="42">
        <v>3524835079279</v>
      </c>
      <c r="E52" s="39" t="s">
        <v>5464</v>
      </c>
      <c r="F52" s="39" t="s">
        <v>5479</v>
      </c>
      <c r="G52" s="37" t="s">
        <v>1760</v>
      </c>
      <c r="H52" s="44"/>
      <c r="I52" s="44"/>
      <c r="J52" s="44"/>
      <c r="K52" s="37" t="s">
        <v>45</v>
      </c>
      <c r="L52" s="37" t="s">
        <v>5478</v>
      </c>
      <c r="M52" s="37" t="s">
        <v>5466</v>
      </c>
      <c r="N52" s="37" t="s">
        <v>391</v>
      </c>
      <c r="O52" s="43" t="s">
        <v>5469</v>
      </c>
      <c r="P52" s="69" t="s">
        <v>586</v>
      </c>
      <c r="Q52" s="94" t="s">
        <v>1796</v>
      </c>
      <c r="R52" s="37" t="s">
        <v>1766</v>
      </c>
      <c r="S52" s="37" t="s">
        <v>1775</v>
      </c>
      <c r="T52" s="41">
        <v>8</v>
      </c>
      <c r="U52" s="37" t="s">
        <v>1766</v>
      </c>
      <c r="V52" s="37" t="s">
        <v>5134</v>
      </c>
      <c r="W52" s="37" t="s">
        <v>5465</v>
      </c>
      <c r="X52" s="37" t="s">
        <v>5482</v>
      </c>
      <c r="Y52" s="37" t="s">
        <v>1770</v>
      </c>
      <c r="Z52" s="37" t="s">
        <v>391</v>
      </c>
      <c r="AA52" s="37" t="s">
        <v>391</v>
      </c>
      <c r="AB52" s="37" t="s">
        <v>5478</v>
      </c>
      <c r="AC52" s="37" t="s">
        <v>1728</v>
      </c>
      <c r="AD52" s="37" t="s">
        <v>1771</v>
      </c>
      <c r="AE52" s="37" t="s">
        <v>57</v>
      </c>
      <c r="AF52" s="37" t="s">
        <v>5138</v>
      </c>
      <c r="AG52" s="37" t="s">
        <v>5467</v>
      </c>
      <c r="AH52" s="37" t="s">
        <v>5467</v>
      </c>
      <c r="AJ52" s="37">
        <v>2.0590000000000002</v>
      </c>
      <c r="AL52" s="47" t="s">
        <v>5510</v>
      </c>
      <c r="AM52" s="47" t="s">
        <v>5511</v>
      </c>
      <c r="AN52" s="47"/>
      <c r="AO52" s="47" t="s">
        <v>5512</v>
      </c>
      <c r="AP52" t="s">
        <v>5521</v>
      </c>
    </row>
    <row r="53" spans="1:42" s="37" customFormat="1" ht="14.25" customHeight="1" x14ac:dyDescent="0.3">
      <c r="A53" s="37" t="s">
        <v>5461</v>
      </c>
      <c r="B53" s="37" t="s">
        <v>5075</v>
      </c>
      <c r="C53" s="37" t="s">
        <v>5453</v>
      </c>
      <c r="D53" s="42">
        <v>3524835089087</v>
      </c>
      <c r="E53" s="39" t="s">
        <v>5464</v>
      </c>
      <c r="F53" s="39" t="s">
        <v>5479</v>
      </c>
      <c r="G53" s="37" t="s">
        <v>1760</v>
      </c>
      <c r="H53" s="44"/>
      <c r="I53" s="44"/>
      <c r="J53" s="44"/>
      <c r="K53" s="37" t="s">
        <v>45</v>
      </c>
      <c r="L53" s="37" t="s">
        <v>5478</v>
      </c>
      <c r="M53" s="37" t="s">
        <v>5466</v>
      </c>
      <c r="N53" s="37" t="s">
        <v>391</v>
      </c>
      <c r="O53" s="43" t="s">
        <v>5475</v>
      </c>
      <c r="P53" s="71" t="s">
        <v>599</v>
      </c>
      <c r="Q53" s="94" t="s">
        <v>1796</v>
      </c>
      <c r="R53" s="37" t="s">
        <v>1766</v>
      </c>
      <c r="S53" s="37" t="s">
        <v>1775</v>
      </c>
      <c r="T53" s="41">
        <v>8</v>
      </c>
      <c r="U53" s="37" t="s">
        <v>1766</v>
      </c>
      <c r="V53" s="37" t="s">
        <v>5134</v>
      </c>
      <c r="W53" s="37" t="s">
        <v>5465</v>
      </c>
      <c r="X53" s="37" t="s">
        <v>5481</v>
      </c>
      <c r="Y53" s="37" t="s">
        <v>1770</v>
      </c>
      <c r="Z53" s="37" t="s">
        <v>391</v>
      </c>
      <c r="AA53" s="37" t="s">
        <v>391</v>
      </c>
      <c r="AB53" s="37" t="s">
        <v>5478</v>
      </c>
      <c r="AC53" s="37" t="s">
        <v>1728</v>
      </c>
      <c r="AD53" s="37" t="s">
        <v>1771</v>
      </c>
      <c r="AE53" s="37" t="s">
        <v>57</v>
      </c>
      <c r="AF53" s="37" t="s">
        <v>5138</v>
      </c>
      <c r="AG53" s="37" t="s">
        <v>5467</v>
      </c>
      <c r="AH53" s="37" t="s">
        <v>5467</v>
      </c>
      <c r="AJ53" s="37">
        <v>2.0590000000000002</v>
      </c>
      <c r="AL53" s="47" t="s">
        <v>5507</v>
      </c>
      <c r="AM53" s="47" t="s">
        <v>5508</v>
      </c>
      <c r="AN53" s="47"/>
      <c r="AO53" s="47" t="s">
        <v>5509</v>
      </c>
      <c r="AP53" t="s">
        <v>5521</v>
      </c>
    </row>
    <row r="54" spans="1:42" s="37" customFormat="1" ht="14.25" customHeight="1" x14ac:dyDescent="0.3">
      <c r="A54" s="37" t="s">
        <v>5454</v>
      </c>
      <c r="B54" s="37" t="s">
        <v>5068</v>
      </c>
      <c r="C54" s="37" t="s">
        <v>5453</v>
      </c>
      <c r="D54" s="42">
        <v>3524835077367</v>
      </c>
      <c r="E54" s="39" t="s">
        <v>5464</v>
      </c>
      <c r="F54" s="39" t="s">
        <v>5479</v>
      </c>
      <c r="G54" s="37" t="s">
        <v>1760</v>
      </c>
      <c r="H54" s="44"/>
      <c r="I54" s="44"/>
      <c r="J54" s="44"/>
      <c r="K54" s="37" t="s">
        <v>45</v>
      </c>
      <c r="L54" s="37" t="s">
        <v>5478</v>
      </c>
      <c r="M54" s="37" t="s">
        <v>5466</v>
      </c>
      <c r="N54" s="37" t="s">
        <v>391</v>
      </c>
      <c r="O54" s="43" t="s">
        <v>5468</v>
      </c>
      <c r="P54" s="71" t="s">
        <v>599</v>
      </c>
      <c r="Q54" s="94" t="s">
        <v>1796</v>
      </c>
      <c r="R54" s="37" t="s">
        <v>1766</v>
      </c>
      <c r="S54" s="37" t="s">
        <v>1775</v>
      </c>
      <c r="T54" s="41">
        <v>8</v>
      </c>
      <c r="U54" s="37" t="s">
        <v>1766</v>
      </c>
      <c r="V54" s="37" t="s">
        <v>5134</v>
      </c>
      <c r="W54" s="37" t="s">
        <v>5465</v>
      </c>
      <c r="X54" s="37" t="s">
        <v>5481</v>
      </c>
      <c r="Y54" s="37" t="s">
        <v>1770</v>
      </c>
      <c r="Z54" s="37" t="s">
        <v>391</v>
      </c>
      <c r="AA54" s="37" t="s">
        <v>391</v>
      </c>
      <c r="AB54" s="37" t="s">
        <v>5478</v>
      </c>
      <c r="AC54" s="37" t="s">
        <v>1728</v>
      </c>
      <c r="AD54" s="37" t="s">
        <v>1771</v>
      </c>
      <c r="AE54" s="37" t="s">
        <v>57</v>
      </c>
      <c r="AF54" s="37" t="s">
        <v>5138</v>
      </c>
      <c r="AG54" s="37" t="s">
        <v>5467</v>
      </c>
      <c r="AH54" s="37" t="s">
        <v>5467</v>
      </c>
      <c r="AJ54" s="37">
        <v>2.0590000000000002</v>
      </c>
      <c r="AL54" s="47" t="s">
        <v>5507</v>
      </c>
      <c r="AM54" s="47" t="s">
        <v>5508</v>
      </c>
      <c r="AN54" s="47"/>
      <c r="AO54" s="47" t="s">
        <v>5509</v>
      </c>
      <c r="AP54" t="s">
        <v>5521</v>
      </c>
    </row>
    <row r="55" spans="1:42" s="37" customFormat="1" ht="14.25" customHeight="1" x14ac:dyDescent="0.3">
      <c r="A55" s="37" t="s">
        <v>5460</v>
      </c>
      <c r="B55" s="37" t="s">
        <v>5074</v>
      </c>
      <c r="C55" s="37" t="s">
        <v>5453</v>
      </c>
      <c r="D55" s="42">
        <v>3524835089056</v>
      </c>
      <c r="E55" s="39" t="s">
        <v>5464</v>
      </c>
      <c r="F55" s="39" t="s">
        <v>5479</v>
      </c>
      <c r="G55" s="37" t="s">
        <v>1760</v>
      </c>
      <c r="H55" s="44"/>
      <c r="I55" s="44"/>
      <c r="J55" s="44"/>
      <c r="K55" s="37" t="s">
        <v>45</v>
      </c>
      <c r="L55" s="37" t="s">
        <v>5478</v>
      </c>
      <c r="M55" s="37" t="s">
        <v>5466</v>
      </c>
      <c r="N55" s="37" t="s">
        <v>391</v>
      </c>
      <c r="O55" s="94" t="s">
        <v>5474</v>
      </c>
      <c r="P55" s="71" t="s">
        <v>5624</v>
      </c>
      <c r="Q55" s="94" t="s">
        <v>1796</v>
      </c>
      <c r="R55" s="37" t="s">
        <v>1766</v>
      </c>
      <c r="S55" s="37" t="s">
        <v>1775</v>
      </c>
      <c r="T55" s="41">
        <v>8</v>
      </c>
      <c r="U55" s="37" t="s">
        <v>1766</v>
      </c>
      <c r="V55" s="37" t="s">
        <v>5134</v>
      </c>
      <c r="W55" s="37" t="s">
        <v>5465</v>
      </c>
      <c r="X55" s="37" t="s">
        <v>5481</v>
      </c>
      <c r="Y55" s="37" t="s">
        <v>1770</v>
      </c>
      <c r="Z55" s="37" t="s">
        <v>391</v>
      </c>
      <c r="AA55" s="37" t="s">
        <v>391</v>
      </c>
      <c r="AB55" s="37" t="s">
        <v>5478</v>
      </c>
      <c r="AC55" s="37" t="s">
        <v>1728</v>
      </c>
      <c r="AD55" s="37" t="s">
        <v>1771</v>
      </c>
      <c r="AE55" s="37" t="s">
        <v>57</v>
      </c>
      <c r="AF55" s="37" t="s">
        <v>5138</v>
      </c>
      <c r="AG55" s="37" t="s">
        <v>5467</v>
      </c>
      <c r="AH55" s="37" t="s">
        <v>5467</v>
      </c>
      <c r="AJ55" s="37">
        <v>2.0590000000000002</v>
      </c>
      <c r="AL55" s="47" t="s">
        <v>5507</v>
      </c>
      <c r="AM55" s="47" t="s">
        <v>5508</v>
      </c>
      <c r="AN55" s="47"/>
      <c r="AO55" s="47" t="s">
        <v>5509</v>
      </c>
      <c r="AP55" t="s">
        <v>5521</v>
      </c>
    </row>
    <row r="56" spans="1:42" s="37" customFormat="1" ht="14.25" customHeight="1" x14ac:dyDescent="0.3">
      <c r="A56" s="37" t="s">
        <v>5457</v>
      </c>
      <c r="B56" s="37" t="s">
        <v>5071</v>
      </c>
      <c r="C56" s="37" t="s">
        <v>5453</v>
      </c>
      <c r="D56" s="42">
        <v>3524835089063</v>
      </c>
      <c r="E56" s="39" t="s">
        <v>5464</v>
      </c>
      <c r="F56" s="39" t="s">
        <v>5479</v>
      </c>
      <c r="G56" s="37" t="s">
        <v>1760</v>
      </c>
      <c r="H56" s="44"/>
      <c r="I56" s="44"/>
      <c r="J56" s="44"/>
      <c r="K56" s="37" t="s">
        <v>45</v>
      </c>
      <c r="L56" s="37" t="s">
        <v>5478</v>
      </c>
      <c r="M56" s="37" t="s">
        <v>5466</v>
      </c>
      <c r="N56" s="37" t="s">
        <v>391</v>
      </c>
      <c r="O56" s="94" t="s">
        <v>5471</v>
      </c>
      <c r="P56" s="71" t="s">
        <v>5624</v>
      </c>
      <c r="Q56" s="94" t="s">
        <v>1796</v>
      </c>
      <c r="R56" s="37" t="s">
        <v>1766</v>
      </c>
      <c r="S56" s="37" t="s">
        <v>1775</v>
      </c>
      <c r="T56" s="41">
        <v>8</v>
      </c>
      <c r="U56" s="37" t="s">
        <v>1766</v>
      </c>
      <c r="V56" s="37" t="s">
        <v>5134</v>
      </c>
      <c r="W56" s="37" t="s">
        <v>5465</v>
      </c>
      <c r="X56" s="37" t="s">
        <v>5481</v>
      </c>
      <c r="Y56" s="37" t="s">
        <v>1770</v>
      </c>
      <c r="Z56" s="37" t="s">
        <v>391</v>
      </c>
      <c r="AA56" s="37" t="s">
        <v>391</v>
      </c>
      <c r="AB56" s="37" t="s">
        <v>5478</v>
      </c>
      <c r="AC56" s="37" t="s">
        <v>1728</v>
      </c>
      <c r="AD56" s="37" t="s">
        <v>1771</v>
      </c>
      <c r="AE56" s="37" t="s">
        <v>57</v>
      </c>
      <c r="AF56" s="37" t="s">
        <v>5138</v>
      </c>
      <c r="AG56" s="37" t="s">
        <v>5467</v>
      </c>
      <c r="AH56" s="37" t="s">
        <v>5467</v>
      </c>
      <c r="AJ56" s="37">
        <v>2.0590000000000002</v>
      </c>
      <c r="AL56" s="47" t="s">
        <v>5513</v>
      </c>
      <c r="AM56" s="47"/>
      <c r="AN56" s="47"/>
      <c r="AO56" s="47" t="s">
        <v>5509</v>
      </c>
      <c r="AP56" t="s">
        <v>5521</v>
      </c>
    </row>
    <row r="57" spans="1:42" s="37" customFormat="1" ht="14.25" customHeight="1" x14ac:dyDescent="0.3">
      <c r="A57" s="37" t="s">
        <v>5463</v>
      </c>
      <c r="B57" s="37" t="s">
        <v>5077</v>
      </c>
      <c r="C57" s="37" t="s">
        <v>5453</v>
      </c>
      <c r="D57" s="42">
        <v>3524835089070</v>
      </c>
      <c r="E57" s="39" t="s">
        <v>5464</v>
      </c>
      <c r="F57" s="39" t="s">
        <v>5479</v>
      </c>
      <c r="G57" s="37" t="s">
        <v>1760</v>
      </c>
      <c r="H57" s="44"/>
      <c r="I57" s="44"/>
      <c r="J57" s="44"/>
      <c r="K57" s="37" t="s">
        <v>45</v>
      </c>
      <c r="L57" s="37" t="s">
        <v>5478</v>
      </c>
      <c r="M57" s="37" t="s">
        <v>5466</v>
      </c>
      <c r="N57" s="37" t="s">
        <v>391</v>
      </c>
      <c r="O57" s="94" t="s">
        <v>5477</v>
      </c>
      <c r="P57" s="71" t="s">
        <v>5624</v>
      </c>
      <c r="Q57" s="94" t="s">
        <v>1796</v>
      </c>
      <c r="R57" s="37" t="s">
        <v>1766</v>
      </c>
      <c r="S57" s="37" t="s">
        <v>1775</v>
      </c>
      <c r="T57" s="41">
        <v>8</v>
      </c>
      <c r="U57" s="37" t="s">
        <v>1766</v>
      </c>
      <c r="V57" s="37" t="s">
        <v>5134</v>
      </c>
      <c r="W57" s="37" t="s">
        <v>5465</v>
      </c>
      <c r="X57" s="37" t="s">
        <v>5481</v>
      </c>
      <c r="Y57" s="37" t="s">
        <v>1770</v>
      </c>
      <c r="Z57" s="37" t="s">
        <v>391</v>
      </c>
      <c r="AA57" s="37" t="s">
        <v>391</v>
      </c>
      <c r="AB57" s="37" t="s">
        <v>5478</v>
      </c>
      <c r="AC57" s="37" t="s">
        <v>1728</v>
      </c>
      <c r="AD57" s="37" t="s">
        <v>1771</v>
      </c>
      <c r="AE57" s="37" t="s">
        <v>57</v>
      </c>
      <c r="AF57" s="37" t="s">
        <v>5138</v>
      </c>
      <c r="AG57" s="37" t="s">
        <v>5467</v>
      </c>
      <c r="AH57" s="37" t="s">
        <v>5467</v>
      </c>
      <c r="AJ57" s="37">
        <v>2.0590000000000002</v>
      </c>
      <c r="AL57" s="47" t="s">
        <v>5507</v>
      </c>
      <c r="AM57" s="47" t="s">
        <v>5511</v>
      </c>
      <c r="AN57" s="47"/>
      <c r="AO57" s="47" t="s">
        <v>5512</v>
      </c>
      <c r="AP57" t="s">
        <v>5521</v>
      </c>
    </row>
    <row r="58" spans="1:42" s="37" customFormat="1" ht="14.25" customHeight="1" x14ac:dyDescent="0.3">
      <c r="A58" s="37" t="s">
        <v>5459</v>
      </c>
      <c r="B58" s="37" t="s">
        <v>5073</v>
      </c>
      <c r="C58" s="37" t="s">
        <v>5453</v>
      </c>
      <c r="D58" s="42">
        <v>3524835089049</v>
      </c>
      <c r="E58" s="39" t="s">
        <v>5464</v>
      </c>
      <c r="F58" s="39" t="s">
        <v>5479</v>
      </c>
      <c r="G58" s="37" t="s">
        <v>1760</v>
      </c>
      <c r="H58" s="44"/>
      <c r="I58" s="44"/>
      <c r="J58" s="44"/>
      <c r="K58" s="37" t="s">
        <v>45</v>
      </c>
      <c r="L58" s="37" t="s">
        <v>5478</v>
      </c>
      <c r="M58" s="37" t="s">
        <v>5466</v>
      </c>
      <c r="N58" s="37" t="s">
        <v>391</v>
      </c>
      <c r="O58" s="94" t="s">
        <v>5473</v>
      </c>
      <c r="P58" s="71" t="s">
        <v>599</v>
      </c>
      <c r="Q58" s="94" t="s">
        <v>1796</v>
      </c>
      <c r="R58" s="37" t="s">
        <v>1766</v>
      </c>
      <c r="S58" s="37" t="s">
        <v>1775</v>
      </c>
      <c r="T58" s="41">
        <v>8</v>
      </c>
      <c r="U58" s="37" t="s">
        <v>1766</v>
      </c>
      <c r="V58" s="37" t="s">
        <v>5134</v>
      </c>
      <c r="W58" s="37" t="s">
        <v>5465</v>
      </c>
      <c r="X58" s="37" t="s">
        <v>5481</v>
      </c>
      <c r="Y58" s="37" t="s">
        <v>1770</v>
      </c>
      <c r="Z58" s="37" t="s">
        <v>391</v>
      </c>
      <c r="AA58" s="37" t="s">
        <v>391</v>
      </c>
      <c r="AB58" s="37" t="s">
        <v>5478</v>
      </c>
      <c r="AC58" s="37" t="s">
        <v>1728</v>
      </c>
      <c r="AD58" s="37" t="s">
        <v>1771</v>
      </c>
      <c r="AE58" s="37" t="s">
        <v>57</v>
      </c>
      <c r="AF58" s="37" t="s">
        <v>5138</v>
      </c>
      <c r="AG58" s="37" t="s">
        <v>5467</v>
      </c>
      <c r="AH58" s="37" t="s">
        <v>5467</v>
      </c>
      <c r="AJ58" s="37">
        <v>2.0590000000000002</v>
      </c>
      <c r="AL58" s="47" t="s">
        <v>5507</v>
      </c>
      <c r="AM58" s="47" t="s">
        <v>5508</v>
      </c>
      <c r="AN58" s="47"/>
      <c r="AO58" s="47" t="s">
        <v>5509</v>
      </c>
      <c r="AP58" t="s">
        <v>5521</v>
      </c>
    </row>
    <row r="59" spans="1:42" s="37" customFormat="1" ht="14.25" customHeight="1" x14ac:dyDescent="0.3">
      <c r="A59" s="36" t="s">
        <v>5338</v>
      </c>
      <c r="B59" s="37" t="s">
        <v>5278</v>
      </c>
      <c r="C59" s="37" t="s">
        <v>5269</v>
      </c>
      <c r="D59" s="42">
        <v>5414404262721</v>
      </c>
      <c r="E59" s="39" t="s">
        <v>5390</v>
      </c>
      <c r="F59" s="39" t="s">
        <v>5391</v>
      </c>
      <c r="G59" s="37" t="s">
        <v>5239</v>
      </c>
      <c r="K59" s="37" t="s">
        <v>45</v>
      </c>
      <c r="L59" s="37" t="s">
        <v>5243</v>
      </c>
      <c r="M59" s="37" t="s">
        <v>5392</v>
      </c>
      <c r="N59" s="37" t="s">
        <v>1766</v>
      </c>
      <c r="O59" s="94" t="s">
        <v>5411</v>
      </c>
      <c r="P59" s="71" t="s">
        <v>3268</v>
      </c>
      <c r="Q59" s="37" t="s">
        <v>1766</v>
      </c>
      <c r="R59" s="37" t="s">
        <v>1766</v>
      </c>
      <c r="S59" s="37" t="s">
        <v>5250</v>
      </c>
      <c r="T59" s="41">
        <v>9</v>
      </c>
      <c r="U59" s="37" t="s">
        <v>1766</v>
      </c>
      <c r="V59" s="37" t="s">
        <v>5134</v>
      </c>
      <c r="W59" s="37" t="s">
        <v>1766</v>
      </c>
      <c r="X59" s="37" t="s">
        <v>1766</v>
      </c>
      <c r="Y59" s="37" t="s">
        <v>5242</v>
      </c>
      <c r="Z59" s="37" t="s">
        <v>1766</v>
      </c>
      <c r="AA59" s="37" t="s">
        <v>1766</v>
      </c>
      <c r="AB59" s="37" t="s">
        <v>5241</v>
      </c>
      <c r="AC59" s="37" t="s">
        <v>1728</v>
      </c>
      <c r="AD59" s="37" t="s">
        <v>1771</v>
      </c>
      <c r="AE59" s="37" t="s">
        <v>57</v>
      </c>
      <c r="AF59" s="37" t="s">
        <v>5138</v>
      </c>
      <c r="AG59" s="37" t="s">
        <v>5261</v>
      </c>
      <c r="AH59" s="37" t="s">
        <v>5261</v>
      </c>
      <c r="AJ59" s="37">
        <v>2.2000000000000002</v>
      </c>
      <c r="AL59" s="47" t="s">
        <v>5501</v>
      </c>
      <c r="AM59" s="47" t="s">
        <v>5502</v>
      </c>
      <c r="AN59" s="47"/>
      <c r="AO59" s="47" t="s">
        <v>5503</v>
      </c>
      <c r="AP59" t="s">
        <v>5521</v>
      </c>
    </row>
    <row r="60" spans="1:42" s="37" customFormat="1" ht="14.25" customHeight="1" x14ac:dyDescent="0.3">
      <c r="A60" s="36" t="s">
        <v>5339</v>
      </c>
      <c r="B60" s="37" t="s">
        <v>5279</v>
      </c>
      <c r="C60" s="37" t="s">
        <v>5269</v>
      </c>
      <c r="D60" s="42">
        <v>5414404262738</v>
      </c>
      <c r="E60" s="39" t="s">
        <v>5390</v>
      </c>
      <c r="F60" s="39" t="s">
        <v>5391</v>
      </c>
      <c r="G60" s="37" t="s">
        <v>5239</v>
      </c>
      <c r="K60" s="37" t="s">
        <v>45</v>
      </c>
      <c r="L60" s="37" t="s">
        <v>5243</v>
      </c>
      <c r="M60" s="37" t="s">
        <v>5392</v>
      </c>
      <c r="N60" s="37" t="s">
        <v>1766</v>
      </c>
      <c r="O60" s="94" t="s">
        <v>5412</v>
      </c>
      <c r="P60" s="71" t="s">
        <v>5624</v>
      </c>
      <c r="Q60" s="37" t="s">
        <v>1766</v>
      </c>
      <c r="R60" s="37" t="s">
        <v>1766</v>
      </c>
      <c r="S60" s="37" t="s">
        <v>5250</v>
      </c>
      <c r="T60" s="41">
        <v>9</v>
      </c>
      <c r="U60" s="37" t="s">
        <v>1766</v>
      </c>
      <c r="V60" s="37" t="s">
        <v>5134</v>
      </c>
      <c r="W60" s="37" t="s">
        <v>1766</v>
      </c>
      <c r="X60" s="37" t="s">
        <v>1766</v>
      </c>
      <c r="Y60" s="37" t="s">
        <v>5242</v>
      </c>
      <c r="Z60" s="37" t="s">
        <v>1766</v>
      </c>
      <c r="AA60" s="37" t="s">
        <v>1766</v>
      </c>
      <c r="AB60" s="37" t="s">
        <v>5241</v>
      </c>
      <c r="AC60" s="37" t="s">
        <v>1728</v>
      </c>
      <c r="AD60" s="37" t="s">
        <v>1771</v>
      </c>
      <c r="AE60" s="37" t="s">
        <v>57</v>
      </c>
      <c r="AF60" s="37" t="s">
        <v>5138</v>
      </c>
      <c r="AG60" s="37" t="s">
        <v>5261</v>
      </c>
      <c r="AH60" s="37" t="s">
        <v>5261</v>
      </c>
      <c r="AJ60" s="37">
        <v>2.2000000000000002</v>
      </c>
      <c r="AL60" s="47" t="s">
        <v>5501</v>
      </c>
      <c r="AM60" s="47" t="s">
        <v>5502</v>
      </c>
      <c r="AN60" s="47"/>
      <c r="AO60" s="47" t="s">
        <v>5503</v>
      </c>
      <c r="AP60" t="s">
        <v>5521</v>
      </c>
    </row>
    <row r="61" spans="1:42" s="37" customFormat="1" ht="14.25" customHeight="1" x14ac:dyDescent="0.3">
      <c r="A61" s="36" t="s">
        <v>5340</v>
      </c>
      <c r="B61" s="37" t="s">
        <v>5280</v>
      </c>
      <c r="C61" s="37" t="s">
        <v>5269</v>
      </c>
      <c r="D61" s="42">
        <v>5414404262745</v>
      </c>
      <c r="E61" s="39" t="s">
        <v>5390</v>
      </c>
      <c r="F61" s="39" t="s">
        <v>5391</v>
      </c>
      <c r="G61" s="37" t="s">
        <v>5239</v>
      </c>
      <c r="K61" s="37" t="s">
        <v>45</v>
      </c>
      <c r="L61" s="37" t="s">
        <v>5243</v>
      </c>
      <c r="M61" s="37" t="s">
        <v>5392</v>
      </c>
      <c r="N61" s="37" t="s">
        <v>1766</v>
      </c>
      <c r="O61" s="43" t="s">
        <v>5398</v>
      </c>
      <c r="P61" s="71" t="s">
        <v>5624</v>
      </c>
      <c r="Q61" s="37" t="s">
        <v>1766</v>
      </c>
      <c r="R61" s="37" t="s">
        <v>1766</v>
      </c>
      <c r="S61" s="37" t="s">
        <v>5250</v>
      </c>
      <c r="T61" s="41">
        <v>9</v>
      </c>
      <c r="U61" s="37" t="s">
        <v>1766</v>
      </c>
      <c r="V61" s="37" t="s">
        <v>5134</v>
      </c>
      <c r="W61" s="37" t="s">
        <v>1766</v>
      </c>
      <c r="X61" s="37" t="s">
        <v>1766</v>
      </c>
      <c r="Y61" s="37" t="s">
        <v>5242</v>
      </c>
      <c r="Z61" s="37" t="s">
        <v>1766</v>
      </c>
      <c r="AA61" s="37" t="s">
        <v>1766</v>
      </c>
      <c r="AB61" s="37" t="s">
        <v>5241</v>
      </c>
      <c r="AC61" s="37" t="s">
        <v>1728</v>
      </c>
      <c r="AD61" s="37" t="s">
        <v>1771</v>
      </c>
      <c r="AE61" s="37" t="s">
        <v>57</v>
      </c>
      <c r="AF61" s="37" t="s">
        <v>5138</v>
      </c>
      <c r="AG61" s="37" t="s">
        <v>5261</v>
      </c>
      <c r="AH61" s="37" t="s">
        <v>5261</v>
      </c>
      <c r="AJ61" s="37">
        <v>2.2000000000000002</v>
      </c>
      <c r="AL61" s="47" t="s">
        <v>5501</v>
      </c>
      <c r="AM61" s="47" t="s">
        <v>5502</v>
      </c>
      <c r="AN61" s="47"/>
      <c r="AO61" s="47" t="s">
        <v>5503</v>
      </c>
      <c r="AP61" t="s">
        <v>5521</v>
      </c>
    </row>
    <row r="62" spans="1:42" s="37" customFormat="1" ht="14.25" customHeight="1" x14ac:dyDescent="0.3">
      <c r="A62" s="36" t="s">
        <v>5341</v>
      </c>
      <c r="B62" s="37" t="s">
        <v>5281</v>
      </c>
      <c r="C62" s="37" t="s">
        <v>5269</v>
      </c>
      <c r="D62" s="42">
        <v>5414404262752</v>
      </c>
      <c r="E62" s="39" t="s">
        <v>5390</v>
      </c>
      <c r="F62" s="39" t="s">
        <v>5391</v>
      </c>
      <c r="G62" s="37" t="s">
        <v>5239</v>
      </c>
      <c r="K62" s="37" t="s">
        <v>45</v>
      </c>
      <c r="L62" s="37" t="s">
        <v>5243</v>
      </c>
      <c r="M62" s="37" t="s">
        <v>5392</v>
      </c>
      <c r="N62" s="37" t="s">
        <v>1766</v>
      </c>
      <c r="O62" s="43" t="s">
        <v>5413</v>
      </c>
      <c r="P62" s="71" t="s">
        <v>586</v>
      </c>
      <c r="Q62" s="37" t="s">
        <v>1766</v>
      </c>
      <c r="R62" s="37" t="s">
        <v>1766</v>
      </c>
      <c r="S62" s="37" t="s">
        <v>5250</v>
      </c>
      <c r="T62" s="41">
        <v>9</v>
      </c>
      <c r="U62" s="37" t="s">
        <v>1766</v>
      </c>
      <c r="V62" s="37" t="s">
        <v>5134</v>
      </c>
      <c r="W62" s="37" t="s">
        <v>1766</v>
      </c>
      <c r="X62" s="37" t="s">
        <v>1766</v>
      </c>
      <c r="Y62" s="37" t="s">
        <v>5242</v>
      </c>
      <c r="Z62" s="37" t="s">
        <v>1766</v>
      </c>
      <c r="AA62" s="37" t="s">
        <v>1766</v>
      </c>
      <c r="AB62" s="37" t="s">
        <v>5241</v>
      </c>
      <c r="AC62" s="37" t="s">
        <v>1728</v>
      </c>
      <c r="AD62" s="37" t="s">
        <v>1771</v>
      </c>
      <c r="AE62" s="37" t="s">
        <v>57</v>
      </c>
      <c r="AF62" s="37" t="s">
        <v>5138</v>
      </c>
      <c r="AG62" s="37" t="s">
        <v>5261</v>
      </c>
      <c r="AH62" s="37" t="s">
        <v>5261</v>
      </c>
      <c r="AJ62" s="37">
        <v>2.2000000000000002</v>
      </c>
      <c r="AL62" s="47" t="s">
        <v>5501</v>
      </c>
      <c r="AM62" s="47" t="s">
        <v>5502</v>
      </c>
      <c r="AN62" s="47"/>
      <c r="AO62" s="47" t="s">
        <v>5503</v>
      </c>
      <c r="AP62" t="s">
        <v>5521</v>
      </c>
    </row>
    <row r="63" spans="1:42" s="37" customFormat="1" ht="14.25" customHeight="1" x14ac:dyDescent="0.3">
      <c r="A63" s="36" t="s">
        <v>5342</v>
      </c>
      <c r="B63" s="37" t="s">
        <v>5282</v>
      </c>
      <c r="C63" s="37" t="s">
        <v>5269</v>
      </c>
      <c r="D63" s="42">
        <v>5414404262769</v>
      </c>
      <c r="E63" s="39" t="s">
        <v>5390</v>
      </c>
      <c r="F63" s="39" t="s">
        <v>5391</v>
      </c>
      <c r="G63" s="37" t="s">
        <v>5239</v>
      </c>
      <c r="K63" s="37" t="s">
        <v>45</v>
      </c>
      <c r="L63" s="37" t="s">
        <v>5243</v>
      </c>
      <c r="M63" s="37" t="s">
        <v>5392</v>
      </c>
      <c r="N63" s="37" t="s">
        <v>1766</v>
      </c>
      <c r="O63" s="43" t="s">
        <v>5414</v>
      </c>
      <c r="P63" s="71" t="s">
        <v>61</v>
      </c>
      <c r="Q63" s="37" t="s">
        <v>1766</v>
      </c>
      <c r="R63" s="37" t="s">
        <v>1766</v>
      </c>
      <c r="S63" s="37" t="s">
        <v>5250</v>
      </c>
      <c r="T63" s="41">
        <v>9</v>
      </c>
      <c r="U63" s="37" t="s">
        <v>1766</v>
      </c>
      <c r="V63" s="37" t="s">
        <v>5134</v>
      </c>
      <c r="W63" s="37" t="s">
        <v>1766</v>
      </c>
      <c r="X63" s="37" t="s">
        <v>1766</v>
      </c>
      <c r="Y63" s="37" t="s">
        <v>5242</v>
      </c>
      <c r="Z63" s="37" t="s">
        <v>1766</v>
      </c>
      <c r="AA63" s="37" t="s">
        <v>1766</v>
      </c>
      <c r="AB63" s="37" t="s">
        <v>5241</v>
      </c>
      <c r="AC63" s="37" t="s">
        <v>1728</v>
      </c>
      <c r="AD63" s="37" t="s">
        <v>1771</v>
      </c>
      <c r="AE63" s="37" t="s">
        <v>57</v>
      </c>
      <c r="AF63" s="37" t="s">
        <v>5138</v>
      </c>
      <c r="AG63" s="37" t="s">
        <v>5261</v>
      </c>
      <c r="AH63" s="37" t="s">
        <v>5261</v>
      </c>
      <c r="AJ63" s="37">
        <v>2.2000000000000002</v>
      </c>
      <c r="AL63" s="47" t="s">
        <v>5501</v>
      </c>
      <c r="AM63" s="47" t="s">
        <v>5502</v>
      </c>
      <c r="AN63" s="47"/>
      <c r="AO63" s="47" t="s">
        <v>5503</v>
      </c>
      <c r="AP63" t="s">
        <v>5521</v>
      </c>
    </row>
    <row r="64" spans="1:42" s="37" customFormat="1" ht="14.25" customHeight="1" x14ac:dyDescent="0.3">
      <c r="A64" s="36" t="s">
        <v>5343</v>
      </c>
      <c r="B64" s="37" t="s">
        <v>5283</v>
      </c>
      <c r="C64" s="37" t="s">
        <v>5269</v>
      </c>
      <c r="D64" s="42">
        <v>5414404262776</v>
      </c>
      <c r="E64" s="39" t="s">
        <v>5390</v>
      </c>
      <c r="F64" s="39" t="s">
        <v>5391</v>
      </c>
      <c r="G64" s="37" t="s">
        <v>5239</v>
      </c>
      <c r="K64" s="37" t="s">
        <v>45</v>
      </c>
      <c r="L64" s="37" t="s">
        <v>5243</v>
      </c>
      <c r="M64" s="37" t="s">
        <v>5392</v>
      </c>
      <c r="N64" s="37" t="s">
        <v>1766</v>
      </c>
      <c r="O64" s="43" t="s">
        <v>5415</v>
      </c>
      <c r="P64" s="71" t="s">
        <v>5624</v>
      </c>
      <c r="Q64" s="37" t="s">
        <v>1766</v>
      </c>
      <c r="R64" s="37" t="s">
        <v>1766</v>
      </c>
      <c r="S64" s="37" t="s">
        <v>5250</v>
      </c>
      <c r="T64" s="41">
        <v>9</v>
      </c>
      <c r="U64" s="37" t="s">
        <v>1766</v>
      </c>
      <c r="V64" s="37" t="s">
        <v>5134</v>
      </c>
      <c r="W64" s="37" t="s">
        <v>1766</v>
      </c>
      <c r="X64" s="37" t="s">
        <v>1766</v>
      </c>
      <c r="Y64" s="37" t="s">
        <v>5242</v>
      </c>
      <c r="Z64" s="37" t="s">
        <v>1766</v>
      </c>
      <c r="AA64" s="37" t="s">
        <v>1766</v>
      </c>
      <c r="AB64" s="37" t="s">
        <v>5241</v>
      </c>
      <c r="AC64" s="37" t="s">
        <v>1728</v>
      </c>
      <c r="AD64" s="37" t="s">
        <v>1771</v>
      </c>
      <c r="AE64" s="37" t="s">
        <v>57</v>
      </c>
      <c r="AF64" s="37" t="s">
        <v>5138</v>
      </c>
      <c r="AG64" s="37" t="s">
        <v>5261</v>
      </c>
      <c r="AH64" s="37" t="s">
        <v>5261</v>
      </c>
      <c r="AJ64" s="37">
        <v>2.2000000000000002</v>
      </c>
      <c r="AL64" s="47" t="s">
        <v>5501</v>
      </c>
      <c r="AM64" s="47" t="s">
        <v>5502</v>
      </c>
      <c r="AN64" s="47"/>
      <c r="AO64" s="47" t="s">
        <v>5503</v>
      </c>
      <c r="AP64" t="s">
        <v>5521</v>
      </c>
    </row>
    <row r="65" spans="1:42" s="37" customFormat="1" ht="14.25" customHeight="1" x14ac:dyDescent="0.3">
      <c r="A65" s="36" t="s">
        <v>5344</v>
      </c>
      <c r="B65" s="37" t="s">
        <v>5284</v>
      </c>
      <c r="C65" s="37" t="s">
        <v>5269</v>
      </c>
      <c r="D65" s="42">
        <v>5414404262783</v>
      </c>
      <c r="E65" s="39" t="s">
        <v>5390</v>
      </c>
      <c r="F65" s="39" t="s">
        <v>5391</v>
      </c>
      <c r="G65" s="37" t="s">
        <v>5239</v>
      </c>
      <c r="K65" s="37" t="s">
        <v>45</v>
      </c>
      <c r="L65" s="37" t="s">
        <v>5243</v>
      </c>
      <c r="M65" s="37" t="s">
        <v>5392</v>
      </c>
      <c r="N65" s="37" t="s">
        <v>1766</v>
      </c>
      <c r="O65" s="43" t="s">
        <v>5400</v>
      </c>
      <c r="P65" s="69" t="s">
        <v>586</v>
      </c>
      <c r="Q65" s="37" t="s">
        <v>1766</v>
      </c>
      <c r="R65" s="37" t="s">
        <v>1766</v>
      </c>
      <c r="S65" s="37" t="s">
        <v>5250</v>
      </c>
      <c r="T65" s="41">
        <v>9</v>
      </c>
      <c r="U65" s="37" t="s">
        <v>1766</v>
      </c>
      <c r="V65" s="37" t="s">
        <v>5134</v>
      </c>
      <c r="W65" s="37" t="s">
        <v>1766</v>
      </c>
      <c r="X65" s="37" t="s">
        <v>1766</v>
      </c>
      <c r="Y65" s="37" t="s">
        <v>5242</v>
      </c>
      <c r="Z65" s="37" t="s">
        <v>1766</v>
      </c>
      <c r="AA65" s="37" t="s">
        <v>1766</v>
      </c>
      <c r="AB65" s="37" t="s">
        <v>5241</v>
      </c>
      <c r="AC65" s="37" t="s">
        <v>1728</v>
      </c>
      <c r="AD65" s="37" t="s">
        <v>1771</v>
      </c>
      <c r="AE65" s="37" t="s">
        <v>57</v>
      </c>
      <c r="AF65" s="37" t="s">
        <v>5138</v>
      </c>
      <c r="AG65" s="37" t="s">
        <v>5261</v>
      </c>
      <c r="AH65" s="37" t="s">
        <v>5261</v>
      </c>
      <c r="AJ65" s="37">
        <v>2.2000000000000002</v>
      </c>
      <c r="AL65" s="47" t="s">
        <v>5501</v>
      </c>
      <c r="AM65" s="47" t="s">
        <v>5502</v>
      </c>
      <c r="AN65" s="47"/>
      <c r="AO65" s="47" t="s">
        <v>5503</v>
      </c>
      <c r="AP65" t="s">
        <v>5521</v>
      </c>
    </row>
    <row r="66" spans="1:42" s="37" customFormat="1" ht="14.25" customHeight="1" x14ac:dyDescent="0.3">
      <c r="A66" s="36" t="s">
        <v>5345</v>
      </c>
      <c r="B66" s="37" t="s">
        <v>5285</v>
      </c>
      <c r="C66" s="37" t="s">
        <v>5269</v>
      </c>
      <c r="D66" s="42">
        <v>5414404262790</v>
      </c>
      <c r="E66" s="39" t="s">
        <v>5390</v>
      </c>
      <c r="F66" s="39" t="s">
        <v>5391</v>
      </c>
      <c r="G66" s="37" t="s">
        <v>5239</v>
      </c>
      <c r="K66" s="37" t="s">
        <v>45</v>
      </c>
      <c r="L66" s="37" t="s">
        <v>5243</v>
      </c>
      <c r="M66" s="37" t="s">
        <v>5392</v>
      </c>
      <c r="N66" s="37" t="s">
        <v>1766</v>
      </c>
      <c r="O66" s="43" t="s">
        <v>5401</v>
      </c>
      <c r="P66" s="71" t="s">
        <v>5624</v>
      </c>
      <c r="Q66" s="37" t="s">
        <v>1766</v>
      </c>
      <c r="R66" s="37" t="s">
        <v>1766</v>
      </c>
      <c r="S66" s="37" t="s">
        <v>5250</v>
      </c>
      <c r="T66" s="41">
        <v>9</v>
      </c>
      <c r="U66" s="37" t="s">
        <v>1766</v>
      </c>
      <c r="V66" s="37" t="s">
        <v>5134</v>
      </c>
      <c r="W66" s="37" t="s">
        <v>1766</v>
      </c>
      <c r="X66" s="37" t="s">
        <v>1766</v>
      </c>
      <c r="Y66" s="37" t="s">
        <v>5242</v>
      </c>
      <c r="Z66" s="37" t="s">
        <v>1766</v>
      </c>
      <c r="AA66" s="37" t="s">
        <v>1766</v>
      </c>
      <c r="AB66" s="37" t="s">
        <v>5241</v>
      </c>
      <c r="AC66" s="37" t="s">
        <v>1728</v>
      </c>
      <c r="AD66" s="37" t="s">
        <v>1771</v>
      </c>
      <c r="AE66" s="37" t="s">
        <v>57</v>
      </c>
      <c r="AF66" s="37" t="s">
        <v>5138</v>
      </c>
      <c r="AG66" s="37" t="s">
        <v>5261</v>
      </c>
      <c r="AH66" s="37" t="s">
        <v>5261</v>
      </c>
      <c r="AJ66" s="37">
        <v>2.2000000000000002</v>
      </c>
      <c r="AL66" s="47" t="s">
        <v>5501</v>
      </c>
      <c r="AM66" s="47" t="s">
        <v>5502</v>
      </c>
      <c r="AN66" s="47"/>
      <c r="AO66" s="47" t="s">
        <v>5503</v>
      </c>
      <c r="AP66" t="s">
        <v>5521</v>
      </c>
    </row>
    <row r="67" spans="1:42" s="37" customFormat="1" ht="14.25" customHeight="1" x14ac:dyDescent="0.3">
      <c r="A67" s="36" t="s">
        <v>5337</v>
      </c>
      <c r="B67" s="37" t="s">
        <v>5277</v>
      </c>
      <c r="C67" s="37" t="s">
        <v>5269</v>
      </c>
      <c r="D67" s="42">
        <v>5414404243867</v>
      </c>
      <c r="E67" s="39" t="s">
        <v>5390</v>
      </c>
      <c r="F67" s="39" t="s">
        <v>5391</v>
      </c>
      <c r="G67" s="37" t="s">
        <v>5239</v>
      </c>
      <c r="K67" s="37" t="s">
        <v>45</v>
      </c>
      <c r="L67" s="37" t="s">
        <v>5243</v>
      </c>
      <c r="M67" s="37" t="s">
        <v>5392</v>
      </c>
      <c r="N67" s="37" t="s">
        <v>1766</v>
      </c>
      <c r="O67" s="43" t="s">
        <v>5397</v>
      </c>
      <c r="P67" s="71" t="s">
        <v>3268</v>
      </c>
      <c r="Q67" s="37" t="s">
        <v>1766</v>
      </c>
      <c r="R67" s="37" t="s">
        <v>1766</v>
      </c>
      <c r="S67" s="37" t="s">
        <v>5250</v>
      </c>
      <c r="T67" s="41">
        <v>9</v>
      </c>
      <c r="U67" s="37" t="s">
        <v>1766</v>
      </c>
      <c r="V67" s="37" t="s">
        <v>5134</v>
      </c>
      <c r="W67" s="37" t="s">
        <v>1766</v>
      </c>
      <c r="X67" s="37" t="s">
        <v>1766</v>
      </c>
      <c r="Y67" s="37" t="s">
        <v>5242</v>
      </c>
      <c r="Z67" s="37" t="s">
        <v>1766</v>
      </c>
      <c r="AA67" s="37" t="s">
        <v>1766</v>
      </c>
      <c r="AB67" s="37" t="s">
        <v>5241</v>
      </c>
      <c r="AC67" s="37" t="s">
        <v>1728</v>
      </c>
      <c r="AD67" s="37" t="s">
        <v>1771</v>
      </c>
      <c r="AE67" s="37" t="s">
        <v>57</v>
      </c>
      <c r="AF67" s="37" t="s">
        <v>5138</v>
      </c>
      <c r="AG67" s="37" t="s">
        <v>5261</v>
      </c>
      <c r="AH67" s="37" t="s">
        <v>5261</v>
      </c>
      <c r="AJ67" s="37">
        <v>2.2000000000000002</v>
      </c>
      <c r="AL67" s="47" t="s">
        <v>5501</v>
      </c>
      <c r="AM67" s="47" t="s">
        <v>5502</v>
      </c>
      <c r="AN67" s="47"/>
      <c r="AO67" s="47" t="s">
        <v>5503</v>
      </c>
      <c r="AP67" t="s">
        <v>5521</v>
      </c>
    </row>
    <row r="68" spans="1:42" s="37" customFormat="1" ht="14.25" customHeight="1" x14ac:dyDescent="0.3">
      <c r="A68" s="36" t="s">
        <v>5375</v>
      </c>
      <c r="B68" s="37" t="s">
        <v>5315</v>
      </c>
      <c r="C68" s="37" t="s">
        <v>5269</v>
      </c>
      <c r="D68" s="42">
        <v>5414404243843</v>
      </c>
      <c r="E68" s="39" t="s">
        <v>5390</v>
      </c>
      <c r="F68" s="39" t="s">
        <v>5391</v>
      </c>
      <c r="G68" s="37" t="s">
        <v>5239</v>
      </c>
      <c r="K68" s="37" t="s">
        <v>45</v>
      </c>
      <c r="L68" s="37" t="s">
        <v>5243</v>
      </c>
      <c r="M68" s="37" t="s">
        <v>5392</v>
      </c>
      <c r="N68" s="37" t="s">
        <v>1766</v>
      </c>
      <c r="O68" s="43" t="s">
        <v>5437</v>
      </c>
      <c r="P68" s="71" t="s">
        <v>5624</v>
      </c>
      <c r="Q68" s="37" t="s">
        <v>1766</v>
      </c>
      <c r="R68" s="37" t="s">
        <v>1766</v>
      </c>
      <c r="S68" s="37" t="s">
        <v>5250</v>
      </c>
      <c r="T68" s="41">
        <v>9</v>
      </c>
      <c r="U68" s="37" t="s">
        <v>1766</v>
      </c>
      <c r="V68" s="37" t="s">
        <v>5134</v>
      </c>
      <c r="W68" s="37" t="s">
        <v>1766</v>
      </c>
      <c r="X68" s="37" t="s">
        <v>1766</v>
      </c>
      <c r="Y68" s="37" t="s">
        <v>5242</v>
      </c>
      <c r="Z68" s="37" t="s">
        <v>1766</v>
      </c>
      <c r="AA68" s="37" t="s">
        <v>1766</v>
      </c>
      <c r="AB68" s="37" t="s">
        <v>5241</v>
      </c>
      <c r="AC68" s="37" t="s">
        <v>1728</v>
      </c>
      <c r="AD68" s="37" t="s">
        <v>1771</v>
      </c>
      <c r="AE68" s="37" t="s">
        <v>57</v>
      </c>
      <c r="AF68" s="37" t="s">
        <v>5138</v>
      </c>
      <c r="AG68" s="37" t="s">
        <v>5261</v>
      </c>
      <c r="AH68" s="37" t="s">
        <v>5261</v>
      </c>
      <c r="AJ68" s="37">
        <v>2.2000000000000002</v>
      </c>
      <c r="AL68" s="47" t="s">
        <v>5501</v>
      </c>
      <c r="AM68" s="47" t="s">
        <v>5502</v>
      </c>
      <c r="AN68" s="47"/>
      <c r="AO68" s="47" t="s">
        <v>5503</v>
      </c>
      <c r="AP68" t="s">
        <v>5521</v>
      </c>
    </row>
    <row r="69" spans="1:42" s="37" customFormat="1" ht="14.25" customHeight="1" x14ac:dyDescent="0.3">
      <c r="A69" s="36" t="s">
        <v>5346</v>
      </c>
      <c r="B69" s="37" t="s">
        <v>5286</v>
      </c>
      <c r="C69" s="37" t="s">
        <v>5269</v>
      </c>
      <c r="D69" s="42">
        <v>5414404262806</v>
      </c>
      <c r="E69" s="39" t="s">
        <v>5390</v>
      </c>
      <c r="F69" s="39" t="s">
        <v>5391</v>
      </c>
      <c r="G69" s="37" t="s">
        <v>5239</v>
      </c>
      <c r="K69" s="37" t="s">
        <v>45</v>
      </c>
      <c r="L69" s="37" t="s">
        <v>5243</v>
      </c>
      <c r="M69" s="37" t="s">
        <v>5392</v>
      </c>
      <c r="N69" s="37" t="s">
        <v>1766</v>
      </c>
      <c r="O69" s="43" t="s">
        <v>5402</v>
      </c>
      <c r="P69" s="71" t="s">
        <v>49</v>
      </c>
      <c r="Q69" s="37" t="s">
        <v>1766</v>
      </c>
      <c r="R69" s="37" t="s">
        <v>1766</v>
      </c>
      <c r="S69" s="37" t="s">
        <v>5250</v>
      </c>
      <c r="T69" s="41">
        <v>9</v>
      </c>
      <c r="U69" s="37" t="s">
        <v>1766</v>
      </c>
      <c r="V69" s="37" t="s">
        <v>5134</v>
      </c>
      <c r="W69" s="37" t="s">
        <v>1766</v>
      </c>
      <c r="X69" s="37" t="s">
        <v>1766</v>
      </c>
      <c r="Y69" s="37" t="s">
        <v>5242</v>
      </c>
      <c r="Z69" s="37" t="s">
        <v>1766</v>
      </c>
      <c r="AA69" s="37" t="s">
        <v>1766</v>
      </c>
      <c r="AB69" s="37" t="s">
        <v>5241</v>
      </c>
      <c r="AC69" s="37" t="s">
        <v>1728</v>
      </c>
      <c r="AD69" s="37" t="s">
        <v>1771</v>
      </c>
      <c r="AE69" s="37" t="s">
        <v>57</v>
      </c>
      <c r="AF69" s="37" t="s">
        <v>5138</v>
      </c>
      <c r="AG69" s="37" t="s">
        <v>5261</v>
      </c>
      <c r="AH69" s="37" t="s">
        <v>5261</v>
      </c>
      <c r="AJ69" s="37">
        <v>2.2000000000000002</v>
      </c>
      <c r="AL69" s="47" t="s">
        <v>5501</v>
      </c>
      <c r="AM69" s="47" t="s">
        <v>5502</v>
      </c>
      <c r="AN69" s="47"/>
      <c r="AO69" s="47" t="s">
        <v>5503</v>
      </c>
      <c r="AP69" t="s">
        <v>5521</v>
      </c>
    </row>
    <row r="70" spans="1:42" s="37" customFormat="1" ht="14.25" customHeight="1" x14ac:dyDescent="0.3">
      <c r="A70" s="36" t="s">
        <v>5347</v>
      </c>
      <c r="B70" s="37" t="s">
        <v>5287</v>
      </c>
      <c r="C70" s="37" t="s">
        <v>5269</v>
      </c>
      <c r="D70" s="42">
        <v>5414404262813</v>
      </c>
      <c r="E70" s="39" t="s">
        <v>5390</v>
      </c>
      <c r="F70" s="39" t="s">
        <v>5391</v>
      </c>
      <c r="G70" s="37" t="s">
        <v>5239</v>
      </c>
      <c r="K70" s="37" t="s">
        <v>45</v>
      </c>
      <c r="L70" s="37" t="s">
        <v>5243</v>
      </c>
      <c r="M70" s="37" t="s">
        <v>5392</v>
      </c>
      <c r="N70" s="37" t="s">
        <v>1766</v>
      </c>
      <c r="O70" s="94" t="s">
        <v>5403</v>
      </c>
      <c r="P70" s="71" t="s">
        <v>49</v>
      </c>
      <c r="Q70" s="37" t="s">
        <v>1766</v>
      </c>
      <c r="R70" s="37" t="s">
        <v>1766</v>
      </c>
      <c r="S70" s="37" t="s">
        <v>5250</v>
      </c>
      <c r="T70" s="41">
        <v>9</v>
      </c>
      <c r="U70" s="37" t="s">
        <v>1766</v>
      </c>
      <c r="V70" s="37" t="s">
        <v>5134</v>
      </c>
      <c r="W70" s="37" t="s">
        <v>1766</v>
      </c>
      <c r="X70" s="37" t="s">
        <v>1766</v>
      </c>
      <c r="Y70" s="37" t="s">
        <v>5242</v>
      </c>
      <c r="Z70" s="37" t="s">
        <v>1766</v>
      </c>
      <c r="AA70" s="37" t="s">
        <v>1766</v>
      </c>
      <c r="AB70" s="37" t="s">
        <v>5241</v>
      </c>
      <c r="AC70" s="37" t="s">
        <v>1728</v>
      </c>
      <c r="AD70" s="37" t="s">
        <v>1771</v>
      </c>
      <c r="AE70" s="37" t="s">
        <v>57</v>
      </c>
      <c r="AF70" s="37" t="s">
        <v>5138</v>
      </c>
      <c r="AG70" s="37" t="s">
        <v>5261</v>
      </c>
      <c r="AH70" s="37" t="s">
        <v>5261</v>
      </c>
      <c r="AJ70" s="37">
        <v>2.2000000000000002</v>
      </c>
      <c r="AL70" s="47" t="s">
        <v>5501</v>
      </c>
      <c r="AM70" s="47" t="s">
        <v>5502</v>
      </c>
      <c r="AN70" s="47"/>
      <c r="AO70" s="47" t="s">
        <v>5503</v>
      </c>
      <c r="AP70" t="s">
        <v>5521</v>
      </c>
    </row>
    <row r="71" spans="1:42" s="37" customFormat="1" ht="14.25" customHeight="1" x14ac:dyDescent="0.3">
      <c r="A71" s="36" t="s">
        <v>5348</v>
      </c>
      <c r="B71" s="37" t="s">
        <v>5288</v>
      </c>
      <c r="C71" s="37" t="s">
        <v>5269</v>
      </c>
      <c r="D71" s="42">
        <v>5414404262820</v>
      </c>
      <c r="E71" s="39" t="s">
        <v>5390</v>
      </c>
      <c r="F71" s="39" t="s">
        <v>5391</v>
      </c>
      <c r="G71" s="37" t="s">
        <v>5239</v>
      </c>
      <c r="K71" s="37" t="s">
        <v>45</v>
      </c>
      <c r="L71" s="37" t="s">
        <v>5243</v>
      </c>
      <c r="M71" s="37" t="s">
        <v>5392</v>
      </c>
      <c r="N71" s="37" t="s">
        <v>1766</v>
      </c>
      <c r="O71" s="94" t="s">
        <v>5416</v>
      </c>
      <c r="P71" s="71" t="s">
        <v>3268</v>
      </c>
      <c r="Q71" s="37" t="s">
        <v>1766</v>
      </c>
      <c r="R71" s="37" t="s">
        <v>1766</v>
      </c>
      <c r="S71" s="37" t="s">
        <v>5250</v>
      </c>
      <c r="T71" s="41">
        <v>9</v>
      </c>
      <c r="U71" s="37" t="s">
        <v>1766</v>
      </c>
      <c r="V71" s="37" t="s">
        <v>5134</v>
      </c>
      <c r="W71" s="37" t="s">
        <v>1766</v>
      </c>
      <c r="X71" s="37" t="s">
        <v>1766</v>
      </c>
      <c r="Y71" s="37" t="s">
        <v>5242</v>
      </c>
      <c r="Z71" s="37" t="s">
        <v>1766</v>
      </c>
      <c r="AA71" s="37" t="s">
        <v>1766</v>
      </c>
      <c r="AB71" s="37" t="s">
        <v>5241</v>
      </c>
      <c r="AC71" s="37" t="s">
        <v>1728</v>
      </c>
      <c r="AD71" s="37" t="s">
        <v>1771</v>
      </c>
      <c r="AE71" s="37" t="s">
        <v>57</v>
      </c>
      <c r="AF71" s="37" t="s">
        <v>5138</v>
      </c>
      <c r="AG71" s="37" t="s">
        <v>5261</v>
      </c>
      <c r="AH71" s="37" t="s">
        <v>5261</v>
      </c>
      <c r="AJ71" s="37">
        <v>2.2000000000000002</v>
      </c>
      <c r="AL71" s="47" t="s">
        <v>5501</v>
      </c>
      <c r="AM71" s="47" t="s">
        <v>5502</v>
      </c>
      <c r="AN71" s="47"/>
      <c r="AO71" s="47" t="s">
        <v>5503</v>
      </c>
      <c r="AP71" t="s">
        <v>5521</v>
      </c>
    </row>
    <row r="72" spans="1:42" s="37" customFormat="1" ht="14.25" customHeight="1" x14ac:dyDescent="0.3">
      <c r="A72" s="36" t="s">
        <v>5349</v>
      </c>
      <c r="B72" s="37" t="s">
        <v>5289</v>
      </c>
      <c r="C72" s="37" t="s">
        <v>5269</v>
      </c>
      <c r="D72" s="42">
        <v>5414404262837</v>
      </c>
      <c r="E72" s="39" t="s">
        <v>5390</v>
      </c>
      <c r="F72" s="39" t="s">
        <v>5391</v>
      </c>
      <c r="G72" s="37" t="s">
        <v>5239</v>
      </c>
      <c r="K72" s="37" t="s">
        <v>45</v>
      </c>
      <c r="L72" s="37" t="s">
        <v>5243</v>
      </c>
      <c r="M72" s="37" t="s">
        <v>5392</v>
      </c>
      <c r="N72" s="37" t="s">
        <v>1766</v>
      </c>
      <c r="O72" s="94" t="s">
        <v>5404</v>
      </c>
      <c r="P72" s="71" t="s">
        <v>586</v>
      </c>
      <c r="Q72" s="37" t="s">
        <v>1766</v>
      </c>
      <c r="R72" s="37" t="s">
        <v>1766</v>
      </c>
      <c r="S72" s="37" t="s">
        <v>5250</v>
      </c>
      <c r="T72" s="41">
        <v>9</v>
      </c>
      <c r="U72" s="37" t="s">
        <v>1766</v>
      </c>
      <c r="V72" s="37" t="s">
        <v>5134</v>
      </c>
      <c r="W72" s="37" t="s">
        <v>1766</v>
      </c>
      <c r="X72" s="37" t="s">
        <v>1766</v>
      </c>
      <c r="Y72" s="37" t="s">
        <v>5242</v>
      </c>
      <c r="Z72" s="37" t="s">
        <v>1766</v>
      </c>
      <c r="AA72" s="37" t="s">
        <v>1766</v>
      </c>
      <c r="AB72" s="37" t="s">
        <v>5241</v>
      </c>
      <c r="AC72" s="37" t="s">
        <v>1728</v>
      </c>
      <c r="AD72" s="37" t="s">
        <v>1771</v>
      </c>
      <c r="AE72" s="37" t="s">
        <v>57</v>
      </c>
      <c r="AF72" s="37" t="s">
        <v>5138</v>
      </c>
      <c r="AG72" s="37" t="s">
        <v>5261</v>
      </c>
      <c r="AH72" s="37" t="s">
        <v>5261</v>
      </c>
      <c r="AJ72" s="37">
        <v>2.2000000000000002</v>
      </c>
      <c r="AL72" s="47" t="s">
        <v>5501</v>
      </c>
      <c r="AM72" s="47" t="s">
        <v>5502</v>
      </c>
      <c r="AN72" s="47"/>
      <c r="AO72" s="47" t="s">
        <v>5503</v>
      </c>
      <c r="AP72" t="s">
        <v>5521</v>
      </c>
    </row>
    <row r="73" spans="1:42" s="37" customFormat="1" ht="14.25" customHeight="1" x14ac:dyDescent="0.3">
      <c r="A73" s="36" t="s">
        <v>5350</v>
      </c>
      <c r="B73" s="37" t="s">
        <v>5290</v>
      </c>
      <c r="C73" s="37" t="s">
        <v>5269</v>
      </c>
      <c r="D73" s="42">
        <v>5414404262844</v>
      </c>
      <c r="E73" s="39" t="s">
        <v>5390</v>
      </c>
      <c r="F73" s="39" t="s">
        <v>5391</v>
      </c>
      <c r="G73" s="37" t="s">
        <v>5239</v>
      </c>
      <c r="K73" s="37" t="s">
        <v>45</v>
      </c>
      <c r="L73" s="37" t="s">
        <v>5243</v>
      </c>
      <c r="M73" s="37" t="s">
        <v>5392</v>
      </c>
      <c r="N73" s="37" t="s">
        <v>1766</v>
      </c>
      <c r="O73" s="43" t="s">
        <v>5405</v>
      </c>
      <c r="P73" s="71" t="s">
        <v>5624</v>
      </c>
      <c r="Q73" s="37" t="s">
        <v>1766</v>
      </c>
      <c r="R73" s="37" t="s">
        <v>1766</v>
      </c>
      <c r="S73" s="37" t="s">
        <v>5250</v>
      </c>
      <c r="T73" s="41">
        <v>9</v>
      </c>
      <c r="U73" s="37" t="s">
        <v>1766</v>
      </c>
      <c r="V73" s="37" t="s">
        <v>5134</v>
      </c>
      <c r="W73" s="37" t="s">
        <v>1766</v>
      </c>
      <c r="X73" s="37" t="s">
        <v>1766</v>
      </c>
      <c r="Y73" s="37" t="s">
        <v>5242</v>
      </c>
      <c r="Z73" s="37" t="s">
        <v>1766</v>
      </c>
      <c r="AA73" s="37" t="s">
        <v>1766</v>
      </c>
      <c r="AB73" s="37" t="s">
        <v>5241</v>
      </c>
      <c r="AC73" s="37" t="s">
        <v>1728</v>
      </c>
      <c r="AD73" s="37" t="s">
        <v>1771</v>
      </c>
      <c r="AE73" s="37" t="s">
        <v>57</v>
      </c>
      <c r="AF73" s="37" t="s">
        <v>5138</v>
      </c>
      <c r="AG73" s="37" t="s">
        <v>5261</v>
      </c>
      <c r="AH73" s="37" t="s">
        <v>5261</v>
      </c>
      <c r="AJ73" s="37">
        <v>2.2000000000000002</v>
      </c>
      <c r="AL73" s="47" t="s">
        <v>5501</v>
      </c>
      <c r="AM73" s="47" t="s">
        <v>5502</v>
      </c>
      <c r="AN73" s="47"/>
      <c r="AO73" s="47" t="s">
        <v>5503</v>
      </c>
      <c r="AP73" t="s">
        <v>5521</v>
      </c>
    </row>
    <row r="74" spans="1:42" s="37" customFormat="1" ht="14.25" customHeight="1" x14ac:dyDescent="0.3">
      <c r="A74" s="36" t="s">
        <v>5351</v>
      </c>
      <c r="B74" s="37" t="s">
        <v>5291</v>
      </c>
      <c r="C74" s="37" t="s">
        <v>5269</v>
      </c>
      <c r="D74" s="42">
        <v>5414404262851</v>
      </c>
      <c r="E74" s="39" t="s">
        <v>5390</v>
      </c>
      <c r="F74" s="39" t="s">
        <v>5391</v>
      </c>
      <c r="G74" s="37" t="s">
        <v>5239</v>
      </c>
      <c r="K74" s="37" t="s">
        <v>45</v>
      </c>
      <c r="L74" s="37" t="s">
        <v>5243</v>
      </c>
      <c r="M74" s="37" t="s">
        <v>5392</v>
      </c>
      <c r="N74" s="37" t="s">
        <v>1766</v>
      </c>
      <c r="O74" s="43" t="s">
        <v>5406</v>
      </c>
      <c r="P74" s="69" t="s">
        <v>586</v>
      </c>
      <c r="Q74" s="37" t="s">
        <v>1766</v>
      </c>
      <c r="R74" s="37" t="s">
        <v>1766</v>
      </c>
      <c r="S74" s="37" t="s">
        <v>5250</v>
      </c>
      <c r="T74" s="41">
        <v>9</v>
      </c>
      <c r="U74" s="37" t="s">
        <v>1766</v>
      </c>
      <c r="V74" s="37" t="s">
        <v>5134</v>
      </c>
      <c r="W74" s="37" t="s">
        <v>1766</v>
      </c>
      <c r="X74" s="37" t="s">
        <v>1766</v>
      </c>
      <c r="Y74" s="37" t="s">
        <v>5242</v>
      </c>
      <c r="Z74" s="37" t="s">
        <v>1766</v>
      </c>
      <c r="AA74" s="37" t="s">
        <v>1766</v>
      </c>
      <c r="AB74" s="37" t="s">
        <v>5241</v>
      </c>
      <c r="AC74" s="37" t="s">
        <v>1728</v>
      </c>
      <c r="AD74" s="37" t="s">
        <v>1771</v>
      </c>
      <c r="AE74" s="37" t="s">
        <v>57</v>
      </c>
      <c r="AF74" s="37" t="s">
        <v>5138</v>
      </c>
      <c r="AG74" s="37" t="s">
        <v>5261</v>
      </c>
      <c r="AH74" s="37" t="s">
        <v>5261</v>
      </c>
      <c r="AJ74" s="37">
        <v>2.2000000000000002</v>
      </c>
      <c r="AL74" s="47" t="s">
        <v>5501</v>
      </c>
      <c r="AM74" s="47" t="s">
        <v>5502</v>
      </c>
      <c r="AN74" s="47"/>
      <c r="AO74" s="47" t="s">
        <v>5503</v>
      </c>
      <c r="AP74" t="s">
        <v>5521</v>
      </c>
    </row>
    <row r="75" spans="1:42" s="37" customFormat="1" ht="14.25" customHeight="1" x14ac:dyDescent="0.3">
      <c r="A75" s="36" t="s">
        <v>5352</v>
      </c>
      <c r="B75" s="37" t="s">
        <v>5292</v>
      </c>
      <c r="C75" s="37" t="s">
        <v>5269</v>
      </c>
      <c r="D75" s="42">
        <v>5414404262868</v>
      </c>
      <c r="E75" s="39" t="s">
        <v>5390</v>
      </c>
      <c r="F75" s="39" t="s">
        <v>5391</v>
      </c>
      <c r="G75" s="37" t="s">
        <v>5239</v>
      </c>
      <c r="K75" s="37" t="s">
        <v>45</v>
      </c>
      <c r="L75" s="37" t="s">
        <v>5243</v>
      </c>
      <c r="M75" s="37" t="s">
        <v>5392</v>
      </c>
      <c r="N75" s="37" t="s">
        <v>1766</v>
      </c>
      <c r="O75" s="43" t="s">
        <v>5407</v>
      </c>
      <c r="P75" s="71" t="s">
        <v>3268</v>
      </c>
      <c r="Q75" s="37" t="s">
        <v>1766</v>
      </c>
      <c r="R75" s="37" t="s">
        <v>1766</v>
      </c>
      <c r="S75" s="37" t="s">
        <v>5250</v>
      </c>
      <c r="T75" s="41">
        <v>9</v>
      </c>
      <c r="U75" s="37" t="s">
        <v>1766</v>
      </c>
      <c r="V75" s="37" t="s">
        <v>5134</v>
      </c>
      <c r="W75" s="37" t="s">
        <v>1766</v>
      </c>
      <c r="X75" s="37" t="s">
        <v>1766</v>
      </c>
      <c r="Y75" s="37" t="s">
        <v>5242</v>
      </c>
      <c r="Z75" s="37" t="s">
        <v>1766</v>
      </c>
      <c r="AA75" s="37" t="s">
        <v>1766</v>
      </c>
      <c r="AB75" s="37" t="s">
        <v>5241</v>
      </c>
      <c r="AC75" s="37" t="s">
        <v>1728</v>
      </c>
      <c r="AD75" s="37" t="s">
        <v>1771</v>
      </c>
      <c r="AE75" s="37" t="s">
        <v>57</v>
      </c>
      <c r="AF75" s="37" t="s">
        <v>5138</v>
      </c>
      <c r="AG75" s="37" t="s">
        <v>5261</v>
      </c>
      <c r="AH75" s="37" t="s">
        <v>5261</v>
      </c>
      <c r="AJ75" s="37">
        <v>2.2000000000000002</v>
      </c>
      <c r="AL75" s="47" t="s">
        <v>5501</v>
      </c>
      <c r="AM75" s="47" t="s">
        <v>5502</v>
      </c>
      <c r="AN75" s="47"/>
      <c r="AO75" s="47" t="s">
        <v>5503</v>
      </c>
      <c r="AP75" t="s">
        <v>5521</v>
      </c>
    </row>
    <row r="76" spans="1:42" s="37" customFormat="1" ht="14.25" customHeight="1" x14ac:dyDescent="0.3">
      <c r="A76" s="36" t="s">
        <v>5353</v>
      </c>
      <c r="B76" s="37" t="s">
        <v>5293</v>
      </c>
      <c r="C76" s="37" t="s">
        <v>5269</v>
      </c>
      <c r="D76" s="42">
        <v>5414404262875</v>
      </c>
      <c r="E76" s="39" t="s">
        <v>5390</v>
      </c>
      <c r="F76" s="39" t="s">
        <v>5391</v>
      </c>
      <c r="G76" s="37" t="s">
        <v>5239</v>
      </c>
      <c r="K76" s="37" t="s">
        <v>45</v>
      </c>
      <c r="L76" s="37" t="s">
        <v>5243</v>
      </c>
      <c r="M76" s="37" t="s">
        <v>5392</v>
      </c>
      <c r="N76" s="37" t="s">
        <v>1766</v>
      </c>
      <c r="O76" s="43" t="s">
        <v>5408</v>
      </c>
      <c r="P76" s="71" t="s">
        <v>61</v>
      </c>
      <c r="Q76" s="37" t="s">
        <v>1766</v>
      </c>
      <c r="R76" s="37" t="s">
        <v>1766</v>
      </c>
      <c r="S76" s="37" t="s">
        <v>5250</v>
      </c>
      <c r="T76" s="41">
        <v>9</v>
      </c>
      <c r="U76" s="37" t="s">
        <v>1766</v>
      </c>
      <c r="V76" s="37" t="s">
        <v>5134</v>
      </c>
      <c r="W76" s="37" t="s">
        <v>1766</v>
      </c>
      <c r="X76" s="37" t="s">
        <v>1766</v>
      </c>
      <c r="Y76" s="37" t="s">
        <v>5242</v>
      </c>
      <c r="Z76" s="37" t="s">
        <v>1766</v>
      </c>
      <c r="AA76" s="37" t="s">
        <v>1766</v>
      </c>
      <c r="AB76" s="37" t="s">
        <v>5241</v>
      </c>
      <c r="AC76" s="37" t="s">
        <v>1728</v>
      </c>
      <c r="AD76" s="37" t="s">
        <v>1771</v>
      </c>
      <c r="AE76" s="37" t="s">
        <v>57</v>
      </c>
      <c r="AF76" s="37" t="s">
        <v>5138</v>
      </c>
      <c r="AG76" s="37" t="s">
        <v>5261</v>
      </c>
      <c r="AH76" s="37" t="s">
        <v>5261</v>
      </c>
      <c r="AJ76" s="37">
        <v>2.2000000000000002</v>
      </c>
      <c r="AL76" s="47" t="s">
        <v>5501</v>
      </c>
      <c r="AM76" s="47" t="s">
        <v>5502</v>
      </c>
      <c r="AN76" s="47"/>
      <c r="AO76" s="47" t="s">
        <v>5503</v>
      </c>
      <c r="AP76" t="s">
        <v>5521</v>
      </c>
    </row>
    <row r="77" spans="1:42" s="37" customFormat="1" ht="14.25" customHeight="1" x14ac:dyDescent="0.3">
      <c r="A77" s="36" t="s">
        <v>5354</v>
      </c>
      <c r="B77" s="37" t="s">
        <v>5294</v>
      </c>
      <c r="C77" s="37" t="s">
        <v>5269</v>
      </c>
      <c r="D77" s="42">
        <v>5414404262882</v>
      </c>
      <c r="E77" s="39" t="s">
        <v>5390</v>
      </c>
      <c r="F77" s="39" t="s">
        <v>5391</v>
      </c>
      <c r="G77" s="37" t="s">
        <v>5239</v>
      </c>
      <c r="K77" s="37" t="s">
        <v>45</v>
      </c>
      <c r="L77" s="37" t="s">
        <v>5243</v>
      </c>
      <c r="M77" s="37" t="s">
        <v>5392</v>
      </c>
      <c r="N77" s="37" t="s">
        <v>1766</v>
      </c>
      <c r="O77" s="43" t="s">
        <v>5418</v>
      </c>
      <c r="P77" s="69" t="s">
        <v>586</v>
      </c>
      <c r="Q77" s="37" t="s">
        <v>1766</v>
      </c>
      <c r="R77" s="37" t="s">
        <v>1766</v>
      </c>
      <c r="S77" s="37" t="s">
        <v>5250</v>
      </c>
      <c r="T77" s="41">
        <v>9</v>
      </c>
      <c r="U77" s="37" t="s">
        <v>1766</v>
      </c>
      <c r="V77" s="37" t="s">
        <v>5134</v>
      </c>
      <c r="W77" s="37" t="s">
        <v>1766</v>
      </c>
      <c r="X77" s="37" t="s">
        <v>1766</v>
      </c>
      <c r="Y77" s="37" t="s">
        <v>5242</v>
      </c>
      <c r="Z77" s="37" t="s">
        <v>1766</v>
      </c>
      <c r="AA77" s="37" t="s">
        <v>1766</v>
      </c>
      <c r="AB77" s="37" t="s">
        <v>5241</v>
      </c>
      <c r="AC77" s="37" t="s">
        <v>1728</v>
      </c>
      <c r="AD77" s="37" t="s">
        <v>1771</v>
      </c>
      <c r="AE77" s="37" t="s">
        <v>57</v>
      </c>
      <c r="AF77" s="37" t="s">
        <v>5138</v>
      </c>
      <c r="AG77" s="37" t="s">
        <v>5261</v>
      </c>
      <c r="AH77" s="37" t="s">
        <v>5261</v>
      </c>
      <c r="AJ77" s="37">
        <v>2.2000000000000002</v>
      </c>
      <c r="AL77" s="47" t="s">
        <v>5501</v>
      </c>
      <c r="AM77" s="47" t="s">
        <v>5502</v>
      </c>
      <c r="AN77" s="47"/>
      <c r="AO77" s="47" t="s">
        <v>5503</v>
      </c>
      <c r="AP77" t="s">
        <v>5521</v>
      </c>
    </row>
    <row r="78" spans="1:42" s="37" customFormat="1" ht="14.25" customHeight="1" x14ac:dyDescent="0.3">
      <c r="A78" s="36" t="s">
        <v>5355</v>
      </c>
      <c r="B78" s="37" t="s">
        <v>5295</v>
      </c>
      <c r="C78" s="37" t="s">
        <v>5269</v>
      </c>
      <c r="D78" s="42">
        <v>5414404262899</v>
      </c>
      <c r="E78" s="39" t="s">
        <v>5390</v>
      </c>
      <c r="F78" s="39" t="s">
        <v>5391</v>
      </c>
      <c r="G78" s="37" t="s">
        <v>5239</v>
      </c>
      <c r="K78" s="37" t="s">
        <v>45</v>
      </c>
      <c r="L78" s="37" t="s">
        <v>5243</v>
      </c>
      <c r="M78" s="37" t="s">
        <v>5392</v>
      </c>
      <c r="N78" s="37" t="s">
        <v>1766</v>
      </c>
      <c r="O78" s="43" t="s">
        <v>5434</v>
      </c>
      <c r="P78" s="69" t="s">
        <v>586</v>
      </c>
      <c r="Q78" s="37" t="s">
        <v>1766</v>
      </c>
      <c r="R78" s="37" t="s">
        <v>1766</v>
      </c>
      <c r="S78" s="37" t="s">
        <v>5250</v>
      </c>
      <c r="T78" s="41">
        <v>9</v>
      </c>
      <c r="U78" s="37" t="s">
        <v>1766</v>
      </c>
      <c r="V78" s="37" t="s">
        <v>5134</v>
      </c>
      <c r="W78" s="37" t="s">
        <v>1766</v>
      </c>
      <c r="X78" s="37" t="s">
        <v>1766</v>
      </c>
      <c r="Y78" s="37" t="s">
        <v>5242</v>
      </c>
      <c r="Z78" s="37" t="s">
        <v>1766</v>
      </c>
      <c r="AA78" s="37" t="s">
        <v>1766</v>
      </c>
      <c r="AB78" s="37" t="s">
        <v>5241</v>
      </c>
      <c r="AC78" s="37" t="s">
        <v>1728</v>
      </c>
      <c r="AD78" s="37" t="s">
        <v>1771</v>
      </c>
      <c r="AE78" s="37" t="s">
        <v>57</v>
      </c>
      <c r="AF78" s="37" t="s">
        <v>5138</v>
      </c>
      <c r="AG78" s="37" t="s">
        <v>5261</v>
      </c>
      <c r="AH78" s="37" t="s">
        <v>5261</v>
      </c>
      <c r="AJ78" s="37">
        <v>2.2000000000000002</v>
      </c>
      <c r="AL78" s="47" t="s">
        <v>5501</v>
      </c>
      <c r="AM78" s="47" t="s">
        <v>5502</v>
      </c>
      <c r="AN78" s="47"/>
      <c r="AO78" s="47" t="s">
        <v>5503</v>
      </c>
      <c r="AP78" t="s">
        <v>5521</v>
      </c>
    </row>
    <row r="79" spans="1:42" s="37" customFormat="1" ht="14.25" customHeight="1" x14ac:dyDescent="0.3">
      <c r="A79" s="36" t="s">
        <v>5356</v>
      </c>
      <c r="B79" s="37" t="s">
        <v>5296</v>
      </c>
      <c r="C79" s="37" t="s">
        <v>5269</v>
      </c>
      <c r="D79" s="42">
        <v>5414404262905</v>
      </c>
      <c r="E79" s="39" t="s">
        <v>5390</v>
      </c>
      <c r="F79" s="39" t="s">
        <v>5391</v>
      </c>
      <c r="G79" s="37" t="s">
        <v>5239</v>
      </c>
      <c r="K79" s="37" t="s">
        <v>45</v>
      </c>
      <c r="L79" s="37" t="s">
        <v>5243</v>
      </c>
      <c r="M79" s="37" t="s">
        <v>5392</v>
      </c>
      <c r="N79" s="37" t="s">
        <v>1766</v>
      </c>
      <c r="O79" s="43" t="s">
        <v>5435</v>
      </c>
      <c r="P79" s="69" t="s">
        <v>3268</v>
      </c>
      <c r="Q79" s="37" t="s">
        <v>1766</v>
      </c>
      <c r="R79" s="37" t="s">
        <v>1766</v>
      </c>
      <c r="S79" s="37" t="s">
        <v>5250</v>
      </c>
      <c r="T79" s="41">
        <v>9</v>
      </c>
      <c r="U79" s="37" t="s">
        <v>1766</v>
      </c>
      <c r="V79" s="37" t="s">
        <v>5134</v>
      </c>
      <c r="W79" s="37" t="s">
        <v>1766</v>
      </c>
      <c r="X79" s="37" t="s">
        <v>1766</v>
      </c>
      <c r="Y79" s="37" t="s">
        <v>5242</v>
      </c>
      <c r="Z79" s="37" t="s">
        <v>1766</v>
      </c>
      <c r="AA79" s="37" t="s">
        <v>1766</v>
      </c>
      <c r="AB79" s="37" t="s">
        <v>5241</v>
      </c>
      <c r="AC79" s="37" t="s">
        <v>1728</v>
      </c>
      <c r="AD79" s="37" t="s">
        <v>1771</v>
      </c>
      <c r="AE79" s="37" t="s">
        <v>57</v>
      </c>
      <c r="AF79" s="37" t="s">
        <v>5138</v>
      </c>
      <c r="AG79" s="37" t="s">
        <v>5261</v>
      </c>
      <c r="AH79" s="37" t="s">
        <v>5261</v>
      </c>
      <c r="AJ79" s="37">
        <v>2.2000000000000002</v>
      </c>
      <c r="AL79" s="47" t="s">
        <v>5501</v>
      </c>
      <c r="AM79" s="47" t="s">
        <v>5502</v>
      </c>
      <c r="AN79" s="47"/>
      <c r="AO79" s="47" t="s">
        <v>5503</v>
      </c>
      <c r="AP79" t="s">
        <v>5521</v>
      </c>
    </row>
    <row r="80" spans="1:42" s="37" customFormat="1" ht="14.25" customHeight="1" x14ac:dyDescent="0.3">
      <c r="A80" s="36" t="s">
        <v>5376</v>
      </c>
      <c r="B80" s="37" t="s">
        <v>5316</v>
      </c>
      <c r="C80" s="37" t="s">
        <v>5269</v>
      </c>
      <c r="D80" s="42">
        <v>5414404244628</v>
      </c>
      <c r="E80" s="39" t="s">
        <v>5390</v>
      </c>
      <c r="F80" s="39" t="s">
        <v>5391</v>
      </c>
      <c r="G80" s="37" t="s">
        <v>5239</v>
      </c>
      <c r="K80" s="37" t="s">
        <v>45</v>
      </c>
      <c r="L80" s="37" t="s">
        <v>5243</v>
      </c>
      <c r="M80" s="37" t="s">
        <v>5392</v>
      </c>
      <c r="N80" s="37" t="s">
        <v>1766</v>
      </c>
      <c r="O80" s="43" t="s">
        <v>5438</v>
      </c>
      <c r="P80" s="71" t="s">
        <v>3268</v>
      </c>
      <c r="Q80" s="37" t="s">
        <v>1766</v>
      </c>
      <c r="R80" s="37" t="s">
        <v>1766</v>
      </c>
      <c r="S80" s="37" t="s">
        <v>5250</v>
      </c>
      <c r="T80" s="41">
        <v>9</v>
      </c>
      <c r="U80" s="37" t="s">
        <v>1766</v>
      </c>
      <c r="V80" s="37" t="s">
        <v>5134</v>
      </c>
      <c r="W80" s="37" t="s">
        <v>1766</v>
      </c>
      <c r="X80" s="37" t="s">
        <v>1766</v>
      </c>
      <c r="Y80" s="37" t="s">
        <v>5242</v>
      </c>
      <c r="Z80" s="37" t="s">
        <v>1766</v>
      </c>
      <c r="AA80" s="37" t="s">
        <v>1766</v>
      </c>
      <c r="AB80" s="37" t="s">
        <v>5241</v>
      </c>
      <c r="AC80" s="37" t="s">
        <v>1728</v>
      </c>
      <c r="AD80" s="37" t="s">
        <v>1771</v>
      </c>
      <c r="AE80" s="37" t="s">
        <v>57</v>
      </c>
      <c r="AF80" s="37" t="s">
        <v>5138</v>
      </c>
      <c r="AG80" s="37" t="s">
        <v>5261</v>
      </c>
      <c r="AH80" s="37" t="s">
        <v>5261</v>
      </c>
      <c r="AJ80" s="37">
        <v>2.2000000000000002</v>
      </c>
      <c r="AL80" s="47" t="s">
        <v>5501</v>
      </c>
      <c r="AM80" s="47" t="s">
        <v>5502</v>
      </c>
      <c r="AN80" s="47"/>
      <c r="AO80" s="47" t="s">
        <v>5503</v>
      </c>
      <c r="AP80" t="s">
        <v>5521</v>
      </c>
    </row>
    <row r="81" spans="1:42" s="37" customFormat="1" ht="14.25" customHeight="1" x14ac:dyDescent="0.3">
      <c r="A81" s="36" t="s">
        <v>5377</v>
      </c>
      <c r="B81" s="37" t="s">
        <v>5317</v>
      </c>
      <c r="C81" s="37" t="s">
        <v>5269</v>
      </c>
      <c r="D81" s="42">
        <v>5414404244635</v>
      </c>
      <c r="E81" s="39" t="s">
        <v>5390</v>
      </c>
      <c r="F81" s="39" t="s">
        <v>5391</v>
      </c>
      <c r="G81" s="37" t="s">
        <v>5239</v>
      </c>
      <c r="K81" s="37" t="s">
        <v>45</v>
      </c>
      <c r="L81" s="37" t="s">
        <v>5243</v>
      </c>
      <c r="M81" s="37" t="s">
        <v>5392</v>
      </c>
      <c r="N81" s="37" t="s">
        <v>1766</v>
      </c>
      <c r="O81" s="43" t="s">
        <v>5439</v>
      </c>
      <c r="P81" s="71" t="s">
        <v>61</v>
      </c>
      <c r="Q81" s="37" t="s">
        <v>1766</v>
      </c>
      <c r="R81" s="37" t="s">
        <v>1766</v>
      </c>
      <c r="S81" s="37" t="s">
        <v>5250</v>
      </c>
      <c r="T81" s="41">
        <v>9</v>
      </c>
      <c r="U81" s="37" t="s">
        <v>1766</v>
      </c>
      <c r="V81" s="37" t="s">
        <v>5134</v>
      </c>
      <c r="W81" s="37" t="s">
        <v>1766</v>
      </c>
      <c r="X81" s="37" t="s">
        <v>1766</v>
      </c>
      <c r="Y81" s="37" t="s">
        <v>5242</v>
      </c>
      <c r="Z81" s="37" t="s">
        <v>1766</v>
      </c>
      <c r="AA81" s="37" t="s">
        <v>1766</v>
      </c>
      <c r="AB81" s="37" t="s">
        <v>5241</v>
      </c>
      <c r="AC81" s="37" t="s">
        <v>1728</v>
      </c>
      <c r="AD81" s="37" t="s">
        <v>1771</v>
      </c>
      <c r="AE81" s="37" t="s">
        <v>57</v>
      </c>
      <c r="AF81" s="37" t="s">
        <v>5138</v>
      </c>
      <c r="AG81" s="37" t="s">
        <v>5261</v>
      </c>
      <c r="AH81" s="37" t="s">
        <v>5261</v>
      </c>
      <c r="AJ81" s="37">
        <v>2.2000000000000002</v>
      </c>
      <c r="AL81" s="47" t="s">
        <v>5501</v>
      </c>
      <c r="AM81" s="47" t="s">
        <v>5502</v>
      </c>
      <c r="AN81" s="47"/>
      <c r="AO81" s="47" t="s">
        <v>5503</v>
      </c>
      <c r="AP81" t="s">
        <v>5521</v>
      </c>
    </row>
    <row r="82" spans="1:42" s="37" customFormat="1" ht="14.25" customHeight="1" x14ac:dyDescent="0.3">
      <c r="A82" s="36" t="s">
        <v>5357</v>
      </c>
      <c r="B82" s="37" t="s">
        <v>5297</v>
      </c>
      <c r="C82" s="37" t="s">
        <v>5269</v>
      </c>
      <c r="D82" s="42">
        <v>5414404262912</v>
      </c>
      <c r="E82" s="39" t="s">
        <v>5390</v>
      </c>
      <c r="F82" s="39" t="s">
        <v>5391</v>
      </c>
      <c r="G82" s="37" t="s">
        <v>5239</v>
      </c>
      <c r="K82" s="37" t="s">
        <v>45</v>
      </c>
      <c r="L82" s="37" t="s">
        <v>5243</v>
      </c>
      <c r="M82" s="37" t="s">
        <v>5392</v>
      </c>
      <c r="N82" s="37" t="s">
        <v>1766</v>
      </c>
      <c r="O82" s="43" t="s">
        <v>5419</v>
      </c>
      <c r="P82" s="71" t="s">
        <v>5624</v>
      </c>
      <c r="Q82" s="37" t="s">
        <v>1766</v>
      </c>
      <c r="R82" s="37" t="s">
        <v>1766</v>
      </c>
      <c r="S82" s="37" t="s">
        <v>5250</v>
      </c>
      <c r="T82" s="41">
        <v>9</v>
      </c>
      <c r="U82" s="37" t="s">
        <v>1766</v>
      </c>
      <c r="V82" s="37" t="s">
        <v>5134</v>
      </c>
      <c r="W82" s="37" t="s">
        <v>1766</v>
      </c>
      <c r="X82" s="37" t="s">
        <v>1766</v>
      </c>
      <c r="Y82" s="37" t="s">
        <v>5242</v>
      </c>
      <c r="Z82" s="37" t="s">
        <v>1766</v>
      </c>
      <c r="AA82" s="37" t="s">
        <v>1766</v>
      </c>
      <c r="AB82" s="37" t="s">
        <v>5241</v>
      </c>
      <c r="AC82" s="37" t="s">
        <v>1728</v>
      </c>
      <c r="AD82" s="37" t="s">
        <v>1771</v>
      </c>
      <c r="AE82" s="37" t="s">
        <v>57</v>
      </c>
      <c r="AF82" s="37" t="s">
        <v>5138</v>
      </c>
      <c r="AG82" s="37" t="s">
        <v>5261</v>
      </c>
      <c r="AH82" s="37" t="s">
        <v>5261</v>
      </c>
      <c r="AJ82" s="37">
        <v>2.2000000000000002</v>
      </c>
      <c r="AL82" s="47" t="s">
        <v>5501</v>
      </c>
      <c r="AM82" s="47" t="s">
        <v>5502</v>
      </c>
      <c r="AN82" s="47"/>
      <c r="AO82" s="47" t="s">
        <v>5503</v>
      </c>
      <c r="AP82" t="s">
        <v>5521</v>
      </c>
    </row>
    <row r="83" spans="1:42" s="37" customFormat="1" ht="14.25" customHeight="1" x14ac:dyDescent="0.3">
      <c r="A83" s="36" t="s">
        <v>5332</v>
      </c>
      <c r="B83" s="37" t="s">
        <v>5272</v>
      </c>
      <c r="C83" s="37" t="s">
        <v>5269</v>
      </c>
      <c r="D83" s="42">
        <v>5414404198105</v>
      </c>
      <c r="E83" s="39" t="s">
        <v>5390</v>
      </c>
      <c r="F83" s="39" t="s">
        <v>5391</v>
      </c>
      <c r="G83" s="37" t="s">
        <v>5239</v>
      </c>
      <c r="K83" s="37" t="s">
        <v>45</v>
      </c>
      <c r="L83" s="37" t="s">
        <v>5243</v>
      </c>
      <c r="M83" s="37" t="s">
        <v>5392</v>
      </c>
      <c r="N83" s="37" t="s">
        <v>1766</v>
      </c>
      <c r="O83" s="43" t="s">
        <v>5394</v>
      </c>
      <c r="P83" s="69" t="s">
        <v>586</v>
      </c>
      <c r="Q83" s="37" t="s">
        <v>1766</v>
      </c>
      <c r="R83" s="37" t="s">
        <v>1766</v>
      </c>
      <c r="S83" s="37" t="s">
        <v>5250</v>
      </c>
      <c r="T83" s="41">
        <v>9</v>
      </c>
      <c r="U83" s="37" t="s">
        <v>1766</v>
      </c>
      <c r="V83" s="37" t="s">
        <v>5134</v>
      </c>
      <c r="W83" s="37" t="s">
        <v>1766</v>
      </c>
      <c r="X83" s="37" t="s">
        <v>1766</v>
      </c>
      <c r="Y83" s="37" t="s">
        <v>5242</v>
      </c>
      <c r="Z83" s="37" t="s">
        <v>1766</v>
      </c>
      <c r="AA83" s="37" t="s">
        <v>1766</v>
      </c>
      <c r="AB83" s="37" t="s">
        <v>5241</v>
      </c>
      <c r="AC83" s="37" t="s">
        <v>1728</v>
      </c>
      <c r="AD83" s="37" t="s">
        <v>1771</v>
      </c>
      <c r="AE83" s="37" t="s">
        <v>57</v>
      </c>
      <c r="AF83" s="37" t="s">
        <v>5138</v>
      </c>
      <c r="AG83" s="37" t="s">
        <v>5261</v>
      </c>
      <c r="AH83" s="37" t="s">
        <v>5261</v>
      </c>
      <c r="AJ83" s="37">
        <v>2.2000000000000002</v>
      </c>
      <c r="AL83" s="47" t="s">
        <v>5501</v>
      </c>
      <c r="AM83" s="47" t="s">
        <v>5502</v>
      </c>
      <c r="AN83" s="47"/>
      <c r="AO83" s="47" t="s">
        <v>5503</v>
      </c>
      <c r="AP83" t="s">
        <v>5521</v>
      </c>
    </row>
    <row r="84" spans="1:42" s="37" customFormat="1" ht="14.25" customHeight="1" x14ac:dyDescent="0.3">
      <c r="A84" s="36" t="s">
        <v>5358</v>
      </c>
      <c r="B84" s="37" t="s">
        <v>5298</v>
      </c>
      <c r="C84" s="37" t="s">
        <v>5269</v>
      </c>
      <c r="D84" s="42">
        <v>5414404262929</v>
      </c>
      <c r="E84" s="39" t="s">
        <v>5390</v>
      </c>
      <c r="F84" s="39" t="s">
        <v>5391</v>
      </c>
      <c r="G84" s="37" t="s">
        <v>5239</v>
      </c>
      <c r="K84" s="37" t="s">
        <v>45</v>
      </c>
      <c r="L84" s="37" t="s">
        <v>5243</v>
      </c>
      <c r="M84" s="37" t="s">
        <v>5392</v>
      </c>
      <c r="N84" s="37" t="s">
        <v>1766</v>
      </c>
      <c r="O84" s="43" t="s">
        <v>5420</v>
      </c>
      <c r="P84" s="71" t="s">
        <v>586</v>
      </c>
      <c r="Q84" s="37" t="s">
        <v>1766</v>
      </c>
      <c r="R84" s="37" t="s">
        <v>1766</v>
      </c>
      <c r="S84" s="37" t="s">
        <v>5250</v>
      </c>
      <c r="T84" s="41">
        <v>9</v>
      </c>
      <c r="U84" s="37" t="s">
        <v>1766</v>
      </c>
      <c r="V84" s="37" t="s">
        <v>5134</v>
      </c>
      <c r="W84" s="37" t="s">
        <v>1766</v>
      </c>
      <c r="X84" s="37" t="s">
        <v>1766</v>
      </c>
      <c r="Y84" s="37" t="s">
        <v>5242</v>
      </c>
      <c r="Z84" s="37" t="s">
        <v>1766</v>
      </c>
      <c r="AA84" s="37" t="s">
        <v>1766</v>
      </c>
      <c r="AB84" s="37" t="s">
        <v>5241</v>
      </c>
      <c r="AC84" s="37" t="s">
        <v>1728</v>
      </c>
      <c r="AD84" s="37" t="s">
        <v>1771</v>
      </c>
      <c r="AE84" s="37" t="s">
        <v>57</v>
      </c>
      <c r="AF84" s="37" t="s">
        <v>5138</v>
      </c>
      <c r="AG84" s="37" t="s">
        <v>5261</v>
      </c>
      <c r="AH84" s="37" t="s">
        <v>5261</v>
      </c>
      <c r="AJ84" s="37">
        <v>2.2000000000000002</v>
      </c>
      <c r="AL84" s="47" t="s">
        <v>5501</v>
      </c>
      <c r="AM84" s="47" t="s">
        <v>5502</v>
      </c>
      <c r="AN84" s="47"/>
      <c r="AO84" s="47" t="s">
        <v>5503</v>
      </c>
      <c r="AP84" t="s">
        <v>5521</v>
      </c>
    </row>
    <row r="85" spans="1:42" s="37" customFormat="1" ht="14.25" customHeight="1" x14ac:dyDescent="0.3">
      <c r="A85" s="36" t="s">
        <v>5333</v>
      </c>
      <c r="B85" s="37" t="s">
        <v>5273</v>
      </c>
      <c r="C85" s="37" t="s">
        <v>5269</v>
      </c>
      <c r="D85" s="42">
        <v>5414404198112</v>
      </c>
      <c r="E85" s="39" t="s">
        <v>5390</v>
      </c>
      <c r="F85" s="39" t="s">
        <v>5391</v>
      </c>
      <c r="G85" s="37" t="s">
        <v>5239</v>
      </c>
      <c r="K85" s="37" t="s">
        <v>45</v>
      </c>
      <c r="L85" s="37" t="s">
        <v>5243</v>
      </c>
      <c r="M85" s="37" t="s">
        <v>5392</v>
      </c>
      <c r="N85" s="37" t="s">
        <v>1766</v>
      </c>
      <c r="O85" s="43" t="s">
        <v>5395</v>
      </c>
      <c r="P85" s="71" t="s">
        <v>5624</v>
      </c>
      <c r="Q85" s="37" t="s">
        <v>1766</v>
      </c>
      <c r="R85" s="37" t="s">
        <v>1766</v>
      </c>
      <c r="S85" s="37" t="s">
        <v>5250</v>
      </c>
      <c r="T85" s="41">
        <v>9</v>
      </c>
      <c r="U85" s="37" t="s">
        <v>1766</v>
      </c>
      <c r="V85" s="37" t="s">
        <v>5134</v>
      </c>
      <c r="W85" s="37" t="s">
        <v>1766</v>
      </c>
      <c r="X85" s="37" t="s">
        <v>1766</v>
      </c>
      <c r="Y85" s="37" t="s">
        <v>5242</v>
      </c>
      <c r="Z85" s="37" t="s">
        <v>1766</v>
      </c>
      <c r="AA85" s="37" t="s">
        <v>1766</v>
      </c>
      <c r="AB85" s="37" t="s">
        <v>5241</v>
      </c>
      <c r="AC85" s="37" t="s">
        <v>1728</v>
      </c>
      <c r="AD85" s="37" t="s">
        <v>1771</v>
      </c>
      <c r="AE85" s="37" t="s">
        <v>57</v>
      </c>
      <c r="AF85" s="37" t="s">
        <v>5138</v>
      </c>
      <c r="AG85" s="37" t="s">
        <v>5261</v>
      </c>
      <c r="AH85" s="37" t="s">
        <v>5261</v>
      </c>
      <c r="AJ85" s="37">
        <v>2.2000000000000002</v>
      </c>
      <c r="AL85" s="47" t="s">
        <v>5501</v>
      </c>
      <c r="AM85" s="47" t="s">
        <v>5502</v>
      </c>
      <c r="AN85" s="47"/>
      <c r="AO85" s="47" t="s">
        <v>5503</v>
      </c>
      <c r="AP85" t="s">
        <v>5521</v>
      </c>
    </row>
    <row r="86" spans="1:42" s="37" customFormat="1" ht="14.25" customHeight="1" x14ac:dyDescent="0.3">
      <c r="A86" s="36" t="s">
        <v>5359</v>
      </c>
      <c r="B86" s="37" t="s">
        <v>5299</v>
      </c>
      <c r="C86" s="37" t="s">
        <v>5269</v>
      </c>
      <c r="D86" s="42">
        <v>5414404262936</v>
      </c>
      <c r="E86" s="39" t="s">
        <v>5390</v>
      </c>
      <c r="F86" s="39" t="s">
        <v>5391</v>
      </c>
      <c r="G86" s="37" t="s">
        <v>5239</v>
      </c>
      <c r="K86" s="37" t="s">
        <v>45</v>
      </c>
      <c r="L86" s="37" t="s">
        <v>5243</v>
      </c>
      <c r="M86" s="37" t="s">
        <v>5392</v>
      </c>
      <c r="N86" s="37" t="s">
        <v>1766</v>
      </c>
      <c r="O86" s="43" t="s">
        <v>5421</v>
      </c>
      <c r="P86" s="71" t="s">
        <v>586</v>
      </c>
      <c r="Q86" s="37" t="s">
        <v>1766</v>
      </c>
      <c r="R86" s="37" t="s">
        <v>1766</v>
      </c>
      <c r="S86" s="37" t="s">
        <v>5250</v>
      </c>
      <c r="T86" s="41">
        <v>9</v>
      </c>
      <c r="U86" s="37" t="s">
        <v>1766</v>
      </c>
      <c r="V86" s="37" t="s">
        <v>5134</v>
      </c>
      <c r="W86" s="37" t="s">
        <v>1766</v>
      </c>
      <c r="X86" s="37" t="s">
        <v>1766</v>
      </c>
      <c r="Y86" s="37" t="s">
        <v>5242</v>
      </c>
      <c r="Z86" s="37" t="s">
        <v>1766</v>
      </c>
      <c r="AA86" s="37" t="s">
        <v>1766</v>
      </c>
      <c r="AB86" s="37" t="s">
        <v>5241</v>
      </c>
      <c r="AC86" s="37" t="s">
        <v>1728</v>
      </c>
      <c r="AD86" s="37" t="s">
        <v>1771</v>
      </c>
      <c r="AE86" s="37" t="s">
        <v>57</v>
      </c>
      <c r="AF86" s="37" t="s">
        <v>5138</v>
      </c>
      <c r="AG86" s="37" t="s">
        <v>5261</v>
      </c>
      <c r="AH86" s="37" t="s">
        <v>5261</v>
      </c>
      <c r="AJ86" s="37">
        <v>2.2000000000000002</v>
      </c>
      <c r="AL86" s="47" t="s">
        <v>5501</v>
      </c>
      <c r="AM86" s="47" t="s">
        <v>5502</v>
      </c>
      <c r="AN86" s="47"/>
      <c r="AO86" s="47" t="s">
        <v>5503</v>
      </c>
      <c r="AP86" t="s">
        <v>5521</v>
      </c>
    </row>
    <row r="87" spans="1:42" s="37" customFormat="1" ht="14.25" customHeight="1" x14ac:dyDescent="0.3">
      <c r="A87" s="36" t="s">
        <v>5360</v>
      </c>
      <c r="B87" s="37" t="s">
        <v>5300</v>
      </c>
      <c r="C87" s="37" t="s">
        <v>5269</v>
      </c>
      <c r="D87" s="42">
        <v>5414404262943</v>
      </c>
      <c r="E87" s="39" t="s">
        <v>5390</v>
      </c>
      <c r="F87" s="39" t="s">
        <v>5391</v>
      </c>
      <c r="G87" s="37" t="s">
        <v>5239</v>
      </c>
      <c r="K87" s="37" t="s">
        <v>45</v>
      </c>
      <c r="L87" s="37" t="s">
        <v>5243</v>
      </c>
      <c r="M87" s="37" t="s">
        <v>5392</v>
      </c>
      <c r="N87" s="37" t="s">
        <v>1766</v>
      </c>
      <c r="O87" s="43" t="s">
        <v>5422</v>
      </c>
      <c r="P87" s="71" t="s">
        <v>3268</v>
      </c>
      <c r="Q87" s="37" t="s">
        <v>1766</v>
      </c>
      <c r="R87" s="37" t="s">
        <v>1766</v>
      </c>
      <c r="S87" s="37" t="s">
        <v>5250</v>
      </c>
      <c r="T87" s="41">
        <v>9</v>
      </c>
      <c r="U87" s="37" t="s">
        <v>1766</v>
      </c>
      <c r="V87" s="37" t="s">
        <v>5134</v>
      </c>
      <c r="W87" s="37" t="s">
        <v>1766</v>
      </c>
      <c r="X87" s="37" t="s">
        <v>1766</v>
      </c>
      <c r="Y87" s="37" t="s">
        <v>5242</v>
      </c>
      <c r="Z87" s="37" t="s">
        <v>1766</v>
      </c>
      <c r="AA87" s="37" t="s">
        <v>1766</v>
      </c>
      <c r="AB87" s="37" t="s">
        <v>5241</v>
      </c>
      <c r="AC87" s="37" t="s">
        <v>1728</v>
      </c>
      <c r="AD87" s="37" t="s">
        <v>1771</v>
      </c>
      <c r="AE87" s="37" t="s">
        <v>57</v>
      </c>
      <c r="AF87" s="37" t="s">
        <v>5138</v>
      </c>
      <c r="AG87" s="37" t="s">
        <v>5261</v>
      </c>
      <c r="AH87" s="37" t="s">
        <v>5261</v>
      </c>
      <c r="AJ87" s="37">
        <v>2.2000000000000002</v>
      </c>
      <c r="AL87" s="47" t="s">
        <v>5501</v>
      </c>
      <c r="AM87" s="47" t="s">
        <v>5502</v>
      </c>
      <c r="AN87" s="47"/>
      <c r="AO87" s="47" t="s">
        <v>5503</v>
      </c>
      <c r="AP87" t="s">
        <v>5521</v>
      </c>
    </row>
    <row r="88" spans="1:42" s="37" customFormat="1" ht="14.25" customHeight="1" x14ac:dyDescent="0.3">
      <c r="A88" s="36" t="s">
        <v>5361</v>
      </c>
      <c r="B88" s="37" t="s">
        <v>5301</v>
      </c>
      <c r="C88" s="37" t="s">
        <v>5269</v>
      </c>
      <c r="D88" s="42">
        <v>5414404262950</v>
      </c>
      <c r="E88" s="39" t="s">
        <v>5390</v>
      </c>
      <c r="F88" s="39" t="s">
        <v>5391</v>
      </c>
      <c r="G88" s="37" t="s">
        <v>5239</v>
      </c>
      <c r="K88" s="37" t="s">
        <v>45</v>
      </c>
      <c r="L88" s="37" t="s">
        <v>5243</v>
      </c>
      <c r="M88" s="37" t="s">
        <v>5392</v>
      </c>
      <c r="N88" s="37" t="s">
        <v>1766</v>
      </c>
      <c r="O88" s="43" t="s">
        <v>5423</v>
      </c>
      <c r="P88" s="71" t="s">
        <v>5624</v>
      </c>
      <c r="Q88" s="37" t="s">
        <v>1766</v>
      </c>
      <c r="R88" s="37" t="s">
        <v>1766</v>
      </c>
      <c r="S88" s="37" t="s">
        <v>5250</v>
      </c>
      <c r="T88" s="41">
        <v>9</v>
      </c>
      <c r="U88" s="37" t="s">
        <v>1766</v>
      </c>
      <c r="V88" s="37" t="s">
        <v>5134</v>
      </c>
      <c r="W88" s="37" t="s">
        <v>1766</v>
      </c>
      <c r="X88" s="37" t="s">
        <v>1766</v>
      </c>
      <c r="Y88" s="37" t="s">
        <v>5242</v>
      </c>
      <c r="Z88" s="37" t="s">
        <v>1766</v>
      </c>
      <c r="AA88" s="37" t="s">
        <v>1766</v>
      </c>
      <c r="AB88" s="37" t="s">
        <v>5241</v>
      </c>
      <c r="AC88" s="37" t="s">
        <v>1728</v>
      </c>
      <c r="AD88" s="37" t="s">
        <v>1771</v>
      </c>
      <c r="AE88" s="37" t="s">
        <v>57</v>
      </c>
      <c r="AF88" s="37" t="s">
        <v>5138</v>
      </c>
      <c r="AG88" s="37" t="s">
        <v>5261</v>
      </c>
      <c r="AH88" s="37" t="s">
        <v>5261</v>
      </c>
      <c r="AJ88" s="37">
        <v>2.2000000000000002</v>
      </c>
      <c r="AL88" s="47" t="s">
        <v>5501</v>
      </c>
      <c r="AM88" s="47" t="s">
        <v>5502</v>
      </c>
      <c r="AN88" s="47"/>
      <c r="AO88" s="47" t="s">
        <v>5503</v>
      </c>
      <c r="AP88" t="s">
        <v>5521</v>
      </c>
    </row>
    <row r="89" spans="1:42" s="37" customFormat="1" ht="14.25" customHeight="1" x14ac:dyDescent="0.3">
      <c r="A89" s="36" t="s">
        <v>5362</v>
      </c>
      <c r="B89" s="37" t="s">
        <v>5302</v>
      </c>
      <c r="C89" s="37" t="s">
        <v>5269</v>
      </c>
      <c r="D89" s="42">
        <v>5414404262967</v>
      </c>
      <c r="E89" s="39" t="s">
        <v>5390</v>
      </c>
      <c r="F89" s="39" t="s">
        <v>5391</v>
      </c>
      <c r="G89" s="37" t="s">
        <v>5239</v>
      </c>
      <c r="K89" s="37" t="s">
        <v>45</v>
      </c>
      <c r="L89" s="37" t="s">
        <v>5243</v>
      </c>
      <c r="M89" s="37" t="s">
        <v>5392</v>
      </c>
      <c r="N89" s="37" t="s">
        <v>1766</v>
      </c>
      <c r="O89" s="43" t="s">
        <v>5424</v>
      </c>
      <c r="P89" s="71" t="s">
        <v>3268</v>
      </c>
      <c r="Q89" s="37" t="s">
        <v>1766</v>
      </c>
      <c r="R89" s="37" t="s">
        <v>1766</v>
      </c>
      <c r="S89" s="37" t="s">
        <v>5250</v>
      </c>
      <c r="T89" s="41">
        <v>9</v>
      </c>
      <c r="U89" s="37" t="s">
        <v>1766</v>
      </c>
      <c r="V89" s="37" t="s">
        <v>5134</v>
      </c>
      <c r="W89" s="37" t="s">
        <v>1766</v>
      </c>
      <c r="X89" s="37" t="s">
        <v>1766</v>
      </c>
      <c r="Y89" s="37" t="s">
        <v>5242</v>
      </c>
      <c r="Z89" s="37" t="s">
        <v>1766</v>
      </c>
      <c r="AA89" s="37" t="s">
        <v>1766</v>
      </c>
      <c r="AB89" s="37" t="s">
        <v>5241</v>
      </c>
      <c r="AC89" s="37" t="s">
        <v>1728</v>
      </c>
      <c r="AD89" s="37" t="s">
        <v>1771</v>
      </c>
      <c r="AE89" s="37" t="s">
        <v>57</v>
      </c>
      <c r="AF89" s="37" t="s">
        <v>5138</v>
      </c>
      <c r="AG89" s="37" t="s">
        <v>5261</v>
      </c>
      <c r="AH89" s="37" t="s">
        <v>5261</v>
      </c>
      <c r="AJ89" s="37">
        <v>2.2000000000000002</v>
      </c>
      <c r="AL89" s="47" t="s">
        <v>5501</v>
      </c>
      <c r="AM89" s="47" t="s">
        <v>5502</v>
      </c>
      <c r="AN89" s="47"/>
      <c r="AO89" s="47" t="s">
        <v>5503</v>
      </c>
      <c r="AP89" t="s">
        <v>5521</v>
      </c>
    </row>
    <row r="90" spans="1:42" s="37" customFormat="1" ht="14.25" customHeight="1" x14ac:dyDescent="0.3">
      <c r="A90" s="36" t="s">
        <v>5378</v>
      </c>
      <c r="B90" s="37" t="s">
        <v>5318</v>
      </c>
      <c r="C90" s="37" t="s">
        <v>5269</v>
      </c>
      <c r="D90" s="42">
        <v>5414404244659</v>
      </c>
      <c r="E90" s="39" t="s">
        <v>5390</v>
      </c>
      <c r="F90" s="39" t="s">
        <v>5391</v>
      </c>
      <c r="G90" s="37" t="s">
        <v>5239</v>
      </c>
      <c r="K90" s="37" t="s">
        <v>45</v>
      </c>
      <c r="L90" s="37" t="s">
        <v>5243</v>
      </c>
      <c r="M90" s="37" t="s">
        <v>5392</v>
      </c>
      <c r="N90" s="37" t="s">
        <v>1766</v>
      </c>
      <c r="O90" s="43" t="s">
        <v>5440</v>
      </c>
      <c r="P90" s="71" t="s">
        <v>61</v>
      </c>
      <c r="Q90" s="37" t="s">
        <v>1766</v>
      </c>
      <c r="R90" s="37" t="s">
        <v>1766</v>
      </c>
      <c r="S90" s="37" t="s">
        <v>5250</v>
      </c>
      <c r="T90" s="41">
        <v>9</v>
      </c>
      <c r="U90" s="37" t="s">
        <v>1766</v>
      </c>
      <c r="V90" s="37" t="s">
        <v>5134</v>
      </c>
      <c r="W90" s="37" t="s">
        <v>1766</v>
      </c>
      <c r="X90" s="37" t="s">
        <v>1766</v>
      </c>
      <c r="Y90" s="37" t="s">
        <v>5242</v>
      </c>
      <c r="Z90" s="37" t="s">
        <v>1766</v>
      </c>
      <c r="AA90" s="37" t="s">
        <v>1766</v>
      </c>
      <c r="AB90" s="37" t="s">
        <v>5241</v>
      </c>
      <c r="AC90" s="37" t="s">
        <v>1728</v>
      </c>
      <c r="AD90" s="37" t="s">
        <v>1771</v>
      </c>
      <c r="AE90" s="37" t="s">
        <v>57</v>
      </c>
      <c r="AF90" s="37" t="s">
        <v>5138</v>
      </c>
      <c r="AG90" s="37" t="s">
        <v>5261</v>
      </c>
      <c r="AH90" s="37" t="s">
        <v>5261</v>
      </c>
      <c r="AJ90" s="37">
        <v>2.2000000000000002</v>
      </c>
      <c r="AL90" s="47" t="s">
        <v>5501</v>
      </c>
      <c r="AM90" s="47" t="s">
        <v>5502</v>
      </c>
      <c r="AN90" s="47"/>
      <c r="AO90" s="47" t="s">
        <v>5503</v>
      </c>
      <c r="AP90" t="s">
        <v>5521</v>
      </c>
    </row>
    <row r="91" spans="1:42" s="37" customFormat="1" ht="14.25" customHeight="1" x14ac:dyDescent="0.3">
      <c r="A91" s="36" t="s">
        <v>5374</v>
      </c>
      <c r="B91" s="37" t="s">
        <v>5314</v>
      </c>
      <c r="C91" s="37" t="s">
        <v>5269</v>
      </c>
      <c r="D91" s="42">
        <v>5414404235350</v>
      </c>
      <c r="E91" s="39" t="s">
        <v>5390</v>
      </c>
      <c r="F91" s="39" t="s">
        <v>5391</v>
      </c>
      <c r="G91" s="37" t="s">
        <v>5239</v>
      </c>
      <c r="K91" s="37" t="s">
        <v>45</v>
      </c>
      <c r="L91" s="37" t="s">
        <v>5243</v>
      </c>
      <c r="M91" s="37" t="s">
        <v>5392</v>
      </c>
      <c r="N91" s="37" t="s">
        <v>1766</v>
      </c>
      <c r="O91" s="43" t="s">
        <v>5436</v>
      </c>
      <c r="P91" s="71" t="s">
        <v>3268</v>
      </c>
      <c r="Q91" s="37" t="s">
        <v>1766</v>
      </c>
      <c r="R91" s="37" t="s">
        <v>1766</v>
      </c>
      <c r="S91" s="37" t="s">
        <v>5250</v>
      </c>
      <c r="T91" s="41">
        <v>9</v>
      </c>
      <c r="U91" s="37" t="s">
        <v>1766</v>
      </c>
      <c r="V91" s="37" t="s">
        <v>5134</v>
      </c>
      <c r="W91" s="37" t="s">
        <v>1766</v>
      </c>
      <c r="X91" s="37" t="s">
        <v>1766</v>
      </c>
      <c r="Y91" s="37" t="s">
        <v>5242</v>
      </c>
      <c r="Z91" s="37" t="s">
        <v>1766</v>
      </c>
      <c r="AA91" s="37" t="s">
        <v>1766</v>
      </c>
      <c r="AB91" s="37" t="s">
        <v>5241</v>
      </c>
      <c r="AC91" s="37" t="s">
        <v>1728</v>
      </c>
      <c r="AD91" s="37" t="s">
        <v>1771</v>
      </c>
      <c r="AE91" s="37" t="s">
        <v>57</v>
      </c>
      <c r="AF91" s="37" t="s">
        <v>5138</v>
      </c>
      <c r="AG91" s="37" t="s">
        <v>5261</v>
      </c>
      <c r="AH91" s="37" t="s">
        <v>5261</v>
      </c>
      <c r="AJ91" s="37">
        <v>2.2000000000000002</v>
      </c>
      <c r="AL91" s="47" t="s">
        <v>5501</v>
      </c>
      <c r="AM91" s="47" t="s">
        <v>5502</v>
      </c>
      <c r="AN91" s="47"/>
      <c r="AO91" s="47" t="s">
        <v>5503</v>
      </c>
      <c r="AP91" t="s">
        <v>5521</v>
      </c>
    </row>
    <row r="92" spans="1:42" s="37" customFormat="1" ht="14.25" customHeight="1" x14ac:dyDescent="0.3">
      <c r="A92" s="36" t="s">
        <v>5363</v>
      </c>
      <c r="B92" s="37" t="s">
        <v>5303</v>
      </c>
      <c r="C92" s="37" t="s">
        <v>5269</v>
      </c>
      <c r="D92" s="42">
        <v>5414404262974</v>
      </c>
      <c r="E92" s="39" t="s">
        <v>5390</v>
      </c>
      <c r="F92" s="39" t="s">
        <v>5391</v>
      </c>
      <c r="G92" s="37" t="s">
        <v>5239</v>
      </c>
      <c r="K92" s="37" t="s">
        <v>45</v>
      </c>
      <c r="L92" s="37" t="s">
        <v>5243</v>
      </c>
      <c r="M92" s="37" t="s">
        <v>5392</v>
      </c>
      <c r="N92" s="37" t="s">
        <v>1766</v>
      </c>
      <c r="O92" s="43" t="s">
        <v>5425</v>
      </c>
      <c r="P92" s="71" t="s">
        <v>61</v>
      </c>
      <c r="Q92" s="37" t="s">
        <v>1766</v>
      </c>
      <c r="R92" s="37" t="s">
        <v>1766</v>
      </c>
      <c r="S92" s="37" t="s">
        <v>5250</v>
      </c>
      <c r="T92" s="41">
        <v>9</v>
      </c>
      <c r="U92" s="37" t="s">
        <v>1766</v>
      </c>
      <c r="V92" s="37" t="s">
        <v>5134</v>
      </c>
      <c r="W92" s="37" t="s">
        <v>1766</v>
      </c>
      <c r="X92" s="37" t="s">
        <v>1766</v>
      </c>
      <c r="Y92" s="37" t="s">
        <v>5242</v>
      </c>
      <c r="Z92" s="37" t="s">
        <v>1766</v>
      </c>
      <c r="AA92" s="37" t="s">
        <v>1766</v>
      </c>
      <c r="AB92" s="37" t="s">
        <v>5241</v>
      </c>
      <c r="AC92" s="37" t="s">
        <v>1728</v>
      </c>
      <c r="AD92" s="37" t="s">
        <v>1771</v>
      </c>
      <c r="AE92" s="37" t="s">
        <v>57</v>
      </c>
      <c r="AF92" s="37" t="s">
        <v>5138</v>
      </c>
      <c r="AG92" s="37" t="s">
        <v>5261</v>
      </c>
      <c r="AH92" s="37" t="s">
        <v>5261</v>
      </c>
      <c r="AJ92" s="37">
        <v>2.2000000000000002</v>
      </c>
      <c r="AL92" s="47" t="s">
        <v>5501</v>
      </c>
      <c r="AM92" s="47" t="s">
        <v>5502</v>
      </c>
      <c r="AN92" s="47"/>
      <c r="AO92" s="47" t="s">
        <v>5503</v>
      </c>
      <c r="AP92" t="s">
        <v>5521</v>
      </c>
    </row>
    <row r="93" spans="1:42" s="37" customFormat="1" ht="14.25" customHeight="1" x14ac:dyDescent="0.3">
      <c r="A93" s="36" t="s">
        <v>5364</v>
      </c>
      <c r="B93" s="37" t="s">
        <v>5304</v>
      </c>
      <c r="C93" s="37" t="s">
        <v>5269</v>
      </c>
      <c r="D93" s="42">
        <v>5414404262981</v>
      </c>
      <c r="E93" s="39" t="s">
        <v>5390</v>
      </c>
      <c r="F93" s="39" t="s">
        <v>5391</v>
      </c>
      <c r="G93" s="37" t="s">
        <v>5239</v>
      </c>
      <c r="K93" s="37" t="s">
        <v>45</v>
      </c>
      <c r="L93" s="37" t="s">
        <v>5243</v>
      </c>
      <c r="M93" s="37" t="s">
        <v>5392</v>
      </c>
      <c r="N93" s="37" t="s">
        <v>1766</v>
      </c>
      <c r="O93" s="43" t="s">
        <v>5426</v>
      </c>
      <c r="P93" s="71" t="s">
        <v>586</v>
      </c>
      <c r="Q93" s="37" t="s">
        <v>1766</v>
      </c>
      <c r="R93" s="37" t="s">
        <v>1766</v>
      </c>
      <c r="S93" s="37" t="s">
        <v>5250</v>
      </c>
      <c r="T93" s="41">
        <v>9</v>
      </c>
      <c r="U93" s="37" t="s">
        <v>1766</v>
      </c>
      <c r="V93" s="37" t="s">
        <v>5134</v>
      </c>
      <c r="W93" s="37" t="s">
        <v>1766</v>
      </c>
      <c r="X93" s="37" t="s">
        <v>1766</v>
      </c>
      <c r="Y93" s="37" t="s">
        <v>5242</v>
      </c>
      <c r="Z93" s="37" t="s">
        <v>1766</v>
      </c>
      <c r="AA93" s="37" t="s">
        <v>1766</v>
      </c>
      <c r="AB93" s="37" t="s">
        <v>5241</v>
      </c>
      <c r="AC93" s="37" t="s">
        <v>1728</v>
      </c>
      <c r="AD93" s="37" t="s">
        <v>1771</v>
      </c>
      <c r="AE93" s="37" t="s">
        <v>57</v>
      </c>
      <c r="AF93" s="37" t="s">
        <v>5138</v>
      </c>
      <c r="AG93" s="37" t="s">
        <v>5261</v>
      </c>
      <c r="AH93" s="37" t="s">
        <v>5261</v>
      </c>
      <c r="AJ93" s="37">
        <v>2.2000000000000002</v>
      </c>
      <c r="AL93" s="47" t="s">
        <v>5501</v>
      </c>
      <c r="AM93" s="47" t="s">
        <v>5502</v>
      </c>
      <c r="AN93" s="47"/>
      <c r="AO93" s="47" t="s">
        <v>5503</v>
      </c>
      <c r="AP93" t="s">
        <v>5521</v>
      </c>
    </row>
    <row r="94" spans="1:42" s="37" customFormat="1" ht="14.25" customHeight="1" x14ac:dyDescent="0.3">
      <c r="A94" s="36" t="s">
        <v>5330</v>
      </c>
      <c r="B94" s="37" t="s">
        <v>5270</v>
      </c>
      <c r="C94" s="37" t="s">
        <v>5269</v>
      </c>
      <c r="D94" s="42">
        <v>5414404263094</v>
      </c>
      <c r="E94" s="39" t="s">
        <v>5390</v>
      </c>
      <c r="F94" s="39" t="s">
        <v>5391</v>
      </c>
      <c r="G94" s="37" t="s">
        <v>5239</v>
      </c>
      <c r="K94" s="37" t="s">
        <v>45</v>
      </c>
      <c r="L94" s="37" t="s">
        <v>5243</v>
      </c>
      <c r="M94" s="37" t="s">
        <v>5392</v>
      </c>
      <c r="N94" s="37" t="s">
        <v>1766</v>
      </c>
      <c r="O94" s="43" t="s">
        <v>5393</v>
      </c>
      <c r="P94" s="71" t="s">
        <v>5624</v>
      </c>
      <c r="Q94" s="37" t="s">
        <v>1766</v>
      </c>
      <c r="R94" s="37" t="s">
        <v>1766</v>
      </c>
      <c r="S94" s="37" t="s">
        <v>5250</v>
      </c>
      <c r="T94" s="41">
        <v>9</v>
      </c>
      <c r="U94" s="37" t="s">
        <v>1766</v>
      </c>
      <c r="V94" s="37" t="s">
        <v>5134</v>
      </c>
      <c r="W94" s="37" t="s">
        <v>1766</v>
      </c>
      <c r="X94" s="37" t="s">
        <v>1766</v>
      </c>
      <c r="Y94" s="37" t="s">
        <v>5242</v>
      </c>
      <c r="Z94" s="37" t="s">
        <v>1766</v>
      </c>
      <c r="AA94" s="37" t="s">
        <v>1766</v>
      </c>
      <c r="AB94" s="37" t="s">
        <v>5241</v>
      </c>
      <c r="AC94" s="37" t="s">
        <v>1728</v>
      </c>
      <c r="AD94" s="37" t="s">
        <v>1771</v>
      </c>
      <c r="AE94" s="37" t="s">
        <v>57</v>
      </c>
      <c r="AF94" s="37" t="s">
        <v>5138</v>
      </c>
      <c r="AG94" s="37" t="s">
        <v>5261</v>
      </c>
      <c r="AH94" s="37" t="s">
        <v>5261</v>
      </c>
      <c r="AJ94" s="37">
        <v>2.2000000000000002</v>
      </c>
      <c r="AL94" s="47" t="s">
        <v>5501</v>
      </c>
      <c r="AM94" s="47" t="s">
        <v>5502</v>
      </c>
      <c r="AN94" s="47"/>
      <c r="AO94" s="47" t="s">
        <v>5503</v>
      </c>
      <c r="AP94" t="s">
        <v>5521</v>
      </c>
    </row>
    <row r="95" spans="1:42" s="37" customFormat="1" ht="14.25" customHeight="1" x14ac:dyDescent="0.3">
      <c r="A95" s="36" t="s">
        <v>5365</v>
      </c>
      <c r="B95" s="37" t="s">
        <v>5305</v>
      </c>
      <c r="C95" s="37" t="s">
        <v>5269</v>
      </c>
      <c r="D95" s="42">
        <v>5414404262998</v>
      </c>
      <c r="E95" s="39" t="s">
        <v>5390</v>
      </c>
      <c r="F95" s="39" t="s">
        <v>5391</v>
      </c>
      <c r="G95" s="37" t="s">
        <v>5239</v>
      </c>
      <c r="K95" s="37" t="s">
        <v>45</v>
      </c>
      <c r="L95" s="37" t="s">
        <v>5243</v>
      </c>
      <c r="M95" s="37" t="s">
        <v>5392</v>
      </c>
      <c r="N95" s="37" t="s">
        <v>1766</v>
      </c>
      <c r="O95" s="43" t="s">
        <v>5442</v>
      </c>
      <c r="P95" s="69" t="s">
        <v>3268</v>
      </c>
      <c r="Q95" s="37" t="s">
        <v>1766</v>
      </c>
      <c r="R95" s="37" t="s">
        <v>1766</v>
      </c>
      <c r="S95" s="37" t="s">
        <v>5250</v>
      </c>
      <c r="T95" s="41">
        <v>9</v>
      </c>
      <c r="U95" s="37" t="s">
        <v>1766</v>
      </c>
      <c r="V95" s="37" t="s">
        <v>5134</v>
      </c>
      <c r="W95" s="37" t="s">
        <v>1766</v>
      </c>
      <c r="X95" s="37" t="s">
        <v>1766</v>
      </c>
      <c r="Y95" s="37" t="s">
        <v>5242</v>
      </c>
      <c r="Z95" s="37" t="s">
        <v>1766</v>
      </c>
      <c r="AA95" s="37" t="s">
        <v>1766</v>
      </c>
      <c r="AB95" s="37" t="s">
        <v>5241</v>
      </c>
      <c r="AC95" s="37" t="s">
        <v>1728</v>
      </c>
      <c r="AD95" s="37" t="s">
        <v>1771</v>
      </c>
      <c r="AE95" s="37" t="s">
        <v>57</v>
      </c>
      <c r="AF95" s="37" t="s">
        <v>5138</v>
      </c>
      <c r="AG95" s="37" t="s">
        <v>5261</v>
      </c>
      <c r="AH95" s="37" t="s">
        <v>5261</v>
      </c>
      <c r="AJ95" s="37">
        <v>2.2000000000000002</v>
      </c>
      <c r="AL95" s="47" t="s">
        <v>5501</v>
      </c>
      <c r="AM95" s="47" t="s">
        <v>5502</v>
      </c>
      <c r="AN95" s="47"/>
      <c r="AO95" s="47" t="s">
        <v>5503</v>
      </c>
      <c r="AP95" t="s">
        <v>5521</v>
      </c>
    </row>
    <row r="96" spans="1:42" s="37" customFormat="1" ht="14.25" customHeight="1" x14ac:dyDescent="0.3">
      <c r="A96" s="36" t="s">
        <v>5366</v>
      </c>
      <c r="B96" s="37" t="s">
        <v>5306</v>
      </c>
      <c r="C96" s="37" t="s">
        <v>5269</v>
      </c>
      <c r="D96" s="42">
        <v>5414404263001</v>
      </c>
      <c r="E96" s="39" t="s">
        <v>5390</v>
      </c>
      <c r="F96" s="39" t="s">
        <v>5391</v>
      </c>
      <c r="G96" s="37" t="s">
        <v>5239</v>
      </c>
      <c r="K96" s="37" t="s">
        <v>45</v>
      </c>
      <c r="L96" s="37" t="s">
        <v>5243</v>
      </c>
      <c r="M96" s="37" t="s">
        <v>5392</v>
      </c>
      <c r="N96" s="37" t="s">
        <v>1766</v>
      </c>
      <c r="O96" s="43" t="s">
        <v>5427</v>
      </c>
      <c r="P96" s="71" t="s">
        <v>586</v>
      </c>
      <c r="Q96" s="37" t="s">
        <v>1766</v>
      </c>
      <c r="R96" s="37" t="s">
        <v>1766</v>
      </c>
      <c r="S96" s="37" t="s">
        <v>5250</v>
      </c>
      <c r="T96" s="41">
        <v>9</v>
      </c>
      <c r="U96" s="37" t="s">
        <v>1766</v>
      </c>
      <c r="V96" s="37" t="s">
        <v>5134</v>
      </c>
      <c r="W96" s="37" t="s">
        <v>1766</v>
      </c>
      <c r="X96" s="37" t="s">
        <v>1766</v>
      </c>
      <c r="Y96" s="37" t="s">
        <v>5242</v>
      </c>
      <c r="Z96" s="37" t="s">
        <v>1766</v>
      </c>
      <c r="AA96" s="37" t="s">
        <v>1766</v>
      </c>
      <c r="AB96" s="37" t="s">
        <v>5241</v>
      </c>
      <c r="AC96" s="37" t="s">
        <v>1728</v>
      </c>
      <c r="AD96" s="37" t="s">
        <v>1771</v>
      </c>
      <c r="AE96" s="37" t="s">
        <v>57</v>
      </c>
      <c r="AF96" s="37" t="s">
        <v>5138</v>
      </c>
      <c r="AG96" s="37" t="s">
        <v>5261</v>
      </c>
      <c r="AH96" s="37" t="s">
        <v>5261</v>
      </c>
      <c r="AJ96" s="37">
        <v>2.2000000000000002</v>
      </c>
      <c r="AL96" s="47" t="s">
        <v>5501</v>
      </c>
      <c r="AM96" s="47" t="s">
        <v>5502</v>
      </c>
      <c r="AN96" s="47"/>
      <c r="AO96" s="47" t="s">
        <v>5503</v>
      </c>
      <c r="AP96" t="s">
        <v>5521</v>
      </c>
    </row>
    <row r="97" spans="1:42" s="37" customFormat="1" ht="14.25" customHeight="1" x14ac:dyDescent="0.3">
      <c r="A97" s="36" t="s">
        <v>5367</v>
      </c>
      <c r="B97" s="37" t="s">
        <v>5307</v>
      </c>
      <c r="C97" s="37" t="s">
        <v>5269</v>
      </c>
      <c r="D97" s="42">
        <v>5414404263018</v>
      </c>
      <c r="E97" s="39" t="s">
        <v>5390</v>
      </c>
      <c r="F97" s="39" t="s">
        <v>5391</v>
      </c>
      <c r="G97" s="37" t="s">
        <v>5239</v>
      </c>
      <c r="K97" s="37" t="s">
        <v>45</v>
      </c>
      <c r="L97" s="37" t="s">
        <v>5243</v>
      </c>
      <c r="M97" s="37" t="s">
        <v>5392</v>
      </c>
      <c r="N97" s="37" t="s">
        <v>1766</v>
      </c>
      <c r="O97" s="43" t="s">
        <v>5428</v>
      </c>
      <c r="P97" s="71" t="s">
        <v>5624</v>
      </c>
      <c r="Q97" s="37" t="s">
        <v>1766</v>
      </c>
      <c r="R97" s="37" t="s">
        <v>1766</v>
      </c>
      <c r="S97" s="37" t="s">
        <v>5250</v>
      </c>
      <c r="T97" s="41">
        <v>9</v>
      </c>
      <c r="U97" s="37" t="s">
        <v>1766</v>
      </c>
      <c r="V97" s="37" t="s">
        <v>5134</v>
      </c>
      <c r="W97" s="37" t="s">
        <v>1766</v>
      </c>
      <c r="X97" s="37" t="s">
        <v>1766</v>
      </c>
      <c r="Y97" s="37" t="s">
        <v>5242</v>
      </c>
      <c r="Z97" s="37" t="s">
        <v>1766</v>
      </c>
      <c r="AA97" s="37" t="s">
        <v>1766</v>
      </c>
      <c r="AB97" s="37" t="s">
        <v>5241</v>
      </c>
      <c r="AC97" s="37" t="s">
        <v>1728</v>
      </c>
      <c r="AD97" s="37" t="s">
        <v>1771</v>
      </c>
      <c r="AE97" s="37" t="s">
        <v>57</v>
      </c>
      <c r="AF97" s="37" t="s">
        <v>5138</v>
      </c>
      <c r="AG97" s="37" t="s">
        <v>5261</v>
      </c>
      <c r="AH97" s="37" t="s">
        <v>5261</v>
      </c>
      <c r="AJ97" s="37">
        <v>2.2000000000000002</v>
      </c>
      <c r="AL97" s="47" t="s">
        <v>5501</v>
      </c>
      <c r="AM97" s="47" t="s">
        <v>5502</v>
      </c>
      <c r="AN97" s="47"/>
      <c r="AO97" s="47" t="s">
        <v>5503</v>
      </c>
      <c r="AP97" t="s">
        <v>5521</v>
      </c>
    </row>
    <row r="98" spans="1:42" s="37" customFormat="1" ht="14.25" customHeight="1" x14ac:dyDescent="0.3">
      <c r="A98" s="36" t="s">
        <v>5331</v>
      </c>
      <c r="B98" s="37" t="s">
        <v>5271</v>
      </c>
      <c r="C98" s="37" t="s">
        <v>5269</v>
      </c>
      <c r="D98" s="42">
        <v>5414404263025</v>
      </c>
      <c r="E98" s="39" t="s">
        <v>5390</v>
      </c>
      <c r="F98" s="39" t="s">
        <v>5391</v>
      </c>
      <c r="G98" s="37" t="s">
        <v>5239</v>
      </c>
      <c r="K98" s="37" t="s">
        <v>45</v>
      </c>
      <c r="L98" s="37" t="s">
        <v>5243</v>
      </c>
      <c r="M98" s="37" t="s">
        <v>5392</v>
      </c>
      <c r="N98" s="37" t="s">
        <v>1766</v>
      </c>
      <c r="O98" s="43" t="s">
        <v>5409</v>
      </c>
      <c r="P98" s="71" t="s">
        <v>61</v>
      </c>
      <c r="Q98" s="37" t="s">
        <v>1766</v>
      </c>
      <c r="R98" s="37" t="s">
        <v>1766</v>
      </c>
      <c r="S98" s="37" t="s">
        <v>5250</v>
      </c>
      <c r="T98" s="41">
        <v>9</v>
      </c>
      <c r="U98" s="37" t="s">
        <v>1766</v>
      </c>
      <c r="V98" s="37" t="s">
        <v>5134</v>
      </c>
      <c r="W98" s="37" t="s">
        <v>1766</v>
      </c>
      <c r="X98" s="37" t="s">
        <v>1766</v>
      </c>
      <c r="Y98" s="37" t="s">
        <v>5242</v>
      </c>
      <c r="Z98" s="37" t="s">
        <v>1766</v>
      </c>
      <c r="AA98" s="37" t="s">
        <v>1766</v>
      </c>
      <c r="AB98" s="37" t="s">
        <v>5241</v>
      </c>
      <c r="AC98" s="37" t="s">
        <v>1728</v>
      </c>
      <c r="AD98" s="37" t="s">
        <v>1771</v>
      </c>
      <c r="AE98" s="37" t="s">
        <v>57</v>
      </c>
      <c r="AF98" s="37" t="s">
        <v>5138</v>
      </c>
      <c r="AG98" s="37" t="s">
        <v>5261</v>
      </c>
      <c r="AH98" s="37" t="s">
        <v>5261</v>
      </c>
      <c r="AJ98" s="37">
        <v>2.2000000000000002</v>
      </c>
      <c r="AL98" s="47" t="s">
        <v>5501</v>
      </c>
      <c r="AM98" s="47" t="s">
        <v>5502</v>
      </c>
      <c r="AN98" s="47"/>
      <c r="AO98" s="47" t="s">
        <v>5503</v>
      </c>
      <c r="AP98" t="s">
        <v>5521</v>
      </c>
    </row>
    <row r="99" spans="1:42" s="37" customFormat="1" ht="14.25" customHeight="1" x14ac:dyDescent="0.3">
      <c r="A99" s="36" t="s">
        <v>5368</v>
      </c>
      <c r="B99" s="37" t="s">
        <v>5308</v>
      </c>
      <c r="C99" s="37" t="s">
        <v>5269</v>
      </c>
      <c r="D99" s="42">
        <v>5414404263032</v>
      </c>
      <c r="E99" s="39" t="s">
        <v>5390</v>
      </c>
      <c r="F99" s="39" t="s">
        <v>5391</v>
      </c>
      <c r="G99" s="37" t="s">
        <v>5239</v>
      </c>
      <c r="K99" s="37" t="s">
        <v>45</v>
      </c>
      <c r="L99" s="37" t="s">
        <v>5243</v>
      </c>
      <c r="M99" s="37" t="s">
        <v>5392</v>
      </c>
      <c r="N99" s="37" t="s">
        <v>1766</v>
      </c>
      <c r="O99" s="43" t="s">
        <v>5429</v>
      </c>
      <c r="P99" s="71" t="s">
        <v>3268</v>
      </c>
      <c r="Q99" s="37" t="s">
        <v>1766</v>
      </c>
      <c r="R99" s="37" t="s">
        <v>1766</v>
      </c>
      <c r="S99" s="37" t="s">
        <v>5250</v>
      </c>
      <c r="T99" s="41">
        <v>9</v>
      </c>
      <c r="U99" s="37" t="s">
        <v>1766</v>
      </c>
      <c r="V99" s="37" t="s">
        <v>5134</v>
      </c>
      <c r="W99" s="37" t="s">
        <v>1766</v>
      </c>
      <c r="X99" s="37" t="s">
        <v>1766</v>
      </c>
      <c r="Y99" s="37" t="s">
        <v>5242</v>
      </c>
      <c r="Z99" s="37" t="s">
        <v>1766</v>
      </c>
      <c r="AA99" s="37" t="s">
        <v>1766</v>
      </c>
      <c r="AB99" s="37" t="s">
        <v>5241</v>
      </c>
      <c r="AC99" s="37" t="s">
        <v>1728</v>
      </c>
      <c r="AD99" s="37" t="s">
        <v>1771</v>
      </c>
      <c r="AE99" s="37" t="s">
        <v>57</v>
      </c>
      <c r="AF99" s="37" t="s">
        <v>5138</v>
      </c>
      <c r="AG99" s="37" t="s">
        <v>5261</v>
      </c>
      <c r="AH99" s="37" t="s">
        <v>5261</v>
      </c>
      <c r="AJ99" s="37">
        <v>2.2000000000000002</v>
      </c>
      <c r="AL99" s="47" t="s">
        <v>5501</v>
      </c>
      <c r="AM99" s="47" t="s">
        <v>5502</v>
      </c>
      <c r="AN99" s="47"/>
      <c r="AO99" s="47" t="s">
        <v>5503</v>
      </c>
      <c r="AP99" t="s">
        <v>5521</v>
      </c>
    </row>
    <row r="100" spans="1:42" s="37" customFormat="1" ht="14.25" customHeight="1" x14ac:dyDescent="0.3">
      <c r="A100" s="36" t="s">
        <v>5369</v>
      </c>
      <c r="B100" s="37" t="s">
        <v>5309</v>
      </c>
      <c r="C100" s="37" t="s">
        <v>5269</v>
      </c>
      <c r="D100" s="42">
        <v>5414404263049</v>
      </c>
      <c r="E100" s="39" t="s">
        <v>5390</v>
      </c>
      <c r="F100" s="39" t="s">
        <v>5391</v>
      </c>
      <c r="G100" s="37" t="s">
        <v>5239</v>
      </c>
      <c r="K100" s="37" t="s">
        <v>45</v>
      </c>
      <c r="L100" s="37" t="s">
        <v>5243</v>
      </c>
      <c r="M100" s="37" t="s">
        <v>5392</v>
      </c>
      <c r="N100" s="37" t="s">
        <v>1766</v>
      </c>
      <c r="O100" s="43" t="s">
        <v>5430</v>
      </c>
      <c r="P100" s="71" t="s">
        <v>586</v>
      </c>
      <c r="Q100" s="37" t="s">
        <v>1766</v>
      </c>
      <c r="R100" s="37" t="s">
        <v>1766</v>
      </c>
      <c r="S100" s="37" t="s">
        <v>5250</v>
      </c>
      <c r="T100" s="41">
        <v>9</v>
      </c>
      <c r="U100" s="37" t="s">
        <v>1766</v>
      </c>
      <c r="V100" s="37" t="s">
        <v>5134</v>
      </c>
      <c r="W100" s="37" t="s">
        <v>1766</v>
      </c>
      <c r="X100" s="37" t="s">
        <v>1766</v>
      </c>
      <c r="Y100" s="37" t="s">
        <v>5242</v>
      </c>
      <c r="Z100" s="37" t="s">
        <v>1766</v>
      </c>
      <c r="AA100" s="37" t="s">
        <v>1766</v>
      </c>
      <c r="AB100" s="37" t="s">
        <v>5241</v>
      </c>
      <c r="AC100" s="37" t="s">
        <v>1728</v>
      </c>
      <c r="AD100" s="37" t="s">
        <v>1771</v>
      </c>
      <c r="AE100" s="37" t="s">
        <v>57</v>
      </c>
      <c r="AF100" s="37" t="s">
        <v>5138</v>
      </c>
      <c r="AG100" s="37" t="s">
        <v>5261</v>
      </c>
      <c r="AH100" s="37" t="s">
        <v>5261</v>
      </c>
      <c r="AJ100" s="37">
        <v>2.2000000000000002</v>
      </c>
      <c r="AL100" s="47" t="s">
        <v>5501</v>
      </c>
      <c r="AM100" s="47" t="s">
        <v>5502</v>
      </c>
      <c r="AN100" s="47"/>
      <c r="AO100" s="47" t="s">
        <v>5503</v>
      </c>
      <c r="AP100" t="s">
        <v>5521</v>
      </c>
    </row>
    <row r="101" spans="1:42" s="37" customFormat="1" ht="14.25" customHeight="1" x14ac:dyDescent="0.3">
      <c r="A101" s="36" t="s">
        <v>5370</v>
      </c>
      <c r="B101" s="37" t="s">
        <v>5310</v>
      </c>
      <c r="C101" s="37" t="s">
        <v>5269</v>
      </c>
      <c r="D101" s="42">
        <v>5414404263056</v>
      </c>
      <c r="E101" s="39" t="s">
        <v>5390</v>
      </c>
      <c r="F101" s="39" t="s">
        <v>5391</v>
      </c>
      <c r="G101" s="37" t="s">
        <v>5239</v>
      </c>
      <c r="K101" s="37" t="s">
        <v>45</v>
      </c>
      <c r="L101" s="37" t="s">
        <v>5243</v>
      </c>
      <c r="M101" s="37" t="s">
        <v>5392</v>
      </c>
      <c r="N101" s="37" t="s">
        <v>1766</v>
      </c>
      <c r="O101" s="43" t="s">
        <v>5431</v>
      </c>
      <c r="P101" s="71" t="s">
        <v>5624</v>
      </c>
      <c r="Q101" s="37" t="s">
        <v>1766</v>
      </c>
      <c r="R101" s="37" t="s">
        <v>1766</v>
      </c>
      <c r="S101" s="37" t="s">
        <v>5250</v>
      </c>
      <c r="T101" s="41">
        <v>9</v>
      </c>
      <c r="U101" s="37" t="s">
        <v>1766</v>
      </c>
      <c r="V101" s="37" t="s">
        <v>5134</v>
      </c>
      <c r="W101" s="37" t="s">
        <v>1766</v>
      </c>
      <c r="X101" s="37" t="s">
        <v>1766</v>
      </c>
      <c r="Y101" s="37" t="s">
        <v>5242</v>
      </c>
      <c r="Z101" s="37" t="s">
        <v>1766</v>
      </c>
      <c r="AA101" s="37" t="s">
        <v>1766</v>
      </c>
      <c r="AB101" s="37" t="s">
        <v>5241</v>
      </c>
      <c r="AC101" s="37" t="s">
        <v>1728</v>
      </c>
      <c r="AD101" s="37" t="s">
        <v>1771</v>
      </c>
      <c r="AE101" s="37" t="s">
        <v>57</v>
      </c>
      <c r="AF101" s="37" t="s">
        <v>5138</v>
      </c>
      <c r="AG101" s="37" t="s">
        <v>5261</v>
      </c>
      <c r="AH101" s="37" t="s">
        <v>5261</v>
      </c>
      <c r="AJ101" s="37">
        <v>2.2000000000000002</v>
      </c>
      <c r="AL101" s="47" t="s">
        <v>5501</v>
      </c>
      <c r="AM101" s="47" t="s">
        <v>5502</v>
      </c>
      <c r="AN101" s="47"/>
      <c r="AO101" s="47" t="s">
        <v>5503</v>
      </c>
      <c r="AP101" t="s">
        <v>5521</v>
      </c>
    </row>
    <row r="102" spans="1:42" s="37" customFormat="1" ht="14.25" customHeight="1" x14ac:dyDescent="0.3">
      <c r="A102" s="36" t="s">
        <v>5371</v>
      </c>
      <c r="B102" s="37" t="s">
        <v>5311</v>
      </c>
      <c r="C102" s="37" t="s">
        <v>5269</v>
      </c>
      <c r="D102" s="42">
        <v>5414404263063</v>
      </c>
      <c r="E102" s="39" t="s">
        <v>5390</v>
      </c>
      <c r="F102" s="39" t="s">
        <v>5391</v>
      </c>
      <c r="G102" s="37" t="s">
        <v>5239</v>
      </c>
      <c r="K102" s="37" t="s">
        <v>45</v>
      </c>
      <c r="L102" s="37" t="s">
        <v>5243</v>
      </c>
      <c r="M102" s="37" t="s">
        <v>5392</v>
      </c>
      <c r="N102" s="37" t="s">
        <v>1766</v>
      </c>
      <c r="O102" s="43" t="s">
        <v>5432</v>
      </c>
      <c r="P102" s="71" t="s">
        <v>586</v>
      </c>
      <c r="Q102" s="37" t="s">
        <v>1766</v>
      </c>
      <c r="R102" s="37" t="s">
        <v>1766</v>
      </c>
      <c r="S102" s="37" t="s">
        <v>5250</v>
      </c>
      <c r="T102" s="41">
        <v>9</v>
      </c>
      <c r="U102" s="37" t="s">
        <v>1766</v>
      </c>
      <c r="V102" s="37" t="s">
        <v>5134</v>
      </c>
      <c r="W102" s="37" t="s">
        <v>1766</v>
      </c>
      <c r="X102" s="37" t="s">
        <v>1766</v>
      </c>
      <c r="Y102" s="37" t="s">
        <v>5242</v>
      </c>
      <c r="Z102" s="37" t="s">
        <v>1766</v>
      </c>
      <c r="AA102" s="37" t="s">
        <v>1766</v>
      </c>
      <c r="AB102" s="37" t="s">
        <v>5241</v>
      </c>
      <c r="AC102" s="37" t="s">
        <v>1728</v>
      </c>
      <c r="AD102" s="37" t="s">
        <v>1771</v>
      </c>
      <c r="AE102" s="37" t="s">
        <v>57</v>
      </c>
      <c r="AF102" s="37" t="s">
        <v>5138</v>
      </c>
      <c r="AG102" s="37" t="s">
        <v>5261</v>
      </c>
      <c r="AH102" s="37" t="s">
        <v>5261</v>
      </c>
      <c r="AJ102" s="37">
        <v>2.2000000000000002</v>
      </c>
      <c r="AL102" s="47" t="s">
        <v>5501</v>
      </c>
      <c r="AM102" s="47" t="s">
        <v>5502</v>
      </c>
      <c r="AN102" s="47"/>
      <c r="AO102" s="47" t="s">
        <v>5503</v>
      </c>
      <c r="AP102" t="s">
        <v>5521</v>
      </c>
    </row>
    <row r="103" spans="1:42" s="37" customFormat="1" ht="14.25" customHeight="1" x14ac:dyDescent="0.3">
      <c r="A103" s="36" t="s">
        <v>5336</v>
      </c>
      <c r="B103" s="37" t="s">
        <v>5276</v>
      </c>
      <c r="C103" s="37" t="s">
        <v>5269</v>
      </c>
      <c r="D103" s="42">
        <v>5414404198228</v>
      </c>
      <c r="E103" s="39" t="s">
        <v>5390</v>
      </c>
      <c r="F103" s="39" t="s">
        <v>5391</v>
      </c>
      <c r="G103" s="37" t="s">
        <v>5239</v>
      </c>
      <c r="K103" s="37" t="s">
        <v>45</v>
      </c>
      <c r="L103" s="37" t="s">
        <v>5243</v>
      </c>
      <c r="M103" s="37" t="s">
        <v>5392</v>
      </c>
      <c r="N103" s="37" t="s">
        <v>1766</v>
      </c>
      <c r="O103" s="43" t="s">
        <v>5396</v>
      </c>
      <c r="P103" s="71" t="s">
        <v>3268</v>
      </c>
      <c r="Q103" s="37" t="s">
        <v>1766</v>
      </c>
      <c r="R103" s="37" t="s">
        <v>1766</v>
      </c>
      <c r="S103" s="37" t="s">
        <v>5250</v>
      </c>
      <c r="T103" s="41">
        <v>9</v>
      </c>
      <c r="U103" s="37" t="s">
        <v>1766</v>
      </c>
      <c r="V103" s="37" t="s">
        <v>5134</v>
      </c>
      <c r="W103" s="37" t="s">
        <v>1766</v>
      </c>
      <c r="X103" s="37" t="s">
        <v>1766</v>
      </c>
      <c r="Y103" s="37" t="s">
        <v>5242</v>
      </c>
      <c r="Z103" s="37" t="s">
        <v>1766</v>
      </c>
      <c r="AA103" s="37" t="s">
        <v>1766</v>
      </c>
      <c r="AB103" s="37" t="s">
        <v>5241</v>
      </c>
      <c r="AC103" s="37" t="s">
        <v>1728</v>
      </c>
      <c r="AD103" s="37" t="s">
        <v>1771</v>
      </c>
      <c r="AE103" s="37" t="s">
        <v>57</v>
      </c>
      <c r="AF103" s="37" t="s">
        <v>5138</v>
      </c>
      <c r="AG103" s="37" t="s">
        <v>5261</v>
      </c>
      <c r="AH103" s="37" t="s">
        <v>5261</v>
      </c>
      <c r="AJ103" s="37">
        <v>2.2000000000000002</v>
      </c>
      <c r="AL103" s="47" t="s">
        <v>5501</v>
      </c>
      <c r="AM103" s="47" t="s">
        <v>5502</v>
      </c>
      <c r="AN103" s="47"/>
      <c r="AO103" s="47" t="s">
        <v>5503</v>
      </c>
      <c r="AP103" t="s">
        <v>5521</v>
      </c>
    </row>
    <row r="104" spans="1:42" s="37" customFormat="1" ht="14.25" customHeight="1" x14ac:dyDescent="0.3">
      <c r="A104" s="36" t="s">
        <v>5335</v>
      </c>
      <c r="B104" s="37" t="s">
        <v>5275</v>
      </c>
      <c r="C104" s="37" t="s">
        <v>5269</v>
      </c>
      <c r="D104" s="42">
        <v>5414404198211</v>
      </c>
      <c r="E104" s="39" t="s">
        <v>5390</v>
      </c>
      <c r="F104" s="39" t="s">
        <v>5391</v>
      </c>
      <c r="G104" s="37" t="s">
        <v>5239</v>
      </c>
      <c r="K104" s="37" t="s">
        <v>45</v>
      </c>
      <c r="L104" s="37" t="s">
        <v>5243</v>
      </c>
      <c r="M104" s="37" t="s">
        <v>5392</v>
      </c>
      <c r="N104" s="37" t="s">
        <v>1766</v>
      </c>
      <c r="O104" s="43" t="s">
        <v>5417</v>
      </c>
      <c r="P104" s="69" t="s">
        <v>3268</v>
      </c>
      <c r="Q104" s="37" t="s">
        <v>1766</v>
      </c>
      <c r="R104" s="37" t="s">
        <v>1766</v>
      </c>
      <c r="S104" s="37" t="s">
        <v>5250</v>
      </c>
      <c r="T104" s="41">
        <v>9</v>
      </c>
      <c r="U104" s="37" t="s">
        <v>1766</v>
      </c>
      <c r="V104" s="37" t="s">
        <v>5134</v>
      </c>
      <c r="W104" s="37" t="s">
        <v>1766</v>
      </c>
      <c r="X104" s="37" t="s">
        <v>1766</v>
      </c>
      <c r="Y104" s="37" t="s">
        <v>5242</v>
      </c>
      <c r="Z104" s="37" t="s">
        <v>1766</v>
      </c>
      <c r="AA104" s="37" t="s">
        <v>1766</v>
      </c>
      <c r="AB104" s="37" t="s">
        <v>5241</v>
      </c>
      <c r="AC104" s="37" t="s">
        <v>1728</v>
      </c>
      <c r="AD104" s="37" t="s">
        <v>1771</v>
      </c>
      <c r="AE104" s="37" t="s">
        <v>57</v>
      </c>
      <c r="AF104" s="37" t="s">
        <v>5138</v>
      </c>
      <c r="AG104" s="37" t="s">
        <v>5261</v>
      </c>
      <c r="AH104" s="37" t="s">
        <v>5261</v>
      </c>
      <c r="AJ104" s="37">
        <v>2.2000000000000002</v>
      </c>
      <c r="AL104" s="47" t="s">
        <v>5501</v>
      </c>
      <c r="AM104" s="47" t="s">
        <v>5502</v>
      </c>
      <c r="AN104" s="47"/>
      <c r="AO104" s="47" t="s">
        <v>5503</v>
      </c>
      <c r="AP104" t="s">
        <v>5521</v>
      </c>
    </row>
    <row r="105" spans="1:42" s="37" customFormat="1" ht="14.25" customHeight="1" x14ac:dyDescent="0.3">
      <c r="A105" s="36" t="s">
        <v>5372</v>
      </c>
      <c r="B105" s="37" t="s">
        <v>5312</v>
      </c>
      <c r="C105" s="37" t="s">
        <v>5269</v>
      </c>
      <c r="D105" s="42">
        <v>5414404263070</v>
      </c>
      <c r="E105" s="39" t="s">
        <v>5390</v>
      </c>
      <c r="F105" s="39" t="s">
        <v>5391</v>
      </c>
      <c r="G105" s="37" t="s">
        <v>5239</v>
      </c>
      <c r="K105" s="37" t="s">
        <v>45</v>
      </c>
      <c r="L105" s="37" t="s">
        <v>5243</v>
      </c>
      <c r="M105" s="37" t="s">
        <v>5392</v>
      </c>
      <c r="N105" s="37" t="s">
        <v>1766</v>
      </c>
      <c r="O105" s="43" t="s">
        <v>5433</v>
      </c>
      <c r="P105" s="71" t="s">
        <v>61</v>
      </c>
      <c r="Q105" s="37" t="s">
        <v>1766</v>
      </c>
      <c r="R105" s="37" t="s">
        <v>1766</v>
      </c>
      <c r="S105" s="37" t="s">
        <v>5250</v>
      </c>
      <c r="T105" s="41">
        <v>9</v>
      </c>
      <c r="U105" s="37" t="s">
        <v>1766</v>
      </c>
      <c r="V105" s="37" t="s">
        <v>5134</v>
      </c>
      <c r="W105" s="37" t="s">
        <v>1766</v>
      </c>
      <c r="X105" s="37" t="s">
        <v>1766</v>
      </c>
      <c r="Y105" s="37" t="s">
        <v>5242</v>
      </c>
      <c r="Z105" s="37" t="s">
        <v>1766</v>
      </c>
      <c r="AA105" s="37" t="s">
        <v>1766</v>
      </c>
      <c r="AB105" s="37" t="s">
        <v>5241</v>
      </c>
      <c r="AC105" s="37" t="s">
        <v>1728</v>
      </c>
      <c r="AD105" s="37" t="s">
        <v>1771</v>
      </c>
      <c r="AE105" s="37" t="s">
        <v>57</v>
      </c>
      <c r="AF105" s="37" t="s">
        <v>5138</v>
      </c>
      <c r="AG105" s="37" t="s">
        <v>5261</v>
      </c>
      <c r="AH105" s="37" t="s">
        <v>5261</v>
      </c>
      <c r="AJ105" s="37">
        <v>2.2000000000000002</v>
      </c>
      <c r="AL105" s="47" t="s">
        <v>5501</v>
      </c>
      <c r="AM105" s="47" t="s">
        <v>5502</v>
      </c>
      <c r="AN105" s="47"/>
      <c r="AO105" s="47" t="s">
        <v>5503</v>
      </c>
      <c r="AP105" t="s">
        <v>5521</v>
      </c>
    </row>
    <row r="106" spans="1:42" s="37" customFormat="1" ht="14.25" customHeight="1" x14ac:dyDescent="0.3">
      <c r="A106" s="36" t="s">
        <v>5379</v>
      </c>
      <c r="B106" s="37" t="s">
        <v>5319</v>
      </c>
      <c r="C106" s="37" t="s">
        <v>5269</v>
      </c>
      <c r="D106" s="42">
        <v>5414404244673</v>
      </c>
      <c r="E106" s="39" t="s">
        <v>5390</v>
      </c>
      <c r="F106" s="39" t="s">
        <v>5391</v>
      </c>
      <c r="G106" s="37" t="s">
        <v>5239</v>
      </c>
      <c r="K106" s="37" t="s">
        <v>45</v>
      </c>
      <c r="L106" s="37" t="s">
        <v>5243</v>
      </c>
      <c r="M106" s="37" t="s">
        <v>5392</v>
      </c>
      <c r="N106" s="37" t="s">
        <v>1766</v>
      </c>
      <c r="O106" s="43" t="s">
        <v>5441</v>
      </c>
      <c r="P106" s="71" t="s">
        <v>3268</v>
      </c>
      <c r="Q106" s="37" t="s">
        <v>1766</v>
      </c>
      <c r="R106" s="37" t="s">
        <v>1766</v>
      </c>
      <c r="S106" s="37" t="s">
        <v>5250</v>
      </c>
      <c r="T106" s="41">
        <v>9</v>
      </c>
      <c r="U106" s="37" t="s">
        <v>1766</v>
      </c>
      <c r="V106" s="37" t="s">
        <v>5134</v>
      </c>
      <c r="W106" s="37" t="s">
        <v>1766</v>
      </c>
      <c r="X106" s="37" t="s">
        <v>1766</v>
      </c>
      <c r="Y106" s="37" t="s">
        <v>5242</v>
      </c>
      <c r="Z106" s="37" t="s">
        <v>1766</v>
      </c>
      <c r="AA106" s="37" t="s">
        <v>1766</v>
      </c>
      <c r="AB106" s="37" t="s">
        <v>5241</v>
      </c>
      <c r="AC106" s="37" t="s">
        <v>1728</v>
      </c>
      <c r="AD106" s="37" t="s">
        <v>1771</v>
      </c>
      <c r="AE106" s="37" t="s">
        <v>57</v>
      </c>
      <c r="AF106" s="37" t="s">
        <v>5138</v>
      </c>
      <c r="AG106" s="37" t="s">
        <v>5261</v>
      </c>
      <c r="AH106" s="37" t="s">
        <v>5261</v>
      </c>
      <c r="AJ106" s="37">
        <v>2.2000000000000002</v>
      </c>
      <c r="AL106" s="47" t="s">
        <v>5501</v>
      </c>
      <c r="AM106" s="47" t="s">
        <v>5502</v>
      </c>
      <c r="AN106" s="47"/>
      <c r="AO106" s="47" t="s">
        <v>5503</v>
      </c>
      <c r="AP106" t="s">
        <v>5521</v>
      </c>
    </row>
    <row r="107" spans="1:42" s="37" customFormat="1" ht="14.25" customHeight="1" x14ac:dyDescent="0.3">
      <c r="A107" s="36" t="s">
        <v>5334</v>
      </c>
      <c r="B107" s="37" t="s">
        <v>5274</v>
      </c>
      <c r="C107" s="37" t="s">
        <v>5269</v>
      </c>
      <c r="D107" s="42">
        <v>5414404198198</v>
      </c>
      <c r="E107" s="39" t="s">
        <v>5390</v>
      </c>
      <c r="F107" s="39" t="s">
        <v>5391</v>
      </c>
      <c r="G107" s="37" t="s">
        <v>5239</v>
      </c>
      <c r="K107" s="37" t="s">
        <v>45</v>
      </c>
      <c r="L107" s="37" t="s">
        <v>5243</v>
      </c>
      <c r="M107" s="37" t="s">
        <v>5392</v>
      </c>
      <c r="N107" s="37" t="s">
        <v>1766</v>
      </c>
      <c r="O107" s="43" t="s">
        <v>5410</v>
      </c>
      <c r="P107" s="71" t="s">
        <v>5624</v>
      </c>
      <c r="Q107" s="37" t="s">
        <v>1766</v>
      </c>
      <c r="R107" s="37" t="s">
        <v>1766</v>
      </c>
      <c r="S107" s="37" t="s">
        <v>5250</v>
      </c>
      <c r="T107" s="41">
        <v>9</v>
      </c>
      <c r="U107" s="37" t="s">
        <v>1766</v>
      </c>
      <c r="V107" s="37" t="s">
        <v>5134</v>
      </c>
      <c r="W107" s="37" t="s">
        <v>1766</v>
      </c>
      <c r="X107" s="37" t="s">
        <v>1766</v>
      </c>
      <c r="Y107" s="37" t="s">
        <v>5242</v>
      </c>
      <c r="Z107" s="37" t="s">
        <v>1766</v>
      </c>
      <c r="AA107" s="37" t="s">
        <v>1766</v>
      </c>
      <c r="AB107" s="37" t="s">
        <v>5241</v>
      </c>
      <c r="AC107" s="37" t="s">
        <v>1728</v>
      </c>
      <c r="AD107" s="37" t="s">
        <v>1771</v>
      </c>
      <c r="AE107" s="37" t="s">
        <v>57</v>
      </c>
      <c r="AF107" s="37" t="s">
        <v>5138</v>
      </c>
      <c r="AG107" s="37" t="s">
        <v>5261</v>
      </c>
      <c r="AH107" s="37" t="s">
        <v>5261</v>
      </c>
      <c r="AJ107" s="37">
        <v>2.2000000000000002</v>
      </c>
      <c r="AL107" s="47" t="s">
        <v>5501</v>
      </c>
      <c r="AM107" s="47" t="s">
        <v>5502</v>
      </c>
      <c r="AN107" s="47"/>
      <c r="AO107" s="47" t="s">
        <v>5503</v>
      </c>
      <c r="AP107" t="s">
        <v>5521</v>
      </c>
    </row>
    <row r="108" spans="1:42" s="37" customFormat="1" ht="14.25" customHeight="1" x14ac:dyDescent="0.3">
      <c r="A108" s="36" t="s">
        <v>5373</v>
      </c>
      <c r="B108" s="37" t="s">
        <v>5313</v>
      </c>
      <c r="C108" s="37" t="s">
        <v>5269</v>
      </c>
      <c r="D108" s="42">
        <v>5414404263087</v>
      </c>
      <c r="E108" s="39" t="s">
        <v>5390</v>
      </c>
      <c r="F108" s="39" t="s">
        <v>5391</v>
      </c>
      <c r="G108" s="37" t="s">
        <v>5239</v>
      </c>
      <c r="K108" s="37" t="s">
        <v>45</v>
      </c>
      <c r="L108" s="37" t="s">
        <v>5243</v>
      </c>
      <c r="M108" s="37" t="s">
        <v>5392</v>
      </c>
      <c r="N108" s="37" t="s">
        <v>1766</v>
      </c>
      <c r="O108" s="43" t="s">
        <v>5437</v>
      </c>
      <c r="P108" s="71" t="s">
        <v>5624</v>
      </c>
      <c r="Q108" s="37" t="s">
        <v>1766</v>
      </c>
      <c r="R108" s="37" t="s">
        <v>1766</v>
      </c>
      <c r="S108" s="37" t="s">
        <v>5250</v>
      </c>
      <c r="T108" s="41">
        <v>9</v>
      </c>
      <c r="U108" s="37" t="s">
        <v>1766</v>
      </c>
      <c r="V108" s="37" t="s">
        <v>5134</v>
      </c>
      <c r="W108" s="37" t="s">
        <v>1766</v>
      </c>
      <c r="X108" s="37" t="s">
        <v>1766</v>
      </c>
      <c r="Y108" s="37" t="s">
        <v>5242</v>
      </c>
      <c r="Z108" s="37" t="s">
        <v>1766</v>
      </c>
      <c r="AA108" s="37" t="s">
        <v>1766</v>
      </c>
      <c r="AB108" s="37" t="s">
        <v>5241</v>
      </c>
      <c r="AC108" s="37" t="s">
        <v>1728</v>
      </c>
      <c r="AD108" s="37" t="s">
        <v>1771</v>
      </c>
      <c r="AE108" s="37" t="s">
        <v>57</v>
      </c>
      <c r="AF108" s="37" t="s">
        <v>5138</v>
      </c>
      <c r="AG108" s="37" t="s">
        <v>5261</v>
      </c>
      <c r="AH108" s="37" t="s">
        <v>5261</v>
      </c>
      <c r="AJ108" s="37">
        <v>2.2000000000000002</v>
      </c>
      <c r="AL108" s="47" t="s">
        <v>5501</v>
      </c>
      <c r="AM108" s="47" t="s">
        <v>5502</v>
      </c>
      <c r="AN108" s="47"/>
      <c r="AO108" s="47" t="s">
        <v>5503</v>
      </c>
      <c r="AP108" t="s">
        <v>5521</v>
      </c>
    </row>
    <row r="109" spans="1:42" s="37" customFormat="1" ht="14.25" customHeight="1" x14ac:dyDescent="0.3">
      <c r="A109" s="36" t="s">
        <v>5380</v>
      </c>
      <c r="B109" s="37" t="s">
        <v>5320</v>
      </c>
      <c r="C109" s="37" t="s">
        <v>5269</v>
      </c>
      <c r="D109" s="42">
        <v>5414404262523</v>
      </c>
      <c r="E109" s="39" t="s">
        <v>5444</v>
      </c>
      <c r="F109" s="39" t="s">
        <v>5445</v>
      </c>
      <c r="G109" s="37" t="s">
        <v>5239</v>
      </c>
      <c r="K109" s="37" t="s">
        <v>45</v>
      </c>
      <c r="L109" s="37" t="s">
        <v>5243</v>
      </c>
      <c r="M109" s="37" t="s">
        <v>5446</v>
      </c>
      <c r="N109" s="37" t="s">
        <v>1766</v>
      </c>
      <c r="O109" s="43" t="s">
        <v>5447</v>
      </c>
      <c r="P109" s="69" t="s">
        <v>586</v>
      </c>
      <c r="Q109" s="37" t="s">
        <v>1766</v>
      </c>
      <c r="R109" s="37" t="s">
        <v>1766</v>
      </c>
      <c r="S109" s="37" t="s">
        <v>5250</v>
      </c>
      <c r="T109" s="41">
        <v>6</v>
      </c>
      <c r="U109" s="37" t="s">
        <v>1766</v>
      </c>
      <c r="V109" s="37" t="s">
        <v>5134</v>
      </c>
      <c r="W109" s="37" t="s">
        <v>1766</v>
      </c>
      <c r="X109" s="37" t="s">
        <v>1766</v>
      </c>
      <c r="Y109" s="37" t="s">
        <v>5242</v>
      </c>
      <c r="Z109" s="37" t="s">
        <v>1766</v>
      </c>
      <c r="AA109" s="37" t="s">
        <v>1766</v>
      </c>
      <c r="AB109" s="37" t="s">
        <v>5241</v>
      </c>
      <c r="AC109" s="37" t="s">
        <v>1728</v>
      </c>
      <c r="AD109" s="37" t="s">
        <v>1771</v>
      </c>
      <c r="AE109" s="37" t="s">
        <v>57</v>
      </c>
      <c r="AF109" s="37" t="s">
        <v>5138</v>
      </c>
      <c r="AG109" s="37" t="s">
        <v>5452</v>
      </c>
      <c r="AH109" s="37" t="s">
        <v>5452</v>
      </c>
      <c r="AJ109" s="37">
        <v>2.95</v>
      </c>
      <c r="AL109" s="47" t="s">
        <v>5504</v>
      </c>
      <c r="AM109" s="47" t="s">
        <v>5505</v>
      </c>
      <c r="AN109" s="47"/>
      <c r="AO109" s="47" t="s">
        <v>5506</v>
      </c>
      <c r="AP109" t="s">
        <v>5521</v>
      </c>
    </row>
    <row r="110" spans="1:42" s="37" customFormat="1" ht="14.25" customHeight="1" x14ac:dyDescent="0.3">
      <c r="A110" s="36" t="s">
        <v>5381</v>
      </c>
      <c r="B110" s="37" t="s">
        <v>5321</v>
      </c>
      <c r="C110" s="37" t="s">
        <v>5269</v>
      </c>
      <c r="D110" s="42">
        <v>5414404262530</v>
      </c>
      <c r="E110" s="39" t="s">
        <v>5444</v>
      </c>
      <c r="F110" s="39" t="s">
        <v>5445</v>
      </c>
      <c r="G110" s="37" t="s">
        <v>5239</v>
      </c>
      <c r="K110" s="37" t="s">
        <v>45</v>
      </c>
      <c r="L110" s="37" t="s">
        <v>5243</v>
      </c>
      <c r="M110" s="37" t="s">
        <v>5446</v>
      </c>
      <c r="N110" s="37" t="s">
        <v>1766</v>
      </c>
      <c r="O110" s="43" t="s">
        <v>5414</v>
      </c>
      <c r="P110" s="71" t="s">
        <v>61</v>
      </c>
      <c r="Q110" s="37" t="s">
        <v>1766</v>
      </c>
      <c r="R110" s="37" t="s">
        <v>1766</v>
      </c>
      <c r="S110" s="37" t="s">
        <v>5250</v>
      </c>
      <c r="T110" s="41">
        <v>6</v>
      </c>
      <c r="U110" s="37" t="s">
        <v>1766</v>
      </c>
      <c r="V110" s="37" t="s">
        <v>5134</v>
      </c>
      <c r="W110" s="37" t="s">
        <v>1766</v>
      </c>
      <c r="X110" s="37" t="s">
        <v>1766</v>
      </c>
      <c r="Y110" s="37" t="s">
        <v>5242</v>
      </c>
      <c r="Z110" s="37" t="s">
        <v>1766</v>
      </c>
      <c r="AA110" s="37" t="s">
        <v>1766</v>
      </c>
      <c r="AB110" s="37" t="s">
        <v>5241</v>
      </c>
      <c r="AC110" s="37" t="s">
        <v>1728</v>
      </c>
      <c r="AD110" s="37" t="s">
        <v>1771</v>
      </c>
      <c r="AE110" s="37" t="s">
        <v>57</v>
      </c>
      <c r="AF110" s="37" t="s">
        <v>5138</v>
      </c>
      <c r="AG110" s="37" t="s">
        <v>5452</v>
      </c>
      <c r="AH110" s="37" t="s">
        <v>5452</v>
      </c>
      <c r="AJ110" s="37">
        <v>2.95</v>
      </c>
      <c r="AL110" s="47" t="s">
        <v>5504</v>
      </c>
      <c r="AM110" s="47" t="s">
        <v>5505</v>
      </c>
      <c r="AN110" s="47"/>
      <c r="AO110" s="47" t="s">
        <v>5506</v>
      </c>
      <c r="AP110" t="s">
        <v>5521</v>
      </c>
    </row>
    <row r="111" spans="1:42" s="37" customFormat="1" ht="14.25" customHeight="1" x14ac:dyDescent="0.3">
      <c r="A111" s="36" t="s">
        <v>5383</v>
      </c>
      <c r="B111" s="37" t="s">
        <v>5323</v>
      </c>
      <c r="C111" s="37" t="s">
        <v>5269</v>
      </c>
      <c r="D111" s="42">
        <v>5414404262554</v>
      </c>
      <c r="E111" s="39" t="s">
        <v>5444</v>
      </c>
      <c r="F111" s="39" t="s">
        <v>5445</v>
      </c>
      <c r="G111" s="37" t="s">
        <v>5239</v>
      </c>
      <c r="K111" s="37" t="s">
        <v>45</v>
      </c>
      <c r="L111" s="37" t="s">
        <v>5243</v>
      </c>
      <c r="M111" s="37" t="s">
        <v>5446</v>
      </c>
      <c r="N111" s="37" t="s">
        <v>1766</v>
      </c>
      <c r="O111" s="43" t="s">
        <v>5448</v>
      </c>
      <c r="P111" s="71" t="s">
        <v>586</v>
      </c>
      <c r="Q111" s="37" t="s">
        <v>1766</v>
      </c>
      <c r="R111" s="37" t="s">
        <v>1766</v>
      </c>
      <c r="S111" s="37" t="s">
        <v>5250</v>
      </c>
      <c r="T111" s="41">
        <v>6</v>
      </c>
      <c r="U111" s="37" t="s">
        <v>1766</v>
      </c>
      <c r="V111" s="37" t="s">
        <v>5134</v>
      </c>
      <c r="W111" s="37" t="s">
        <v>1766</v>
      </c>
      <c r="X111" s="37" t="s">
        <v>1766</v>
      </c>
      <c r="Y111" s="37" t="s">
        <v>5242</v>
      </c>
      <c r="Z111" s="37" t="s">
        <v>1766</v>
      </c>
      <c r="AA111" s="37" t="s">
        <v>1766</v>
      </c>
      <c r="AB111" s="37" t="s">
        <v>5241</v>
      </c>
      <c r="AC111" s="37" t="s">
        <v>1728</v>
      </c>
      <c r="AD111" s="37" t="s">
        <v>1771</v>
      </c>
      <c r="AE111" s="37" t="s">
        <v>57</v>
      </c>
      <c r="AF111" s="37" t="s">
        <v>5138</v>
      </c>
      <c r="AG111" s="37" t="s">
        <v>5452</v>
      </c>
      <c r="AH111" s="37" t="s">
        <v>5452</v>
      </c>
      <c r="AJ111" s="37">
        <v>2.95</v>
      </c>
      <c r="AL111" s="47" t="s">
        <v>5504</v>
      </c>
      <c r="AM111" s="47" t="s">
        <v>5505</v>
      </c>
      <c r="AN111" s="47"/>
      <c r="AO111" s="47" t="s">
        <v>5506</v>
      </c>
      <c r="AP111" t="s">
        <v>5521</v>
      </c>
    </row>
    <row r="112" spans="1:42" s="37" customFormat="1" ht="14.25" customHeight="1" x14ac:dyDescent="0.3">
      <c r="A112" s="36" t="s">
        <v>5382</v>
      </c>
      <c r="B112" s="37" t="s">
        <v>5322</v>
      </c>
      <c r="C112" s="37" t="s">
        <v>5269</v>
      </c>
      <c r="D112" s="42">
        <v>5414404262547</v>
      </c>
      <c r="E112" s="39" t="s">
        <v>5444</v>
      </c>
      <c r="F112" s="39" t="s">
        <v>5445</v>
      </c>
      <c r="G112" s="37" t="s">
        <v>5239</v>
      </c>
      <c r="K112" s="37" t="s">
        <v>45</v>
      </c>
      <c r="L112" s="37" t="s">
        <v>5243</v>
      </c>
      <c r="M112" s="37" t="s">
        <v>5446</v>
      </c>
      <c r="N112" s="37" t="s">
        <v>1766</v>
      </c>
      <c r="O112" s="43" t="s">
        <v>5450</v>
      </c>
      <c r="P112" s="69" t="s">
        <v>586</v>
      </c>
      <c r="Q112" s="37" t="s">
        <v>1766</v>
      </c>
      <c r="R112" s="37" t="s">
        <v>1766</v>
      </c>
      <c r="S112" s="37" t="s">
        <v>5250</v>
      </c>
      <c r="T112" s="41">
        <v>6</v>
      </c>
      <c r="U112" s="37" t="s">
        <v>1766</v>
      </c>
      <c r="V112" s="37" t="s">
        <v>5134</v>
      </c>
      <c r="W112" s="37" t="s">
        <v>1766</v>
      </c>
      <c r="X112" s="37" t="s">
        <v>1766</v>
      </c>
      <c r="Y112" s="37" t="s">
        <v>5242</v>
      </c>
      <c r="Z112" s="37" t="s">
        <v>1766</v>
      </c>
      <c r="AA112" s="37" t="s">
        <v>1766</v>
      </c>
      <c r="AB112" s="37" t="s">
        <v>5241</v>
      </c>
      <c r="AC112" s="37" t="s">
        <v>1728</v>
      </c>
      <c r="AD112" s="37" t="s">
        <v>1771</v>
      </c>
      <c r="AE112" s="37" t="s">
        <v>57</v>
      </c>
      <c r="AF112" s="37" t="s">
        <v>5138</v>
      </c>
      <c r="AG112" s="37" t="s">
        <v>5452</v>
      </c>
      <c r="AH112" s="37" t="s">
        <v>5452</v>
      </c>
      <c r="AJ112" s="37">
        <v>2.95</v>
      </c>
      <c r="AL112" s="47" t="s">
        <v>5504</v>
      </c>
      <c r="AM112" s="47" t="s">
        <v>5505</v>
      </c>
      <c r="AN112" s="47"/>
      <c r="AO112" s="47" t="s">
        <v>5506</v>
      </c>
      <c r="AP112" t="s">
        <v>5521</v>
      </c>
    </row>
    <row r="113" spans="1:42" s="37" customFormat="1" ht="14.25" customHeight="1" x14ac:dyDescent="0.3">
      <c r="A113" s="36" t="s">
        <v>5385</v>
      </c>
      <c r="B113" s="37" t="s">
        <v>5325</v>
      </c>
      <c r="C113" s="37" t="s">
        <v>5269</v>
      </c>
      <c r="D113" s="42">
        <v>5414404262578</v>
      </c>
      <c r="E113" s="39" t="s">
        <v>5444</v>
      </c>
      <c r="F113" s="39" t="s">
        <v>5445</v>
      </c>
      <c r="G113" s="37" t="s">
        <v>5239</v>
      </c>
      <c r="K113" s="37" t="s">
        <v>45</v>
      </c>
      <c r="L113" s="37" t="s">
        <v>5243</v>
      </c>
      <c r="M113" s="37" t="s">
        <v>5446</v>
      </c>
      <c r="N113" s="37" t="s">
        <v>1766</v>
      </c>
      <c r="O113" s="43" t="s">
        <v>5449</v>
      </c>
      <c r="P113" s="71" t="s">
        <v>3268</v>
      </c>
      <c r="Q113" s="37" t="s">
        <v>1766</v>
      </c>
      <c r="R113" s="37" t="s">
        <v>1766</v>
      </c>
      <c r="S113" s="37" t="s">
        <v>5250</v>
      </c>
      <c r="T113" s="41">
        <v>6</v>
      </c>
      <c r="U113" s="37" t="s">
        <v>1766</v>
      </c>
      <c r="V113" s="37" t="s">
        <v>5134</v>
      </c>
      <c r="W113" s="37" t="s">
        <v>1766</v>
      </c>
      <c r="X113" s="37" t="s">
        <v>1766</v>
      </c>
      <c r="Y113" s="37" t="s">
        <v>5242</v>
      </c>
      <c r="Z113" s="37" t="s">
        <v>1766</v>
      </c>
      <c r="AA113" s="37" t="s">
        <v>1766</v>
      </c>
      <c r="AB113" s="37" t="s">
        <v>5241</v>
      </c>
      <c r="AC113" s="37" t="s">
        <v>1728</v>
      </c>
      <c r="AD113" s="37" t="s">
        <v>1771</v>
      </c>
      <c r="AE113" s="37" t="s">
        <v>57</v>
      </c>
      <c r="AF113" s="37" t="s">
        <v>5138</v>
      </c>
      <c r="AG113" s="37" t="s">
        <v>5452</v>
      </c>
      <c r="AH113" s="37" t="s">
        <v>5452</v>
      </c>
      <c r="AJ113" s="37">
        <v>2.95</v>
      </c>
      <c r="AL113" s="47" t="s">
        <v>5504</v>
      </c>
      <c r="AM113" s="47" t="s">
        <v>5505</v>
      </c>
      <c r="AN113" s="47"/>
      <c r="AO113" s="47" t="s">
        <v>5506</v>
      </c>
      <c r="AP113" t="s">
        <v>5521</v>
      </c>
    </row>
    <row r="114" spans="1:42" s="37" customFormat="1" ht="14.25" customHeight="1" x14ac:dyDescent="0.3">
      <c r="A114" s="36" t="s">
        <v>5384</v>
      </c>
      <c r="B114" s="37" t="s">
        <v>5324</v>
      </c>
      <c r="C114" s="37" t="s">
        <v>5269</v>
      </c>
      <c r="D114" s="42">
        <v>5414404262561</v>
      </c>
      <c r="E114" s="39" t="s">
        <v>5444</v>
      </c>
      <c r="F114" s="39" t="s">
        <v>5445</v>
      </c>
      <c r="G114" s="37" t="s">
        <v>5239</v>
      </c>
      <c r="K114" s="37" t="s">
        <v>45</v>
      </c>
      <c r="L114" s="37" t="s">
        <v>5243</v>
      </c>
      <c r="M114" s="37" t="s">
        <v>5446</v>
      </c>
      <c r="N114" s="37" t="s">
        <v>1766</v>
      </c>
      <c r="O114" s="43" t="s">
        <v>5399</v>
      </c>
      <c r="P114" s="71" t="s">
        <v>5624</v>
      </c>
      <c r="Q114" s="37" t="s">
        <v>1766</v>
      </c>
      <c r="R114" s="37" t="s">
        <v>1766</v>
      </c>
      <c r="S114" s="37" t="s">
        <v>5250</v>
      </c>
      <c r="T114" s="41">
        <v>6</v>
      </c>
      <c r="U114" s="37" t="s">
        <v>1766</v>
      </c>
      <c r="V114" s="37" t="s">
        <v>5134</v>
      </c>
      <c r="W114" s="37" t="s">
        <v>1766</v>
      </c>
      <c r="X114" s="37" t="s">
        <v>1766</v>
      </c>
      <c r="Y114" s="37" t="s">
        <v>5242</v>
      </c>
      <c r="Z114" s="37" t="s">
        <v>1766</v>
      </c>
      <c r="AA114" s="37" t="s">
        <v>1766</v>
      </c>
      <c r="AB114" s="37" t="s">
        <v>5241</v>
      </c>
      <c r="AC114" s="37" t="s">
        <v>1728</v>
      </c>
      <c r="AD114" s="37" t="s">
        <v>1771</v>
      </c>
      <c r="AE114" s="37" t="s">
        <v>57</v>
      </c>
      <c r="AF114" s="37" t="s">
        <v>5138</v>
      </c>
      <c r="AG114" s="37" t="s">
        <v>5452</v>
      </c>
      <c r="AH114" s="37" t="s">
        <v>5452</v>
      </c>
      <c r="AJ114" s="37">
        <v>2.95</v>
      </c>
      <c r="AL114" s="47" t="s">
        <v>5504</v>
      </c>
      <c r="AM114" s="47" t="s">
        <v>5505</v>
      </c>
      <c r="AN114" s="47"/>
      <c r="AO114" s="47" t="s">
        <v>5506</v>
      </c>
      <c r="AP114" t="s">
        <v>5521</v>
      </c>
    </row>
    <row r="115" spans="1:42" s="37" customFormat="1" ht="14.25" customHeight="1" x14ac:dyDescent="0.3">
      <c r="A115" s="36" t="s">
        <v>5386</v>
      </c>
      <c r="B115" s="37" t="s">
        <v>5326</v>
      </c>
      <c r="C115" s="37" t="s">
        <v>5269</v>
      </c>
      <c r="D115" s="42">
        <v>5414404262585</v>
      </c>
      <c r="E115" s="39" t="s">
        <v>5444</v>
      </c>
      <c r="F115" s="39" t="s">
        <v>5445</v>
      </c>
      <c r="G115" s="37" t="s">
        <v>5239</v>
      </c>
      <c r="K115" s="37" t="s">
        <v>45</v>
      </c>
      <c r="L115" s="37" t="s">
        <v>5243</v>
      </c>
      <c r="M115" s="37" t="s">
        <v>5446</v>
      </c>
      <c r="N115" s="37" t="s">
        <v>1766</v>
      </c>
      <c r="O115" s="43" t="s">
        <v>5443</v>
      </c>
      <c r="P115" s="71" t="s">
        <v>61</v>
      </c>
      <c r="Q115" s="37" t="s">
        <v>1766</v>
      </c>
      <c r="R115" s="37" t="s">
        <v>1766</v>
      </c>
      <c r="S115" s="37" t="s">
        <v>5250</v>
      </c>
      <c r="T115" s="41">
        <v>6</v>
      </c>
      <c r="U115" s="37" t="s">
        <v>1766</v>
      </c>
      <c r="V115" s="37" t="s">
        <v>5134</v>
      </c>
      <c r="W115" s="37" t="s">
        <v>1766</v>
      </c>
      <c r="X115" s="37" t="s">
        <v>1766</v>
      </c>
      <c r="Y115" s="37" t="s">
        <v>5242</v>
      </c>
      <c r="Z115" s="37" t="s">
        <v>1766</v>
      </c>
      <c r="AA115" s="37" t="s">
        <v>1766</v>
      </c>
      <c r="AB115" s="37" t="s">
        <v>5241</v>
      </c>
      <c r="AC115" s="37" t="s">
        <v>1728</v>
      </c>
      <c r="AD115" s="37" t="s">
        <v>1771</v>
      </c>
      <c r="AE115" s="37" t="s">
        <v>57</v>
      </c>
      <c r="AF115" s="37" t="s">
        <v>5138</v>
      </c>
      <c r="AG115" s="37" t="s">
        <v>5452</v>
      </c>
      <c r="AH115" s="37" t="s">
        <v>5452</v>
      </c>
      <c r="AJ115" s="37">
        <v>2.95</v>
      </c>
      <c r="AL115" s="47" t="s">
        <v>5504</v>
      </c>
      <c r="AM115" s="47" t="s">
        <v>5505</v>
      </c>
      <c r="AN115" s="47"/>
      <c r="AO115" s="47" t="s">
        <v>5506</v>
      </c>
      <c r="AP115" t="s">
        <v>5521</v>
      </c>
    </row>
    <row r="116" spans="1:42" s="37" customFormat="1" ht="14.25" customHeight="1" x14ac:dyDescent="0.3">
      <c r="A116" s="36" t="s">
        <v>5387</v>
      </c>
      <c r="B116" s="37" t="s">
        <v>5327</v>
      </c>
      <c r="C116" s="37" t="s">
        <v>5269</v>
      </c>
      <c r="D116" s="42">
        <v>5414404262592</v>
      </c>
      <c r="E116" s="39" t="s">
        <v>5444</v>
      </c>
      <c r="F116" s="39" t="s">
        <v>5445</v>
      </c>
      <c r="G116" s="37" t="s">
        <v>5239</v>
      </c>
      <c r="K116" s="37" t="s">
        <v>45</v>
      </c>
      <c r="L116" s="37" t="s">
        <v>5243</v>
      </c>
      <c r="M116" s="37" t="s">
        <v>5446</v>
      </c>
      <c r="N116" s="37" t="s">
        <v>1766</v>
      </c>
      <c r="O116" s="43" t="s">
        <v>5450</v>
      </c>
      <c r="P116" s="69" t="s">
        <v>586</v>
      </c>
      <c r="Q116" s="37" t="s">
        <v>1766</v>
      </c>
      <c r="R116" s="37" t="s">
        <v>1766</v>
      </c>
      <c r="S116" s="37" t="s">
        <v>5250</v>
      </c>
      <c r="T116" s="41">
        <v>6</v>
      </c>
      <c r="U116" s="37" t="s">
        <v>1766</v>
      </c>
      <c r="V116" s="37" t="s">
        <v>5134</v>
      </c>
      <c r="W116" s="37" t="s">
        <v>1766</v>
      </c>
      <c r="X116" s="37" t="s">
        <v>1766</v>
      </c>
      <c r="Y116" s="37" t="s">
        <v>5242</v>
      </c>
      <c r="Z116" s="37" t="s">
        <v>1766</v>
      </c>
      <c r="AA116" s="37" t="s">
        <v>1766</v>
      </c>
      <c r="AB116" s="37" t="s">
        <v>5241</v>
      </c>
      <c r="AC116" s="37" t="s">
        <v>1728</v>
      </c>
      <c r="AD116" s="37" t="s">
        <v>1771</v>
      </c>
      <c r="AE116" s="37" t="s">
        <v>57</v>
      </c>
      <c r="AF116" s="37" t="s">
        <v>5138</v>
      </c>
      <c r="AG116" s="37" t="s">
        <v>5452</v>
      </c>
      <c r="AH116" s="37" t="s">
        <v>5452</v>
      </c>
      <c r="AJ116" s="37">
        <v>2.95</v>
      </c>
      <c r="AL116" s="47" t="s">
        <v>5504</v>
      </c>
      <c r="AM116" s="47" t="s">
        <v>5505</v>
      </c>
      <c r="AN116" s="47"/>
      <c r="AO116" s="47" t="s">
        <v>5506</v>
      </c>
      <c r="AP116" t="s">
        <v>5521</v>
      </c>
    </row>
    <row r="117" spans="1:42" s="37" customFormat="1" ht="14.25" customHeight="1" x14ac:dyDescent="0.3">
      <c r="A117" s="36" t="s">
        <v>5389</v>
      </c>
      <c r="B117" s="37" t="s">
        <v>5329</v>
      </c>
      <c r="C117" s="37" t="s">
        <v>5269</v>
      </c>
      <c r="D117" s="42">
        <v>5414404262615</v>
      </c>
      <c r="E117" s="39" t="s">
        <v>5444</v>
      </c>
      <c r="F117" s="39" t="s">
        <v>5445</v>
      </c>
      <c r="G117" s="37" t="s">
        <v>5239</v>
      </c>
      <c r="K117" s="37" t="s">
        <v>45</v>
      </c>
      <c r="L117" s="37" t="s">
        <v>5243</v>
      </c>
      <c r="M117" s="37" t="s">
        <v>5446</v>
      </c>
      <c r="N117" s="37" t="s">
        <v>1766</v>
      </c>
      <c r="O117" s="43" t="s">
        <v>5429</v>
      </c>
      <c r="P117" s="71" t="s">
        <v>3268</v>
      </c>
      <c r="Q117" s="37" t="s">
        <v>1766</v>
      </c>
      <c r="R117" s="37" t="s">
        <v>1766</v>
      </c>
      <c r="S117" s="37" t="s">
        <v>5250</v>
      </c>
      <c r="T117" s="41">
        <v>6</v>
      </c>
      <c r="U117" s="37" t="s">
        <v>1766</v>
      </c>
      <c r="V117" s="37" t="s">
        <v>5134</v>
      </c>
      <c r="W117" s="37" t="s">
        <v>1766</v>
      </c>
      <c r="X117" s="37" t="s">
        <v>1766</v>
      </c>
      <c r="Y117" s="37" t="s">
        <v>5242</v>
      </c>
      <c r="Z117" s="37" t="s">
        <v>1766</v>
      </c>
      <c r="AA117" s="37" t="s">
        <v>1766</v>
      </c>
      <c r="AB117" s="37" t="s">
        <v>5241</v>
      </c>
      <c r="AC117" s="37" t="s">
        <v>1728</v>
      </c>
      <c r="AD117" s="37" t="s">
        <v>1771</v>
      </c>
      <c r="AE117" s="37" t="s">
        <v>57</v>
      </c>
      <c r="AF117" s="37" t="s">
        <v>5138</v>
      </c>
      <c r="AG117" s="37" t="s">
        <v>5452</v>
      </c>
      <c r="AH117" s="37" t="s">
        <v>5452</v>
      </c>
      <c r="AJ117" s="37">
        <v>2.95</v>
      </c>
      <c r="AL117" s="47" t="s">
        <v>5504</v>
      </c>
      <c r="AM117" s="47" t="s">
        <v>5505</v>
      </c>
      <c r="AN117" s="47"/>
      <c r="AO117" s="47" t="s">
        <v>5506</v>
      </c>
      <c r="AP117" t="s">
        <v>5521</v>
      </c>
    </row>
    <row r="118" spans="1:42" s="37" customFormat="1" ht="14.25" customHeight="1" x14ac:dyDescent="0.3">
      <c r="A118" s="36" t="s">
        <v>5388</v>
      </c>
      <c r="B118" s="37" t="s">
        <v>5328</v>
      </c>
      <c r="C118" s="37" t="s">
        <v>5269</v>
      </c>
      <c r="D118" s="42">
        <v>5414404262608</v>
      </c>
      <c r="E118" s="39" t="s">
        <v>5444</v>
      </c>
      <c r="F118" s="39" t="s">
        <v>5445</v>
      </c>
      <c r="G118" s="37" t="s">
        <v>5239</v>
      </c>
      <c r="K118" s="37" t="s">
        <v>45</v>
      </c>
      <c r="L118" s="37" t="s">
        <v>5243</v>
      </c>
      <c r="M118" s="37" t="s">
        <v>5446</v>
      </c>
      <c r="N118" s="37" t="s">
        <v>1766</v>
      </c>
      <c r="O118" s="43" t="s">
        <v>5451</v>
      </c>
      <c r="P118" s="69" t="s">
        <v>586</v>
      </c>
      <c r="Q118" s="37" t="s">
        <v>1766</v>
      </c>
      <c r="R118" s="37" t="s">
        <v>1766</v>
      </c>
      <c r="S118" s="37" t="s">
        <v>5250</v>
      </c>
      <c r="T118" s="41">
        <v>6</v>
      </c>
      <c r="U118" s="37" t="s">
        <v>1766</v>
      </c>
      <c r="V118" s="37" t="s">
        <v>5134</v>
      </c>
      <c r="W118" s="37" t="s">
        <v>1766</v>
      </c>
      <c r="X118" s="37" t="s">
        <v>1766</v>
      </c>
      <c r="Y118" s="37" t="s">
        <v>5242</v>
      </c>
      <c r="Z118" s="37" t="s">
        <v>1766</v>
      </c>
      <c r="AA118" s="37" t="s">
        <v>1766</v>
      </c>
      <c r="AB118" s="37" t="s">
        <v>5241</v>
      </c>
      <c r="AC118" s="37" t="s">
        <v>1728</v>
      </c>
      <c r="AD118" s="37" t="s">
        <v>1771</v>
      </c>
      <c r="AE118" s="37" t="s">
        <v>57</v>
      </c>
      <c r="AF118" s="37" t="s">
        <v>5138</v>
      </c>
      <c r="AG118" s="37" t="s">
        <v>5452</v>
      </c>
      <c r="AH118" s="37" t="s">
        <v>5452</v>
      </c>
      <c r="AJ118" s="37">
        <v>2.95</v>
      </c>
      <c r="AL118" s="47" t="s">
        <v>5504</v>
      </c>
      <c r="AM118" s="47" t="s">
        <v>5505</v>
      </c>
      <c r="AN118" s="47"/>
      <c r="AO118" s="47" t="s">
        <v>5506</v>
      </c>
      <c r="AP118" t="s">
        <v>5521</v>
      </c>
    </row>
    <row r="119" spans="1:42" s="37" customFormat="1" ht="14.25" customHeight="1" x14ac:dyDescent="0.3">
      <c r="A119" s="36" t="s">
        <v>5228</v>
      </c>
      <c r="B119" s="37" t="s">
        <v>5201</v>
      </c>
      <c r="C119" s="37" t="s">
        <v>5181</v>
      </c>
      <c r="D119" s="42">
        <v>5414404260499</v>
      </c>
      <c r="E119" s="39" t="s">
        <v>5252</v>
      </c>
      <c r="F119" s="37" t="s">
        <v>5253</v>
      </c>
      <c r="G119" s="37" t="s">
        <v>5239</v>
      </c>
      <c r="K119" s="37" t="s">
        <v>45</v>
      </c>
      <c r="L119" s="37" t="s">
        <v>5243</v>
      </c>
      <c r="M119" s="37" t="s">
        <v>5251</v>
      </c>
      <c r="N119" s="37" t="s">
        <v>1766</v>
      </c>
      <c r="O119" s="43" t="s">
        <v>5259</v>
      </c>
      <c r="P119" s="71" t="s">
        <v>5624</v>
      </c>
      <c r="Q119" s="37" t="s">
        <v>1766</v>
      </c>
      <c r="R119" s="37" t="s">
        <v>1766</v>
      </c>
      <c r="S119" s="37" t="s">
        <v>5260</v>
      </c>
      <c r="T119" s="41">
        <v>9</v>
      </c>
      <c r="U119" s="37" t="s">
        <v>1766</v>
      </c>
      <c r="V119" s="37" t="s">
        <v>5134</v>
      </c>
      <c r="W119" s="37" t="s">
        <v>1766</v>
      </c>
      <c r="X119" s="37" t="s">
        <v>1766</v>
      </c>
      <c r="Y119" s="37" t="s">
        <v>5242</v>
      </c>
      <c r="Z119" s="37" t="s">
        <v>1766</v>
      </c>
      <c r="AA119" s="37" t="s">
        <v>1766</v>
      </c>
      <c r="AB119" s="37" t="s">
        <v>5241</v>
      </c>
      <c r="AC119" s="37" t="s">
        <v>1728</v>
      </c>
      <c r="AD119" s="37" t="s">
        <v>1771</v>
      </c>
      <c r="AE119" s="37" t="s">
        <v>57</v>
      </c>
      <c r="AF119" s="37" t="s">
        <v>5138</v>
      </c>
      <c r="AG119" s="37" t="s">
        <v>5261</v>
      </c>
      <c r="AH119" s="37" t="s">
        <v>5261</v>
      </c>
      <c r="AJ119" s="37">
        <v>2.2000000000000002</v>
      </c>
      <c r="AL119" s="47" t="s">
        <v>5495</v>
      </c>
      <c r="AM119" s="47" t="s">
        <v>5496</v>
      </c>
      <c r="AN119" s="47"/>
      <c r="AO119" s="47" t="s">
        <v>5497</v>
      </c>
      <c r="AP119" t="s">
        <v>5521</v>
      </c>
    </row>
    <row r="120" spans="1:42" s="37" customFormat="1" ht="14.25" customHeight="1" x14ac:dyDescent="0.3">
      <c r="A120" s="36" t="s">
        <v>5221</v>
      </c>
      <c r="B120" s="37" t="s">
        <v>5194</v>
      </c>
      <c r="C120" s="37" t="s">
        <v>5181</v>
      </c>
      <c r="D120" s="42">
        <v>5414404260420</v>
      </c>
      <c r="E120" s="39" t="s">
        <v>5252</v>
      </c>
      <c r="F120" s="37" t="s">
        <v>5253</v>
      </c>
      <c r="G120" s="37" t="s">
        <v>5239</v>
      </c>
      <c r="K120" s="37" t="s">
        <v>45</v>
      </c>
      <c r="L120" s="37" t="s">
        <v>5243</v>
      </c>
      <c r="M120" s="37" t="s">
        <v>5251</v>
      </c>
      <c r="N120" s="37" t="s">
        <v>1766</v>
      </c>
      <c r="O120" s="43" t="s">
        <v>5257</v>
      </c>
      <c r="P120" s="71" t="s">
        <v>5624</v>
      </c>
      <c r="Q120" s="37" t="s">
        <v>1766</v>
      </c>
      <c r="R120" s="37" t="s">
        <v>1766</v>
      </c>
      <c r="S120" s="37" t="s">
        <v>5260</v>
      </c>
      <c r="T120" s="41">
        <v>9</v>
      </c>
      <c r="U120" s="37" t="s">
        <v>1766</v>
      </c>
      <c r="V120" s="37" t="s">
        <v>5134</v>
      </c>
      <c r="W120" s="37" t="s">
        <v>1766</v>
      </c>
      <c r="X120" s="37" t="s">
        <v>1766</v>
      </c>
      <c r="Y120" s="37" t="s">
        <v>5242</v>
      </c>
      <c r="Z120" s="37" t="s">
        <v>1766</v>
      </c>
      <c r="AA120" s="37" t="s">
        <v>1766</v>
      </c>
      <c r="AB120" s="37" t="s">
        <v>5241</v>
      </c>
      <c r="AC120" s="37" t="s">
        <v>1728</v>
      </c>
      <c r="AD120" s="37" t="s">
        <v>1771</v>
      </c>
      <c r="AE120" s="37" t="s">
        <v>57</v>
      </c>
      <c r="AF120" s="37" t="s">
        <v>5138</v>
      </c>
      <c r="AG120" s="37" t="s">
        <v>5261</v>
      </c>
      <c r="AH120" s="37" t="s">
        <v>5261</v>
      </c>
      <c r="AJ120" s="37">
        <v>2.2000000000000002</v>
      </c>
      <c r="AL120" s="47" t="s">
        <v>5495</v>
      </c>
      <c r="AM120" s="47" t="s">
        <v>5496</v>
      </c>
      <c r="AN120" s="47"/>
      <c r="AO120" s="47" t="s">
        <v>5497</v>
      </c>
      <c r="AP120" t="s">
        <v>5521</v>
      </c>
    </row>
    <row r="121" spans="1:42" s="37" customFormat="1" ht="14.25" customHeight="1" x14ac:dyDescent="0.3">
      <c r="A121" s="36" t="s">
        <v>5217</v>
      </c>
      <c r="B121" s="37" t="s">
        <v>5190</v>
      </c>
      <c r="C121" s="37" t="s">
        <v>5181</v>
      </c>
      <c r="D121" s="42">
        <v>5414404260383</v>
      </c>
      <c r="E121" s="39" t="s">
        <v>5252</v>
      </c>
      <c r="F121" s="37" t="s">
        <v>5236</v>
      </c>
      <c r="G121" s="37" t="s">
        <v>5239</v>
      </c>
      <c r="K121" s="37" t="s">
        <v>45</v>
      </c>
      <c r="L121" s="37" t="s">
        <v>5243</v>
      </c>
      <c r="M121" s="37" t="s">
        <v>5251</v>
      </c>
      <c r="N121" s="37" t="s">
        <v>1766</v>
      </c>
      <c r="O121" s="43" t="s">
        <v>5255</v>
      </c>
      <c r="P121" s="71" t="s">
        <v>5624</v>
      </c>
      <c r="Q121" s="37" t="s">
        <v>1766</v>
      </c>
      <c r="R121" s="37" t="s">
        <v>1766</v>
      </c>
      <c r="S121" s="37" t="s">
        <v>5260</v>
      </c>
      <c r="T121" s="41">
        <v>9</v>
      </c>
      <c r="U121" s="37" t="s">
        <v>1766</v>
      </c>
      <c r="V121" s="37" t="s">
        <v>5134</v>
      </c>
      <c r="W121" s="37" t="s">
        <v>1766</v>
      </c>
      <c r="X121" s="37" t="s">
        <v>1766</v>
      </c>
      <c r="Y121" s="37" t="s">
        <v>5242</v>
      </c>
      <c r="Z121" s="37" t="s">
        <v>1766</v>
      </c>
      <c r="AA121" s="37" t="s">
        <v>1766</v>
      </c>
      <c r="AB121" s="37" t="s">
        <v>5241</v>
      </c>
      <c r="AC121" s="37" t="s">
        <v>1728</v>
      </c>
      <c r="AD121" s="37" t="s">
        <v>1771</v>
      </c>
      <c r="AE121" s="37" t="s">
        <v>57</v>
      </c>
      <c r="AF121" s="37" t="s">
        <v>5138</v>
      </c>
      <c r="AG121" s="37" t="s">
        <v>5261</v>
      </c>
      <c r="AH121" s="37" t="s">
        <v>5261</v>
      </c>
      <c r="AJ121" s="37">
        <v>2.2000000000000002</v>
      </c>
      <c r="AL121" s="47" t="s">
        <v>5495</v>
      </c>
      <c r="AM121" s="47" t="s">
        <v>5496</v>
      </c>
      <c r="AN121" s="47"/>
      <c r="AO121" s="47" t="s">
        <v>5497</v>
      </c>
      <c r="AP121" t="s">
        <v>5521</v>
      </c>
    </row>
    <row r="122" spans="1:42" s="37" customFormat="1" ht="14.25" customHeight="1" x14ac:dyDescent="0.3">
      <c r="A122" s="36" t="s">
        <v>5218</v>
      </c>
      <c r="B122" s="37" t="s">
        <v>5191</v>
      </c>
      <c r="C122" s="37" t="s">
        <v>5181</v>
      </c>
      <c r="D122" s="42">
        <v>5414404260390</v>
      </c>
      <c r="E122" s="39" t="s">
        <v>5252</v>
      </c>
      <c r="F122" s="37" t="s">
        <v>5237</v>
      </c>
      <c r="G122" s="37" t="s">
        <v>5239</v>
      </c>
      <c r="K122" s="37" t="s">
        <v>45</v>
      </c>
      <c r="L122" s="37" t="s">
        <v>5243</v>
      </c>
      <c r="M122" s="37" t="s">
        <v>5251</v>
      </c>
      <c r="N122" s="37" t="s">
        <v>1766</v>
      </c>
      <c r="O122" s="43" t="s">
        <v>5256</v>
      </c>
      <c r="P122" s="71" t="s">
        <v>5624</v>
      </c>
      <c r="Q122" s="37" t="s">
        <v>1766</v>
      </c>
      <c r="R122" s="37" t="s">
        <v>1766</v>
      </c>
      <c r="S122" s="37" t="s">
        <v>5260</v>
      </c>
      <c r="T122" s="41">
        <v>9</v>
      </c>
      <c r="U122" s="37" t="s">
        <v>1766</v>
      </c>
      <c r="V122" s="37" t="s">
        <v>5134</v>
      </c>
      <c r="W122" s="37" t="s">
        <v>1766</v>
      </c>
      <c r="X122" s="37" t="s">
        <v>1766</v>
      </c>
      <c r="Y122" s="37" t="s">
        <v>5242</v>
      </c>
      <c r="Z122" s="37" t="s">
        <v>1766</v>
      </c>
      <c r="AA122" s="37" t="s">
        <v>1766</v>
      </c>
      <c r="AB122" s="37" t="s">
        <v>5241</v>
      </c>
      <c r="AC122" s="37" t="s">
        <v>1728</v>
      </c>
      <c r="AD122" s="37" t="s">
        <v>1771</v>
      </c>
      <c r="AE122" s="37" t="s">
        <v>57</v>
      </c>
      <c r="AF122" s="37" t="s">
        <v>5138</v>
      </c>
      <c r="AG122" s="37" t="s">
        <v>5261</v>
      </c>
      <c r="AH122" s="37" t="s">
        <v>5261</v>
      </c>
      <c r="AJ122" s="37">
        <v>2.2000000000000002</v>
      </c>
      <c r="AL122" s="47" t="s">
        <v>5495</v>
      </c>
      <c r="AM122" s="47" t="s">
        <v>5496</v>
      </c>
      <c r="AN122" s="47"/>
      <c r="AO122" s="47" t="s">
        <v>5497</v>
      </c>
      <c r="AP122" t="s">
        <v>5521</v>
      </c>
    </row>
    <row r="123" spans="1:42" s="37" customFormat="1" ht="14.25" customHeight="1" x14ac:dyDescent="0.3">
      <c r="A123" s="36" t="s">
        <v>5227</v>
      </c>
      <c r="B123" s="37" t="s">
        <v>5200</v>
      </c>
      <c r="C123" s="37" t="s">
        <v>5181</v>
      </c>
      <c r="D123" s="42">
        <v>5414404260482</v>
      </c>
      <c r="E123" s="39" t="s">
        <v>5252</v>
      </c>
      <c r="F123" s="37" t="s">
        <v>5253</v>
      </c>
      <c r="G123" s="37" t="s">
        <v>5239</v>
      </c>
      <c r="K123" s="37" t="s">
        <v>45</v>
      </c>
      <c r="L123" s="37" t="s">
        <v>5243</v>
      </c>
      <c r="M123" s="37" t="s">
        <v>5251</v>
      </c>
      <c r="N123" s="37" t="s">
        <v>1766</v>
      </c>
      <c r="O123" s="43" t="s">
        <v>5258</v>
      </c>
      <c r="P123" s="71" t="s">
        <v>5624</v>
      </c>
      <c r="Q123" s="37" t="s">
        <v>1766</v>
      </c>
      <c r="R123" s="37" t="s">
        <v>1766</v>
      </c>
      <c r="S123" s="37" t="s">
        <v>5260</v>
      </c>
      <c r="T123" s="41">
        <v>9</v>
      </c>
      <c r="U123" s="37" t="s">
        <v>1766</v>
      </c>
      <c r="V123" s="37" t="s">
        <v>5134</v>
      </c>
      <c r="W123" s="37" t="s">
        <v>1766</v>
      </c>
      <c r="X123" s="37" t="s">
        <v>1766</v>
      </c>
      <c r="Y123" s="37" t="s">
        <v>5242</v>
      </c>
      <c r="Z123" s="37" t="s">
        <v>1766</v>
      </c>
      <c r="AA123" s="37" t="s">
        <v>1766</v>
      </c>
      <c r="AB123" s="37" t="s">
        <v>5241</v>
      </c>
      <c r="AC123" s="37" t="s">
        <v>1728</v>
      </c>
      <c r="AD123" s="37" t="s">
        <v>1771</v>
      </c>
      <c r="AE123" s="37" t="s">
        <v>57</v>
      </c>
      <c r="AF123" s="37" t="s">
        <v>5138</v>
      </c>
      <c r="AG123" s="37" t="s">
        <v>5261</v>
      </c>
      <c r="AH123" s="37" t="s">
        <v>5261</v>
      </c>
      <c r="AJ123" s="37">
        <v>2.2000000000000002</v>
      </c>
      <c r="AL123" s="47" t="s">
        <v>5495</v>
      </c>
      <c r="AM123" s="47" t="s">
        <v>5496</v>
      </c>
      <c r="AN123" s="47"/>
      <c r="AO123" s="47" t="s">
        <v>5497</v>
      </c>
      <c r="AP123" t="s">
        <v>5521</v>
      </c>
    </row>
    <row r="124" spans="1:42" s="37" customFormat="1" ht="14.25" customHeight="1" x14ac:dyDescent="0.3">
      <c r="A124" s="36" t="s">
        <v>5216</v>
      </c>
      <c r="B124" s="37" t="s">
        <v>5189</v>
      </c>
      <c r="C124" s="37" t="s">
        <v>5181</v>
      </c>
      <c r="D124" s="42">
        <v>5414404260376</v>
      </c>
      <c r="E124" s="39" t="s">
        <v>5252</v>
      </c>
      <c r="F124" s="37" t="s">
        <v>5235</v>
      </c>
      <c r="G124" s="37" t="s">
        <v>5239</v>
      </c>
      <c r="K124" s="37" t="s">
        <v>45</v>
      </c>
      <c r="L124" s="37" t="s">
        <v>5243</v>
      </c>
      <c r="M124" s="37" t="s">
        <v>5251</v>
      </c>
      <c r="N124" s="37" t="s">
        <v>1766</v>
      </c>
      <c r="O124" s="43" t="s">
        <v>5254</v>
      </c>
      <c r="P124" s="71" t="s">
        <v>5624</v>
      </c>
      <c r="Q124" s="37" t="s">
        <v>1766</v>
      </c>
      <c r="R124" s="37" t="s">
        <v>1766</v>
      </c>
      <c r="S124" s="37" t="s">
        <v>5260</v>
      </c>
      <c r="T124" s="41">
        <v>9</v>
      </c>
      <c r="U124" s="37" t="s">
        <v>1766</v>
      </c>
      <c r="V124" s="37" t="s">
        <v>5134</v>
      </c>
      <c r="W124" s="37" t="s">
        <v>1766</v>
      </c>
      <c r="X124" s="37" t="s">
        <v>1766</v>
      </c>
      <c r="Y124" s="37" t="s">
        <v>5242</v>
      </c>
      <c r="Z124" s="37" t="s">
        <v>1766</v>
      </c>
      <c r="AA124" s="37" t="s">
        <v>1766</v>
      </c>
      <c r="AB124" s="37" t="s">
        <v>5241</v>
      </c>
      <c r="AC124" s="37" t="s">
        <v>1728</v>
      </c>
      <c r="AD124" s="37" t="s">
        <v>1771</v>
      </c>
      <c r="AE124" s="37" t="s">
        <v>57</v>
      </c>
      <c r="AF124" s="37" t="s">
        <v>5138</v>
      </c>
      <c r="AG124" s="37" t="s">
        <v>5261</v>
      </c>
      <c r="AH124" s="37" t="s">
        <v>5261</v>
      </c>
      <c r="AJ124" s="37">
        <v>2.2000000000000002</v>
      </c>
      <c r="AL124" s="47" t="s">
        <v>5495</v>
      </c>
      <c r="AM124" s="47" t="s">
        <v>5496</v>
      </c>
      <c r="AN124" s="47"/>
      <c r="AO124" s="47" t="s">
        <v>5497</v>
      </c>
      <c r="AP124" t="s">
        <v>5521</v>
      </c>
    </row>
    <row r="125" spans="1:42" s="37" customFormat="1" ht="14.25" customHeight="1" x14ac:dyDescent="0.3">
      <c r="A125" s="36" t="s">
        <v>5223</v>
      </c>
      <c r="B125" s="37" t="s">
        <v>5196</v>
      </c>
      <c r="C125" s="37" t="s">
        <v>5181</v>
      </c>
      <c r="D125" s="42">
        <v>5414404260444</v>
      </c>
      <c r="E125" s="39" t="s">
        <v>5252</v>
      </c>
      <c r="F125" s="37" t="s">
        <v>5253</v>
      </c>
      <c r="G125" s="37" t="s">
        <v>5239</v>
      </c>
      <c r="K125" s="37" t="s">
        <v>45</v>
      </c>
      <c r="L125" s="37" t="s">
        <v>5243</v>
      </c>
      <c r="M125" s="37" t="s">
        <v>5251</v>
      </c>
      <c r="N125" s="37" t="s">
        <v>1766</v>
      </c>
      <c r="O125" s="43" t="s">
        <v>5244</v>
      </c>
      <c r="P125" s="71" t="s">
        <v>5624</v>
      </c>
      <c r="Q125" s="37" t="s">
        <v>1766</v>
      </c>
      <c r="R125" s="37" t="s">
        <v>1766</v>
      </c>
      <c r="S125" s="37" t="s">
        <v>5260</v>
      </c>
      <c r="T125" s="41">
        <v>9</v>
      </c>
      <c r="U125" s="37" t="s">
        <v>1766</v>
      </c>
      <c r="V125" s="37" t="s">
        <v>5134</v>
      </c>
      <c r="W125" s="37" t="s">
        <v>1766</v>
      </c>
      <c r="X125" s="37" t="s">
        <v>1766</v>
      </c>
      <c r="Y125" s="37" t="s">
        <v>5242</v>
      </c>
      <c r="Z125" s="37" t="s">
        <v>1766</v>
      </c>
      <c r="AA125" s="37" t="s">
        <v>1766</v>
      </c>
      <c r="AB125" s="37" t="s">
        <v>5241</v>
      </c>
      <c r="AC125" s="37" t="s">
        <v>1728</v>
      </c>
      <c r="AD125" s="37" t="s">
        <v>1771</v>
      </c>
      <c r="AE125" s="37" t="s">
        <v>57</v>
      </c>
      <c r="AF125" s="37" t="s">
        <v>5138</v>
      </c>
      <c r="AG125" s="37" t="s">
        <v>5261</v>
      </c>
      <c r="AH125" s="37" t="s">
        <v>5261</v>
      </c>
      <c r="AJ125" s="37">
        <v>2.2000000000000002</v>
      </c>
      <c r="AL125" s="47" t="s">
        <v>5495</v>
      </c>
      <c r="AM125" s="47" t="s">
        <v>5496</v>
      </c>
      <c r="AN125" s="47"/>
      <c r="AO125" s="47" t="s">
        <v>5497</v>
      </c>
      <c r="AP125" t="s">
        <v>5521</v>
      </c>
    </row>
    <row r="126" spans="1:42" s="37" customFormat="1" ht="14.25" customHeight="1" x14ac:dyDescent="0.3">
      <c r="A126" s="36" t="s">
        <v>5234</v>
      </c>
      <c r="B126" s="37" t="s">
        <v>5207</v>
      </c>
      <c r="C126" s="37" t="s">
        <v>5181</v>
      </c>
      <c r="D126" s="42">
        <v>5414404260567</v>
      </c>
      <c r="E126" s="39" t="s">
        <v>5208</v>
      </c>
      <c r="F126" s="39" t="s">
        <v>5238</v>
      </c>
      <c r="G126" s="37" t="s">
        <v>5239</v>
      </c>
      <c r="K126" s="37" t="s">
        <v>45</v>
      </c>
      <c r="L126" s="37" t="s">
        <v>5243</v>
      </c>
      <c r="M126" s="37" t="s">
        <v>5240</v>
      </c>
      <c r="N126" s="37" t="s">
        <v>1766</v>
      </c>
      <c r="O126" s="43" t="s">
        <v>5248</v>
      </c>
      <c r="P126" s="71" t="s">
        <v>5624</v>
      </c>
      <c r="Q126" s="37" t="s">
        <v>1766</v>
      </c>
      <c r="R126" s="37" t="s">
        <v>1766</v>
      </c>
      <c r="S126" s="37" t="s">
        <v>5250</v>
      </c>
      <c r="T126" s="41">
        <v>6</v>
      </c>
      <c r="U126" s="37" t="s">
        <v>1766</v>
      </c>
      <c r="V126" s="37" t="s">
        <v>5134</v>
      </c>
      <c r="W126" s="37" t="s">
        <v>1766</v>
      </c>
      <c r="X126" s="37" t="s">
        <v>1766</v>
      </c>
      <c r="Y126" s="37" t="s">
        <v>5242</v>
      </c>
      <c r="Z126" s="37" t="s">
        <v>1766</v>
      </c>
      <c r="AA126" s="37" t="s">
        <v>1766</v>
      </c>
      <c r="AB126" s="37" t="s">
        <v>5241</v>
      </c>
      <c r="AC126" s="37" t="s">
        <v>1728</v>
      </c>
      <c r="AD126" s="37" t="s">
        <v>1771</v>
      </c>
      <c r="AE126" s="37" t="s">
        <v>57</v>
      </c>
      <c r="AF126" s="37" t="s">
        <v>5138</v>
      </c>
      <c r="AG126" s="37" t="s">
        <v>5249</v>
      </c>
      <c r="AH126" s="37" t="s">
        <v>5249</v>
      </c>
      <c r="AJ126" s="37">
        <v>2.95</v>
      </c>
      <c r="AL126" s="47" t="s">
        <v>5498</v>
      </c>
      <c r="AM126" s="47" t="s">
        <v>5499</v>
      </c>
      <c r="AN126" s="47"/>
      <c r="AO126" s="47" t="s">
        <v>5500</v>
      </c>
      <c r="AP126" t="s">
        <v>5521</v>
      </c>
    </row>
    <row r="127" spans="1:42" s="37" customFormat="1" ht="14.25" customHeight="1" x14ac:dyDescent="0.3">
      <c r="A127" s="36" t="s">
        <v>5233</v>
      </c>
      <c r="B127" s="37" t="s">
        <v>5206</v>
      </c>
      <c r="C127" s="37" t="s">
        <v>5181</v>
      </c>
      <c r="D127" s="42">
        <v>5414404260550</v>
      </c>
      <c r="E127" s="39" t="s">
        <v>5208</v>
      </c>
      <c r="F127" s="39" t="s">
        <v>5238</v>
      </c>
      <c r="G127" s="37" t="s">
        <v>5239</v>
      </c>
      <c r="K127" s="37" t="s">
        <v>45</v>
      </c>
      <c r="L127" s="37" t="s">
        <v>5243</v>
      </c>
      <c r="M127" s="37" t="s">
        <v>5240</v>
      </c>
      <c r="N127" s="37" t="s">
        <v>1766</v>
      </c>
      <c r="O127" s="43" t="s">
        <v>5247</v>
      </c>
      <c r="P127" s="71" t="s">
        <v>5624</v>
      </c>
      <c r="Q127" s="37" t="s">
        <v>1766</v>
      </c>
      <c r="R127" s="37" t="s">
        <v>1766</v>
      </c>
      <c r="S127" s="37" t="s">
        <v>5250</v>
      </c>
      <c r="T127" s="41">
        <v>6</v>
      </c>
      <c r="U127" s="37" t="s">
        <v>1766</v>
      </c>
      <c r="V127" s="37" t="s">
        <v>5134</v>
      </c>
      <c r="W127" s="37" t="s">
        <v>1766</v>
      </c>
      <c r="X127" s="37" t="s">
        <v>1766</v>
      </c>
      <c r="Y127" s="37" t="s">
        <v>5242</v>
      </c>
      <c r="Z127" s="37" t="s">
        <v>1766</v>
      </c>
      <c r="AA127" s="37" t="s">
        <v>1766</v>
      </c>
      <c r="AB127" s="37" t="s">
        <v>5241</v>
      </c>
      <c r="AC127" s="37" t="s">
        <v>1728</v>
      </c>
      <c r="AD127" s="37" t="s">
        <v>1771</v>
      </c>
      <c r="AE127" s="37" t="s">
        <v>57</v>
      </c>
      <c r="AF127" s="37" t="s">
        <v>5138</v>
      </c>
      <c r="AG127" s="37" t="s">
        <v>5249</v>
      </c>
      <c r="AH127" s="37" t="s">
        <v>5249</v>
      </c>
      <c r="AJ127" s="37">
        <v>2.95</v>
      </c>
      <c r="AL127" s="47" t="s">
        <v>5498</v>
      </c>
      <c r="AM127" s="47" t="s">
        <v>5499</v>
      </c>
      <c r="AN127" s="47"/>
      <c r="AO127" s="47" t="s">
        <v>5500</v>
      </c>
      <c r="AP127" t="s">
        <v>5521</v>
      </c>
    </row>
    <row r="128" spans="1:42" s="37" customFormat="1" ht="14.25" customHeight="1" x14ac:dyDescent="0.3">
      <c r="A128" s="36" t="s">
        <v>5232</v>
      </c>
      <c r="B128" s="37" t="s">
        <v>5205</v>
      </c>
      <c r="C128" s="37" t="s">
        <v>5181</v>
      </c>
      <c r="D128" s="42">
        <v>5414404260543</v>
      </c>
      <c r="E128" s="39" t="s">
        <v>5208</v>
      </c>
      <c r="F128" s="39" t="s">
        <v>5238</v>
      </c>
      <c r="G128" s="37" t="s">
        <v>5239</v>
      </c>
      <c r="K128" s="37" t="s">
        <v>45</v>
      </c>
      <c r="L128" s="37" t="s">
        <v>5243</v>
      </c>
      <c r="M128" s="37" t="s">
        <v>5240</v>
      </c>
      <c r="N128" s="37" t="s">
        <v>1766</v>
      </c>
      <c r="O128" s="43" t="s">
        <v>5246</v>
      </c>
      <c r="P128" s="71" t="s">
        <v>5624</v>
      </c>
      <c r="Q128" s="37" t="s">
        <v>1766</v>
      </c>
      <c r="R128" s="37" t="s">
        <v>1766</v>
      </c>
      <c r="S128" s="37" t="s">
        <v>5250</v>
      </c>
      <c r="T128" s="41">
        <v>6</v>
      </c>
      <c r="U128" s="37" t="s">
        <v>1766</v>
      </c>
      <c r="V128" s="37" t="s">
        <v>5134</v>
      </c>
      <c r="W128" s="37" t="s">
        <v>1766</v>
      </c>
      <c r="X128" s="37" t="s">
        <v>1766</v>
      </c>
      <c r="Y128" s="37" t="s">
        <v>5242</v>
      </c>
      <c r="Z128" s="37" t="s">
        <v>1766</v>
      </c>
      <c r="AA128" s="37" t="s">
        <v>1766</v>
      </c>
      <c r="AB128" s="37" t="s">
        <v>5241</v>
      </c>
      <c r="AC128" s="37" t="s">
        <v>1728</v>
      </c>
      <c r="AD128" s="37" t="s">
        <v>1771</v>
      </c>
      <c r="AE128" s="37" t="s">
        <v>57</v>
      </c>
      <c r="AF128" s="37" t="s">
        <v>5138</v>
      </c>
      <c r="AG128" s="37" t="s">
        <v>5249</v>
      </c>
      <c r="AH128" s="37" t="s">
        <v>5249</v>
      </c>
      <c r="AJ128" s="37">
        <v>2.95</v>
      </c>
      <c r="AL128" s="47" t="s">
        <v>5498</v>
      </c>
      <c r="AM128" s="47" t="s">
        <v>5499</v>
      </c>
      <c r="AN128" s="47"/>
      <c r="AO128" s="47" t="s">
        <v>5500</v>
      </c>
      <c r="AP128" t="s">
        <v>5521</v>
      </c>
    </row>
    <row r="129" spans="1:42" s="37" customFormat="1" ht="14.25" customHeight="1" x14ac:dyDescent="0.3">
      <c r="A129" s="36" t="s">
        <v>5231</v>
      </c>
      <c r="B129" s="37" t="s">
        <v>5204</v>
      </c>
      <c r="C129" s="37" t="s">
        <v>5181</v>
      </c>
      <c r="D129" s="42">
        <v>5414404260536</v>
      </c>
      <c r="E129" s="39" t="s">
        <v>5208</v>
      </c>
      <c r="F129" s="39" t="s">
        <v>5238</v>
      </c>
      <c r="G129" s="37" t="s">
        <v>5239</v>
      </c>
      <c r="K129" s="37" t="s">
        <v>45</v>
      </c>
      <c r="L129" s="37" t="s">
        <v>5243</v>
      </c>
      <c r="M129" s="37" t="s">
        <v>5240</v>
      </c>
      <c r="N129" s="37" t="s">
        <v>1766</v>
      </c>
      <c r="O129" s="43" t="s">
        <v>5245</v>
      </c>
      <c r="P129" s="71" t="s">
        <v>5624</v>
      </c>
      <c r="Q129" s="37" t="s">
        <v>1766</v>
      </c>
      <c r="R129" s="37" t="s">
        <v>1766</v>
      </c>
      <c r="S129" s="37" t="s">
        <v>5250</v>
      </c>
      <c r="T129" s="41">
        <v>6</v>
      </c>
      <c r="U129" s="37" t="s">
        <v>1766</v>
      </c>
      <c r="V129" s="37" t="s">
        <v>5134</v>
      </c>
      <c r="W129" s="37" t="s">
        <v>1766</v>
      </c>
      <c r="X129" s="37" t="s">
        <v>1766</v>
      </c>
      <c r="Y129" s="37" t="s">
        <v>5242</v>
      </c>
      <c r="Z129" s="37" t="s">
        <v>1766</v>
      </c>
      <c r="AA129" s="37" t="s">
        <v>1766</v>
      </c>
      <c r="AB129" s="37" t="s">
        <v>5241</v>
      </c>
      <c r="AC129" s="37" t="s">
        <v>1728</v>
      </c>
      <c r="AD129" s="37" t="s">
        <v>1771</v>
      </c>
      <c r="AE129" s="37" t="s">
        <v>57</v>
      </c>
      <c r="AF129" s="37" t="s">
        <v>5138</v>
      </c>
      <c r="AG129" s="37" t="s">
        <v>5249</v>
      </c>
      <c r="AH129" s="37" t="s">
        <v>5249</v>
      </c>
      <c r="AJ129" s="37">
        <v>2.95</v>
      </c>
      <c r="AL129" s="47" t="s">
        <v>5498</v>
      </c>
      <c r="AM129" s="47" t="s">
        <v>5499</v>
      </c>
      <c r="AN129" s="47"/>
      <c r="AO129" s="47" t="s">
        <v>5500</v>
      </c>
      <c r="AP129" t="s">
        <v>5521</v>
      </c>
    </row>
    <row r="130" spans="1:42" s="37" customFormat="1" ht="14.25" customHeight="1" x14ac:dyDescent="0.3">
      <c r="A130" s="36" t="s">
        <v>5230</v>
      </c>
      <c r="B130" s="37" t="s">
        <v>5203</v>
      </c>
      <c r="C130" s="37" t="s">
        <v>5181</v>
      </c>
      <c r="D130" s="42">
        <v>5414404260529</v>
      </c>
      <c r="E130" s="39" t="s">
        <v>5208</v>
      </c>
      <c r="F130" s="39" t="s">
        <v>5238</v>
      </c>
      <c r="G130" s="37" t="s">
        <v>5239</v>
      </c>
      <c r="K130" s="37" t="s">
        <v>45</v>
      </c>
      <c r="L130" s="37" t="s">
        <v>5243</v>
      </c>
      <c r="M130" s="37" t="s">
        <v>5240</v>
      </c>
      <c r="N130" s="37" t="s">
        <v>1766</v>
      </c>
      <c r="O130" s="43" t="s">
        <v>5244</v>
      </c>
      <c r="P130" s="71" t="s">
        <v>5624</v>
      </c>
      <c r="Q130" s="37" t="s">
        <v>1766</v>
      </c>
      <c r="R130" s="37" t="s">
        <v>1766</v>
      </c>
      <c r="S130" s="37" t="s">
        <v>5250</v>
      </c>
      <c r="T130" s="41">
        <v>6</v>
      </c>
      <c r="U130" s="37" t="s">
        <v>1766</v>
      </c>
      <c r="V130" s="37" t="s">
        <v>5134</v>
      </c>
      <c r="W130" s="37" t="s">
        <v>1766</v>
      </c>
      <c r="X130" s="37" t="s">
        <v>1766</v>
      </c>
      <c r="Y130" s="37" t="s">
        <v>5242</v>
      </c>
      <c r="Z130" s="37" t="s">
        <v>1766</v>
      </c>
      <c r="AA130" s="37" t="s">
        <v>1766</v>
      </c>
      <c r="AB130" s="37" t="s">
        <v>5241</v>
      </c>
      <c r="AC130" s="37" t="s">
        <v>1728</v>
      </c>
      <c r="AD130" s="37" t="s">
        <v>1771</v>
      </c>
      <c r="AE130" s="37" t="s">
        <v>57</v>
      </c>
      <c r="AF130" s="37" t="s">
        <v>5138</v>
      </c>
      <c r="AG130" s="37" t="s">
        <v>5249</v>
      </c>
      <c r="AH130" s="37" t="s">
        <v>5249</v>
      </c>
      <c r="AJ130" s="37">
        <v>2.95</v>
      </c>
      <c r="AL130" s="47" t="s">
        <v>5498</v>
      </c>
      <c r="AM130" s="47" t="s">
        <v>5499</v>
      </c>
      <c r="AN130" s="47"/>
      <c r="AO130" s="47" t="s">
        <v>5500</v>
      </c>
      <c r="AP130" t="s">
        <v>5521</v>
      </c>
    </row>
    <row r="131" spans="1:42" s="37" customFormat="1" ht="14.25" customHeight="1" x14ac:dyDescent="0.3">
      <c r="A131" s="36" t="s">
        <v>5214</v>
      </c>
      <c r="B131" s="37" t="s">
        <v>5187</v>
      </c>
      <c r="C131" s="37" t="s">
        <v>5181</v>
      </c>
      <c r="D131" s="42">
        <v>5414404261199</v>
      </c>
      <c r="E131" s="39" t="s">
        <v>5262</v>
      </c>
      <c r="F131" s="39" t="s">
        <v>5263</v>
      </c>
      <c r="G131" s="37" t="s">
        <v>5239</v>
      </c>
      <c r="K131" s="37" t="s">
        <v>45</v>
      </c>
      <c r="L131" s="37" t="s">
        <v>5243</v>
      </c>
      <c r="M131" s="37" t="s">
        <v>5251</v>
      </c>
      <c r="N131" s="37" t="s">
        <v>1766</v>
      </c>
      <c r="O131" s="43" t="s">
        <v>5248</v>
      </c>
      <c r="P131" s="71" t="s">
        <v>5624</v>
      </c>
      <c r="Q131" s="37" t="s">
        <v>1766</v>
      </c>
      <c r="R131" s="37" t="s">
        <v>1766</v>
      </c>
      <c r="S131" s="37" t="s">
        <v>5250</v>
      </c>
      <c r="T131" s="41">
        <v>9</v>
      </c>
      <c r="U131" s="37" t="s">
        <v>1766</v>
      </c>
      <c r="V131" s="37" t="s">
        <v>5134</v>
      </c>
      <c r="W131" s="37" t="s">
        <v>1766</v>
      </c>
      <c r="X131" s="37" t="s">
        <v>1766</v>
      </c>
      <c r="Y131" s="37" t="s">
        <v>5242</v>
      </c>
      <c r="Z131" s="37" t="s">
        <v>1766</v>
      </c>
      <c r="AA131" s="37" t="s">
        <v>1766</v>
      </c>
      <c r="AB131" s="37" t="s">
        <v>5241</v>
      </c>
      <c r="AC131" s="37" t="s">
        <v>1728</v>
      </c>
      <c r="AD131" s="37" t="s">
        <v>1771</v>
      </c>
      <c r="AE131" s="37" t="s">
        <v>57</v>
      </c>
      <c r="AF131" s="37" t="s">
        <v>5138</v>
      </c>
      <c r="AG131" s="37" t="s">
        <v>5268</v>
      </c>
      <c r="AH131" s="37" t="s">
        <v>5268</v>
      </c>
      <c r="AJ131" s="37">
        <v>2.2000000000000002</v>
      </c>
      <c r="AL131" s="47" t="s">
        <v>5495</v>
      </c>
      <c r="AM131" s="47" t="s">
        <v>5496</v>
      </c>
      <c r="AN131" s="47"/>
      <c r="AO131" s="47" t="s">
        <v>5497</v>
      </c>
      <c r="AP131" t="s">
        <v>5521</v>
      </c>
    </row>
    <row r="132" spans="1:42" s="37" customFormat="1" ht="14.25" customHeight="1" x14ac:dyDescent="0.3">
      <c r="A132" s="36" t="s">
        <v>5211</v>
      </c>
      <c r="B132" s="37" t="s">
        <v>5184</v>
      </c>
      <c r="C132" s="37" t="s">
        <v>5181</v>
      </c>
      <c r="D132" s="42">
        <v>5414404261168</v>
      </c>
      <c r="E132" s="39" t="s">
        <v>5262</v>
      </c>
      <c r="F132" s="39" t="s">
        <v>5263</v>
      </c>
      <c r="G132" s="37" t="s">
        <v>5239</v>
      </c>
      <c r="K132" s="37" t="s">
        <v>45</v>
      </c>
      <c r="L132" s="37" t="s">
        <v>5243</v>
      </c>
      <c r="M132" s="37" t="s">
        <v>5251</v>
      </c>
      <c r="N132" s="37" t="s">
        <v>1766</v>
      </c>
      <c r="O132" s="43" t="s">
        <v>5247</v>
      </c>
      <c r="P132" s="71" t="s">
        <v>5624</v>
      </c>
      <c r="Q132" s="37" t="s">
        <v>1766</v>
      </c>
      <c r="R132" s="37" t="s">
        <v>1766</v>
      </c>
      <c r="S132" s="37" t="s">
        <v>5250</v>
      </c>
      <c r="T132" s="41">
        <v>9</v>
      </c>
      <c r="U132" s="37" t="s">
        <v>1766</v>
      </c>
      <c r="V132" s="37" t="s">
        <v>5134</v>
      </c>
      <c r="W132" s="37" t="s">
        <v>1766</v>
      </c>
      <c r="X132" s="37" t="s">
        <v>1766</v>
      </c>
      <c r="Y132" s="37" t="s">
        <v>5242</v>
      </c>
      <c r="Z132" s="37" t="s">
        <v>1766</v>
      </c>
      <c r="AA132" s="37" t="s">
        <v>1766</v>
      </c>
      <c r="AB132" s="37" t="s">
        <v>5241</v>
      </c>
      <c r="AC132" s="37" t="s">
        <v>1728</v>
      </c>
      <c r="AD132" s="37" t="s">
        <v>1771</v>
      </c>
      <c r="AE132" s="37" t="s">
        <v>57</v>
      </c>
      <c r="AF132" s="37" t="s">
        <v>5138</v>
      </c>
      <c r="AG132" s="37" t="s">
        <v>5268</v>
      </c>
      <c r="AH132" s="37" t="s">
        <v>5268</v>
      </c>
      <c r="AJ132" s="37">
        <v>2.2000000000000002</v>
      </c>
      <c r="AL132" s="47" t="s">
        <v>5495</v>
      </c>
      <c r="AM132" s="47" t="s">
        <v>5496</v>
      </c>
      <c r="AN132" s="47"/>
      <c r="AO132" s="47" t="s">
        <v>5497</v>
      </c>
      <c r="AP132" t="s">
        <v>5521</v>
      </c>
    </row>
    <row r="133" spans="1:42" s="37" customFormat="1" ht="14.25" customHeight="1" x14ac:dyDescent="0.3">
      <c r="A133" s="36" t="s">
        <v>5213</v>
      </c>
      <c r="B133" s="37" t="s">
        <v>5186</v>
      </c>
      <c r="C133" s="37" t="s">
        <v>5181</v>
      </c>
      <c r="D133" s="42">
        <v>5414404261182</v>
      </c>
      <c r="E133" s="39" t="s">
        <v>5262</v>
      </c>
      <c r="F133" s="39" t="s">
        <v>5263</v>
      </c>
      <c r="G133" s="37" t="s">
        <v>5239</v>
      </c>
      <c r="K133" s="37" t="s">
        <v>45</v>
      </c>
      <c r="L133" s="37" t="s">
        <v>5243</v>
      </c>
      <c r="M133" s="37" t="s">
        <v>5251</v>
      </c>
      <c r="N133" s="37" t="s">
        <v>1766</v>
      </c>
      <c r="O133" s="43" t="s">
        <v>5267</v>
      </c>
      <c r="P133" s="71" t="s">
        <v>5624</v>
      </c>
      <c r="Q133" s="37" t="s">
        <v>1766</v>
      </c>
      <c r="R133" s="37" t="s">
        <v>1766</v>
      </c>
      <c r="S133" s="37" t="s">
        <v>5250</v>
      </c>
      <c r="T133" s="41">
        <v>9</v>
      </c>
      <c r="U133" s="37" t="s">
        <v>1766</v>
      </c>
      <c r="V133" s="37" t="s">
        <v>5134</v>
      </c>
      <c r="W133" s="37" t="s">
        <v>1766</v>
      </c>
      <c r="X133" s="37" t="s">
        <v>1766</v>
      </c>
      <c r="Y133" s="37" t="s">
        <v>5242</v>
      </c>
      <c r="Z133" s="37" t="s">
        <v>1766</v>
      </c>
      <c r="AA133" s="37" t="s">
        <v>1766</v>
      </c>
      <c r="AB133" s="37" t="s">
        <v>5241</v>
      </c>
      <c r="AC133" s="37" t="s">
        <v>1728</v>
      </c>
      <c r="AD133" s="37" t="s">
        <v>1771</v>
      </c>
      <c r="AE133" s="37" t="s">
        <v>57</v>
      </c>
      <c r="AF133" s="37" t="s">
        <v>5138</v>
      </c>
      <c r="AG133" s="37" t="s">
        <v>5268</v>
      </c>
      <c r="AH133" s="37" t="s">
        <v>5268</v>
      </c>
      <c r="AJ133" s="37">
        <v>2.2000000000000002</v>
      </c>
      <c r="AL133" s="47" t="s">
        <v>5495</v>
      </c>
      <c r="AM133" s="47" t="s">
        <v>5496</v>
      </c>
      <c r="AN133" s="47"/>
      <c r="AO133" s="47" t="s">
        <v>5497</v>
      </c>
      <c r="AP133" t="s">
        <v>5521</v>
      </c>
    </row>
    <row r="134" spans="1:42" s="37" customFormat="1" ht="14.25" customHeight="1" x14ac:dyDescent="0.3">
      <c r="A134" s="36" t="s">
        <v>5210</v>
      </c>
      <c r="B134" s="37" t="s">
        <v>5183</v>
      </c>
      <c r="C134" s="37" t="s">
        <v>5181</v>
      </c>
      <c r="D134" s="42">
        <v>5414404261151</v>
      </c>
      <c r="E134" s="39" t="s">
        <v>5262</v>
      </c>
      <c r="F134" s="39" t="s">
        <v>5263</v>
      </c>
      <c r="G134" s="37" t="s">
        <v>5239</v>
      </c>
      <c r="K134" s="37" t="s">
        <v>45</v>
      </c>
      <c r="L134" s="37" t="s">
        <v>5243</v>
      </c>
      <c r="M134" s="37" t="s">
        <v>5251</v>
      </c>
      <c r="N134" s="37" t="s">
        <v>1766</v>
      </c>
      <c r="O134" s="43" t="s">
        <v>5265</v>
      </c>
      <c r="P134" s="71" t="s">
        <v>5624</v>
      </c>
      <c r="Q134" s="37" t="s">
        <v>1766</v>
      </c>
      <c r="R134" s="37" t="s">
        <v>1766</v>
      </c>
      <c r="S134" s="37" t="s">
        <v>5250</v>
      </c>
      <c r="T134" s="41">
        <v>9</v>
      </c>
      <c r="U134" s="37" t="s">
        <v>1766</v>
      </c>
      <c r="V134" s="37" t="s">
        <v>5134</v>
      </c>
      <c r="W134" s="37" t="s">
        <v>1766</v>
      </c>
      <c r="X134" s="37" t="s">
        <v>1766</v>
      </c>
      <c r="Y134" s="37" t="s">
        <v>5242</v>
      </c>
      <c r="Z134" s="37" t="s">
        <v>1766</v>
      </c>
      <c r="AA134" s="37" t="s">
        <v>1766</v>
      </c>
      <c r="AB134" s="37" t="s">
        <v>5241</v>
      </c>
      <c r="AC134" s="37" t="s">
        <v>1728</v>
      </c>
      <c r="AD134" s="37" t="s">
        <v>1771</v>
      </c>
      <c r="AE134" s="37" t="s">
        <v>57</v>
      </c>
      <c r="AF134" s="37" t="s">
        <v>5138</v>
      </c>
      <c r="AG134" s="37" t="s">
        <v>5268</v>
      </c>
      <c r="AH134" s="37" t="s">
        <v>5268</v>
      </c>
      <c r="AJ134" s="37">
        <v>2.2000000000000002</v>
      </c>
      <c r="AL134" s="47" t="s">
        <v>5495</v>
      </c>
      <c r="AM134" s="47" t="s">
        <v>5496</v>
      </c>
      <c r="AN134" s="47"/>
      <c r="AO134" s="47" t="s">
        <v>5497</v>
      </c>
      <c r="AP134" t="s">
        <v>5521</v>
      </c>
    </row>
    <row r="135" spans="1:42" s="37" customFormat="1" ht="14.25" customHeight="1" x14ac:dyDescent="0.3">
      <c r="A135" s="36" t="s">
        <v>5212</v>
      </c>
      <c r="B135" s="37" t="s">
        <v>5185</v>
      </c>
      <c r="C135" s="37" t="s">
        <v>5181</v>
      </c>
      <c r="D135" s="42">
        <v>5414404261175</v>
      </c>
      <c r="E135" s="39" t="s">
        <v>5262</v>
      </c>
      <c r="F135" s="39" t="s">
        <v>5263</v>
      </c>
      <c r="G135" s="37" t="s">
        <v>5239</v>
      </c>
      <c r="K135" s="37" t="s">
        <v>45</v>
      </c>
      <c r="L135" s="37" t="s">
        <v>5243</v>
      </c>
      <c r="M135" s="37" t="s">
        <v>5251</v>
      </c>
      <c r="N135" s="37" t="s">
        <v>1766</v>
      </c>
      <c r="O135" s="43" t="s">
        <v>5266</v>
      </c>
      <c r="P135" s="71" t="s">
        <v>5624</v>
      </c>
      <c r="Q135" s="43" t="s">
        <v>1766</v>
      </c>
      <c r="R135" s="37" t="s">
        <v>1766</v>
      </c>
      <c r="S135" s="37" t="s">
        <v>5250</v>
      </c>
      <c r="T135" s="41">
        <v>9</v>
      </c>
      <c r="U135" s="37" t="s">
        <v>1766</v>
      </c>
      <c r="V135" s="37" t="s">
        <v>5134</v>
      </c>
      <c r="W135" s="37" t="s">
        <v>1766</v>
      </c>
      <c r="X135" s="37" t="s">
        <v>1766</v>
      </c>
      <c r="Y135" s="37" t="s">
        <v>5242</v>
      </c>
      <c r="Z135" s="37" t="s">
        <v>1766</v>
      </c>
      <c r="AA135" s="37" t="s">
        <v>1766</v>
      </c>
      <c r="AB135" s="37" t="s">
        <v>5241</v>
      </c>
      <c r="AC135" s="37" t="s">
        <v>1728</v>
      </c>
      <c r="AD135" s="37" t="s">
        <v>1771</v>
      </c>
      <c r="AE135" s="37" t="s">
        <v>57</v>
      </c>
      <c r="AF135" s="37" t="s">
        <v>5138</v>
      </c>
      <c r="AG135" s="37" t="s">
        <v>5268</v>
      </c>
      <c r="AH135" s="37" t="s">
        <v>5268</v>
      </c>
      <c r="AJ135" s="37">
        <v>2.2000000000000002</v>
      </c>
      <c r="AL135" s="47" t="s">
        <v>5495</v>
      </c>
      <c r="AM135" s="47" t="s">
        <v>5496</v>
      </c>
      <c r="AN135" s="47"/>
      <c r="AO135" s="47" t="s">
        <v>5497</v>
      </c>
      <c r="AP135" t="s">
        <v>5521</v>
      </c>
    </row>
    <row r="136" spans="1:42" s="37" customFormat="1" ht="14.25" customHeight="1" x14ac:dyDescent="0.3">
      <c r="A136" s="36" t="s">
        <v>5229</v>
      </c>
      <c r="B136" s="37" t="s">
        <v>5202</v>
      </c>
      <c r="C136" s="37" t="s">
        <v>5181</v>
      </c>
      <c r="D136" s="42">
        <v>5414404260505</v>
      </c>
      <c r="E136" s="39" t="s">
        <v>5252</v>
      </c>
      <c r="F136" s="37" t="s">
        <v>5253</v>
      </c>
      <c r="G136" s="37" t="s">
        <v>5239</v>
      </c>
      <c r="K136" s="37" t="s">
        <v>45</v>
      </c>
      <c r="L136" s="37" t="s">
        <v>5243</v>
      </c>
      <c r="M136" s="37" t="s">
        <v>5251</v>
      </c>
      <c r="N136" s="37" t="s">
        <v>1766</v>
      </c>
      <c r="O136" s="43" t="s">
        <v>5248</v>
      </c>
      <c r="P136" s="71" t="s">
        <v>5624</v>
      </c>
      <c r="Q136" s="43" t="s">
        <v>1766</v>
      </c>
      <c r="R136" s="37" t="s">
        <v>1766</v>
      </c>
      <c r="S136" s="37" t="s">
        <v>5260</v>
      </c>
      <c r="T136" s="41">
        <v>9</v>
      </c>
      <c r="U136" s="37" t="s">
        <v>1766</v>
      </c>
      <c r="V136" s="37" t="s">
        <v>5134</v>
      </c>
      <c r="W136" s="37" t="s">
        <v>1766</v>
      </c>
      <c r="X136" s="37" t="s">
        <v>1766</v>
      </c>
      <c r="Y136" s="37" t="s">
        <v>5242</v>
      </c>
      <c r="Z136" s="37" t="s">
        <v>1766</v>
      </c>
      <c r="AA136" s="37" t="s">
        <v>1766</v>
      </c>
      <c r="AB136" s="37" t="s">
        <v>5241</v>
      </c>
      <c r="AC136" s="37" t="s">
        <v>1728</v>
      </c>
      <c r="AD136" s="37" t="s">
        <v>1771</v>
      </c>
      <c r="AE136" s="37" t="s">
        <v>57</v>
      </c>
      <c r="AF136" s="37" t="s">
        <v>5138</v>
      </c>
      <c r="AG136" s="37" t="s">
        <v>5261</v>
      </c>
      <c r="AH136" s="37" t="s">
        <v>5261</v>
      </c>
      <c r="AJ136" s="37">
        <v>2.2000000000000002</v>
      </c>
      <c r="AL136" s="47" t="s">
        <v>5495</v>
      </c>
      <c r="AM136" s="47" t="s">
        <v>5496</v>
      </c>
      <c r="AN136" s="47"/>
      <c r="AO136" s="47" t="s">
        <v>5497</v>
      </c>
      <c r="AP136" t="s">
        <v>5521</v>
      </c>
    </row>
    <row r="137" spans="1:42" s="37" customFormat="1" ht="14.25" customHeight="1" x14ac:dyDescent="0.3">
      <c r="A137" s="36" t="s">
        <v>5220</v>
      </c>
      <c r="B137" s="37" t="s">
        <v>5193</v>
      </c>
      <c r="C137" s="37" t="s">
        <v>5181</v>
      </c>
      <c r="D137" s="42">
        <v>5414404260413</v>
      </c>
      <c r="E137" s="39" t="s">
        <v>5252</v>
      </c>
      <c r="F137" s="37" t="s">
        <v>5253</v>
      </c>
      <c r="G137" s="37" t="s">
        <v>5239</v>
      </c>
      <c r="K137" s="37" t="s">
        <v>45</v>
      </c>
      <c r="L137" s="37" t="s">
        <v>5243</v>
      </c>
      <c r="M137" s="37" t="s">
        <v>5251</v>
      </c>
      <c r="N137" s="37" t="s">
        <v>1766</v>
      </c>
      <c r="O137" s="43" t="s">
        <v>5247</v>
      </c>
      <c r="P137" s="71" t="s">
        <v>5624</v>
      </c>
      <c r="Q137" s="43" t="s">
        <v>1766</v>
      </c>
      <c r="R137" s="37" t="s">
        <v>1766</v>
      </c>
      <c r="S137" s="37" t="s">
        <v>5260</v>
      </c>
      <c r="T137" s="41">
        <v>9</v>
      </c>
      <c r="U137" s="37" t="s">
        <v>1766</v>
      </c>
      <c r="V137" s="37" t="s">
        <v>5134</v>
      </c>
      <c r="W137" s="37" t="s">
        <v>1766</v>
      </c>
      <c r="X137" s="37" t="s">
        <v>1766</v>
      </c>
      <c r="Y137" s="37" t="s">
        <v>5242</v>
      </c>
      <c r="Z137" s="37" t="s">
        <v>1766</v>
      </c>
      <c r="AA137" s="37" t="s">
        <v>1766</v>
      </c>
      <c r="AB137" s="37" t="s">
        <v>5241</v>
      </c>
      <c r="AC137" s="37" t="s">
        <v>1728</v>
      </c>
      <c r="AD137" s="37" t="s">
        <v>1771</v>
      </c>
      <c r="AE137" s="37" t="s">
        <v>57</v>
      </c>
      <c r="AF137" s="37" t="s">
        <v>5138</v>
      </c>
      <c r="AG137" s="37" t="s">
        <v>5261</v>
      </c>
      <c r="AH137" s="37" t="s">
        <v>5261</v>
      </c>
      <c r="AJ137" s="37">
        <v>2.2000000000000002</v>
      </c>
      <c r="AL137" s="47" t="s">
        <v>5495</v>
      </c>
      <c r="AM137" s="47" t="s">
        <v>5496</v>
      </c>
      <c r="AN137" s="47"/>
      <c r="AO137" s="47" t="s">
        <v>5497</v>
      </c>
      <c r="AP137" t="s">
        <v>5521</v>
      </c>
    </row>
    <row r="138" spans="1:42" s="37" customFormat="1" ht="14.25" customHeight="1" x14ac:dyDescent="0.3">
      <c r="A138" s="36" t="s">
        <v>5225</v>
      </c>
      <c r="B138" s="37" t="s">
        <v>5198</v>
      </c>
      <c r="C138" s="37" t="s">
        <v>5181</v>
      </c>
      <c r="D138" s="42">
        <v>5414404260468</v>
      </c>
      <c r="E138" s="39" t="s">
        <v>5252</v>
      </c>
      <c r="F138" s="37" t="s">
        <v>5253</v>
      </c>
      <c r="G138" s="37" t="s">
        <v>5239</v>
      </c>
      <c r="K138" s="37" t="s">
        <v>45</v>
      </c>
      <c r="L138" s="37" t="s">
        <v>5243</v>
      </c>
      <c r="M138" s="37" t="s">
        <v>5251</v>
      </c>
      <c r="N138" s="37" t="s">
        <v>1766</v>
      </c>
      <c r="O138" s="43" t="s">
        <v>5267</v>
      </c>
      <c r="P138" s="71" t="s">
        <v>5624</v>
      </c>
      <c r="Q138" s="43" t="s">
        <v>1766</v>
      </c>
      <c r="R138" s="37" t="s">
        <v>1766</v>
      </c>
      <c r="S138" s="37" t="s">
        <v>5260</v>
      </c>
      <c r="T138" s="41">
        <v>9</v>
      </c>
      <c r="U138" s="37" t="s">
        <v>1766</v>
      </c>
      <c r="V138" s="37" t="s">
        <v>5134</v>
      </c>
      <c r="W138" s="37" t="s">
        <v>1766</v>
      </c>
      <c r="X138" s="37" t="s">
        <v>1766</v>
      </c>
      <c r="Y138" s="37" t="s">
        <v>5242</v>
      </c>
      <c r="Z138" s="37" t="s">
        <v>1766</v>
      </c>
      <c r="AA138" s="37" t="s">
        <v>1766</v>
      </c>
      <c r="AB138" s="37" t="s">
        <v>5241</v>
      </c>
      <c r="AC138" s="37" t="s">
        <v>1728</v>
      </c>
      <c r="AD138" s="37" t="s">
        <v>1771</v>
      </c>
      <c r="AE138" s="37" t="s">
        <v>57</v>
      </c>
      <c r="AF138" s="37" t="s">
        <v>5138</v>
      </c>
      <c r="AG138" s="37" t="s">
        <v>5261</v>
      </c>
      <c r="AH138" s="37" t="s">
        <v>5261</v>
      </c>
      <c r="AJ138" s="37">
        <v>2.2000000000000002</v>
      </c>
      <c r="AL138" s="47" t="s">
        <v>5495</v>
      </c>
      <c r="AM138" s="47" t="s">
        <v>5496</v>
      </c>
      <c r="AN138" s="47"/>
      <c r="AO138" s="47" t="s">
        <v>5497</v>
      </c>
      <c r="AP138" t="s">
        <v>5521</v>
      </c>
    </row>
    <row r="139" spans="1:42" s="37" customFormat="1" ht="14.25" customHeight="1" x14ac:dyDescent="0.3">
      <c r="A139" s="36" t="s">
        <v>5226</v>
      </c>
      <c r="B139" s="37" t="s">
        <v>5199</v>
      </c>
      <c r="C139" s="37" t="s">
        <v>5181</v>
      </c>
      <c r="D139" s="42">
        <v>5414404260475</v>
      </c>
      <c r="E139" s="39" t="s">
        <v>5252</v>
      </c>
      <c r="F139" s="37" t="s">
        <v>5253</v>
      </c>
      <c r="G139" s="37" t="s">
        <v>5239</v>
      </c>
      <c r="K139" s="37" t="s">
        <v>45</v>
      </c>
      <c r="L139" s="37" t="s">
        <v>5243</v>
      </c>
      <c r="M139" s="37" t="s">
        <v>5251</v>
      </c>
      <c r="N139" s="37" t="s">
        <v>1766</v>
      </c>
      <c r="O139" s="43" t="s">
        <v>5246</v>
      </c>
      <c r="P139" s="71" t="s">
        <v>5624</v>
      </c>
      <c r="Q139" s="43" t="s">
        <v>1766</v>
      </c>
      <c r="R139" s="37" t="s">
        <v>1766</v>
      </c>
      <c r="S139" s="37" t="s">
        <v>5260</v>
      </c>
      <c r="T139" s="41">
        <v>9</v>
      </c>
      <c r="U139" s="37" t="s">
        <v>1766</v>
      </c>
      <c r="V139" s="37" t="s">
        <v>5134</v>
      </c>
      <c r="W139" s="37" t="s">
        <v>1766</v>
      </c>
      <c r="X139" s="37" t="s">
        <v>1766</v>
      </c>
      <c r="Y139" s="37" t="s">
        <v>5242</v>
      </c>
      <c r="Z139" s="37" t="s">
        <v>1766</v>
      </c>
      <c r="AA139" s="37" t="s">
        <v>1766</v>
      </c>
      <c r="AB139" s="37" t="s">
        <v>5241</v>
      </c>
      <c r="AC139" s="37" t="s">
        <v>1728</v>
      </c>
      <c r="AD139" s="37" t="s">
        <v>1771</v>
      </c>
      <c r="AE139" s="37" t="s">
        <v>57</v>
      </c>
      <c r="AF139" s="37" t="s">
        <v>5138</v>
      </c>
      <c r="AG139" s="37" t="s">
        <v>5261</v>
      </c>
      <c r="AH139" s="37" t="s">
        <v>5261</v>
      </c>
      <c r="AJ139" s="37">
        <v>2.2000000000000002</v>
      </c>
      <c r="AL139" s="47" t="s">
        <v>5495</v>
      </c>
      <c r="AM139" s="47" t="s">
        <v>5496</v>
      </c>
      <c r="AN139" s="47"/>
      <c r="AO139" s="47" t="s">
        <v>5497</v>
      </c>
      <c r="AP139" t="s">
        <v>5521</v>
      </c>
    </row>
    <row r="140" spans="1:42" s="37" customFormat="1" ht="14.25" customHeight="1" x14ac:dyDescent="0.3">
      <c r="A140" s="36" t="s">
        <v>5224</v>
      </c>
      <c r="B140" s="37" t="s">
        <v>5197</v>
      </c>
      <c r="C140" s="37" t="s">
        <v>5181</v>
      </c>
      <c r="D140" s="42">
        <v>5414404260451</v>
      </c>
      <c r="E140" s="39" t="s">
        <v>5252</v>
      </c>
      <c r="F140" s="37" t="s">
        <v>5253</v>
      </c>
      <c r="G140" s="37" t="s">
        <v>5239</v>
      </c>
      <c r="K140" s="37" t="s">
        <v>45</v>
      </c>
      <c r="L140" s="37" t="s">
        <v>5243</v>
      </c>
      <c r="M140" s="37" t="s">
        <v>5251</v>
      </c>
      <c r="N140" s="37" t="s">
        <v>1766</v>
      </c>
      <c r="O140" s="43" t="s">
        <v>5245</v>
      </c>
      <c r="P140" s="71" t="s">
        <v>5624</v>
      </c>
      <c r="Q140" s="43" t="s">
        <v>1766</v>
      </c>
      <c r="R140" s="37" t="s">
        <v>1766</v>
      </c>
      <c r="S140" s="37" t="s">
        <v>5260</v>
      </c>
      <c r="T140" s="41">
        <v>9</v>
      </c>
      <c r="U140" s="37" t="s">
        <v>1766</v>
      </c>
      <c r="V140" s="37" t="s">
        <v>5134</v>
      </c>
      <c r="W140" s="37" t="s">
        <v>1766</v>
      </c>
      <c r="X140" s="37" t="s">
        <v>1766</v>
      </c>
      <c r="Y140" s="37" t="s">
        <v>5242</v>
      </c>
      <c r="Z140" s="37" t="s">
        <v>1766</v>
      </c>
      <c r="AA140" s="37" t="s">
        <v>1766</v>
      </c>
      <c r="AB140" s="37" t="s">
        <v>5241</v>
      </c>
      <c r="AC140" s="37" t="s">
        <v>1728</v>
      </c>
      <c r="AD140" s="37" t="s">
        <v>1771</v>
      </c>
      <c r="AE140" s="37" t="s">
        <v>57</v>
      </c>
      <c r="AF140" s="37" t="s">
        <v>5138</v>
      </c>
      <c r="AG140" s="37" t="s">
        <v>5261</v>
      </c>
      <c r="AH140" s="37" t="s">
        <v>5261</v>
      </c>
      <c r="AJ140" s="37">
        <v>2.2000000000000002</v>
      </c>
      <c r="AL140" s="47" t="s">
        <v>5495</v>
      </c>
      <c r="AM140" s="47" t="s">
        <v>5496</v>
      </c>
      <c r="AN140" s="47"/>
      <c r="AO140" s="47" t="s">
        <v>5497</v>
      </c>
      <c r="AP140" t="s">
        <v>5521</v>
      </c>
    </row>
    <row r="141" spans="1:42" s="37" customFormat="1" ht="14.25" customHeight="1" x14ac:dyDescent="0.3">
      <c r="A141" s="36" t="s">
        <v>5219</v>
      </c>
      <c r="B141" s="37" t="s">
        <v>5192</v>
      </c>
      <c r="C141" s="37" t="s">
        <v>5181</v>
      </c>
      <c r="D141" s="42">
        <v>5414404260406</v>
      </c>
      <c r="E141" s="39" t="s">
        <v>5252</v>
      </c>
      <c r="F141" s="37" t="s">
        <v>5253</v>
      </c>
      <c r="G141" s="37" t="s">
        <v>5239</v>
      </c>
      <c r="K141" s="37" t="s">
        <v>45</v>
      </c>
      <c r="L141" s="37" t="s">
        <v>5243</v>
      </c>
      <c r="M141" s="37" t="s">
        <v>5251</v>
      </c>
      <c r="N141" s="37" t="s">
        <v>1766</v>
      </c>
      <c r="O141" s="43" t="s">
        <v>5265</v>
      </c>
      <c r="P141" s="71" t="s">
        <v>5624</v>
      </c>
      <c r="Q141" s="43" t="s">
        <v>1766</v>
      </c>
      <c r="R141" s="37" t="s">
        <v>1766</v>
      </c>
      <c r="S141" s="37" t="s">
        <v>5260</v>
      </c>
      <c r="T141" s="41">
        <v>9</v>
      </c>
      <c r="U141" s="37" t="s">
        <v>1766</v>
      </c>
      <c r="V141" s="37" t="s">
        <v>5134</v>
      </c>
      <c r="W141" s="37" t="s">
        <v>1766</v>
      </c>
      <c r="X141" s="37" t="s">
        <v>1766</v>
      </c>
      <c r="Y141" s="37" t="s">
        <v>5242</v>
      </c>
      <c r="Z141" s="37" t="s">
        <v>1766</v>
      </c>
      <c r="AA141" s="37" t="s">
        <v>1766</v>
      </c>
      <c r="AB141" s="37" t="s">
        <v>5241</v>
      </c>
      <c r="AC141" s="37" t="s">
        <v>1728</v>
      </c>
      <c r="AD141" s="37" t="s">
        <v>1771</v>
      </c>
      <c r="AE141" s="37" t="s">
        <v>57</v>
      </c>
      <c r="AF141" s="37" t="s">
        <v>5138</v>
      </c>
      <c r="AG141" s="37" t="s">
        <v>5261</v>
      </c>
      <c r="AH141" s="37" t="s">
        <v>5261</v>
      </c>
      <c r="AJ141" s="37">
        <v>2.2000000000000002</v>
      </c>
      <c r="AL141" s="47" t="s">
        <v>5495</v>
      </c>
      <c r="AM141" s="47" t="s">
        <v>5496</v>
      </c>
      <c r="AN141" s="47"/>
      <c r="AO141" s="47" t="s">
        <v>5497</v>
      </c>
      <c r="AP141" t="s">
        <v>5521</v>
      </c>
    </row>
    <row r="142" spans="1:42" s="37" customFormat="1" ht="14.25" customHeight="1" x14ac:dyDescent="0.3">
      <c r="A142" s="36" t="s">
        <v>5222</v>
      </c>
      <c r="B142" s="37" t="s">
        <v>5195</v>
      </c>
      <c r="C142" s="37" t="s">
        <v>5181</v>
      </c>
      <c r="D142" s="42">
        <v>5414404260437</v>
      </c>
      <c r="E142" s="39" t="s">
        <v>5252</v>
      </c>
      <c r="F142" s="37" t="s">
        <v>5253</v>
      </c>
      <c r="G142" s="37" t="s">
        <v>5239</v>
      </c>
      <c r="K142" s="37" t="s">
        <v>45</v>
      </c>
      <c r="L142" s="37" t="s">
        <v>5243</v>
      </c>
      <c r="M142" s="37" t="s">
        <v>5251</v>
      </c>
      <c r="N142" s="37" t="s">
        <v>1766</v>
      </c>
      <c r="O142" s="43" t="s">
        <v>5266</v>
      </c>
      <c r="P142" s="71" t="s">
        <v>5624</v>
      </c>
      <c r="Q142" s="43" t="s">
        <v>1766</v>
      </c>
      <c r="R142" s="37" t="s">
        <v>1766</v>
      </c>
      <c r="S142" s="37" t="s">
        <v>5260</v>
      </c>
      <c r="T142" s="41">
        <v>9</v>
      </c>
      <c r="U142" s="37" t="s">
        <v>1766</v>
      </c>
      <c r="V142" s="37" t="s">
        <v>5134</v>
      </c>
      <c r="W142" s="37" t="s">
        <v>1766</v>
      </c>
      <c r="X142" s="37" t="s">
        <v>1766</v>
      </c>
      <c r="Y142" s="37" t="s">
        <v>5242</v>
      </c>
      <c r="Z142" s="37" t="s">
        <v>1766</v>
      </c>
      <c r="AA142" s="37" t="s">
        <v>1766</v>
      </c>
      <c r="AB142" s="37" t="s">
        <v>5241</v>
      </c>
      <c r="AC142" s="37" t="s">
        <v>1728</v>
      </c>
      <c r="AD142" s="37" t="s">
        <v>1771</v>
      </c>
      <c r="AE142" s="37" t="s">
        <v>57</v>
      </c>
      <c r="AF142" s="37" t="s">
        <v>5138</v>
      </c>
      <c r="AG142" s="37" t="s">
        <v>5261</v>
      </c>
      <c r="AH142" s="37" t="s">
        <v>5261</v>
      </c>
      <c r="AJ142" s="37">
        <v>2.2000000000000002</v>
      </c>
      <c r="AL142" s="47" t="s">
        <v>5495</v>
      </c>
      <c r="AM142" s="47" t="s">
        <v>5496</v>
      </c>
      <c r="AN142" s="47"/>
      <c r="AO142" s="47" t="s">
        <v>5497</v>
      </c>
      <c r="AP142" t="s">
        <v>5521</v>
      </c>
    </row>
    <row r="143" spans="1:42" s="37" customFormat="1" ht="14.25" customHeight="1" x14ac:dyDescent="0.3">
      <c r="A143" s="36" t="s">
        <v>5215</v>
      </c>
      <c r="B143" s="37" t="s">
        <v>5188</v>
      </c>
      <c r="C143" s="37" t="s">
        <v>5181</v>
      </c>
      <c r="D143" s="42">
        <v>5414404260369</v>
      </c>
      <c r="E143" s="39" t="s">
        <v>5252</v>
      </c>
      <c r="F143" s="37" t="s">
        <v>5253</v>
      </c>
      <c r="G143" s="37" t="s">
        <v>5239</v>
      </c>
      <c r="K143" s="37" t="s">
        <v>45</v>
      </c>
      <c r="L143" s="37" t="s">
        <v>5243</v>
      </c>
      <c r="M143" s="37" t="s">
        <v>5251</v>
      </c>
      <c r="N143" s="37" t="s">
        <v>1766</v>
      </c>
      <c r="O143" s="43" t="s">
        <v>5264</v>
      </c>
      <c r="P143" s="71" t="s">
        <v>5624</v>
      </c>
      <c r="Q143" s="43" t="s">
        <v>1766</v>
      </c>
      <c r="R143" s="37" t="s">
        <v>1766</v>
      </c>
      <c r="S143" s="37" t="s">
        <v>5260</v>
      </c>
      <c r="T143" s="41">
        <v>9</v>
      </c>
      <c r="U143" s="37" t="s">
        <v>1766</v>
      </c>
      <c r="V143" s="37" t="s">
        <v>5134</v>
      </c>
      <c r="W143" s="37" t="s">
        <v>1766</v>
      </c>
      <c r="X143" s="37" t="s">
        <v>1766</v>
      </c>
      <c r="Y143" s="37" t="s">
        <v>5242</v>
      </c>
      <c r="Z143" s="37" t="s">
        <v>1766</v>
      </c>
      <c r="AA143" s="37" t="s">
        <v>1766</v>
      </c>
      <c r="AB143" s="37" t="s">
        <v>5241</v>
      </c>
      <c r="AC143" s="37" t="s">
        <v>1728</v>
      </c>
      <c r="AD143" s="37" t="s">
        <v>1771</v>
      </c>
      <c r="AE143" s="37" t="s">
        <v>57</v>
      </c>
      <c r="AF143" s="37" t="s">
        <v>5138</v>
      </c>
      <c r="AG143" s="37" t="s">
        <v>5261</v>
      </c>
      <c r="AH143" s="37" t="s">
        <v>5261</v>
      </c>
      <c r="AJ143" s="37">
        <v>2.2000000000000002</v>
      </c>
      <c r="AL143" s="47" t="s">
        <v>5495</v>
      </c>
      <c r="AM143" s="47" t="s">
        <v>5496</v>
      </c>
      <c r="AN143" s="47"/>
      <c r="AO143" s="47" t="s">
        <v>5497</v>
      </c>
      <c r="AP143" t="s">
        <v>5521</v>
      </c>
    </row>
    <row r="144" spans="1:42" s="37" customFormat="1" ht="14.25" customHeight="1" x14ac:dyDescent="0.3">
      <c r="A144" s="36" t="s">
        <v>5209</v>
      </c>
      <c r="B144" s="37" t="s">
        <v>5182</v>
      </c>
      <c r="C144" s="37" t="s">
        <v>5181</v>
      </c>
      <c r="D144" s="42">
        <v>5414404261144</v>
      </c>
      <c r="E144" s="39" t="s">
        <v>5262</v>
      </c>
      <c r="F144" s="39" t="s">
        <v>5263</v>
      </c>
      <c r="G144" s="37" t="s">
        <v>5239</v>
      </c>
      <c r="K144" s="37" t="s">
        <v>45</v>
      </c>
      <c r="L144" s="37" t="s">
        <v>5243</v>
      </c>
      <c r="M144" s="37" t="s">
        <v>5251</v>
      </c>
      <c r="N144" s="37" t="s">
        <v>1766</v>
      </c>
      <c r="O144" s="43" t="s">
        <v>5264</v>
      </c>
      <c r="P144" s="71" t="s">
        <v>5624</v>
      </c>
      <c r="Q144" s="43" t="s">
        <v>1766</v>
      </c>
      <c r="R144" s="37" t="s">
        <v>1766</v>
      </c>
      <c r="S144" s="37" t="s">
        <v>5250</v>
      </c>
      <c r="T144" s="41">
        <v>9</v>
      </c>
      <c r="U144" s="37" t="s">
        <v>1766</v>
      </c>
      <c r="V144" s="37" t="s">
        <v>5134</v>
      </c>
      <c r="W144" s="37" t="s">
        <v>1766</v>
      </c>
      <c r="X144" s="37" t="s">
        <v>1766</v>
      </c>
      <c r="Y144" s="37" t="s">
        <v>5242</v>
      </c>
      <c r="Z144" s="37" t="s">
        <v>1766</v>
      </c>
      <c r="AA144" s="37" t="s">
        <v>1766</v>
      </c>
      <c r="AB144" s="37" t="s">
        <v>5241</v>
      </c>
      <c r="AC144" s="37" t="s">
        <v>1728</v>
      </c>
      <c r="AD144" s="37" t="s">
        <v>1771</v>
      </c>
      <c r="AE144" s="37" t="s">
        <v>57</v>
      </c>
      <c r="AF144" s="37" t="s">
        <v>5138</v>
      </c>
      <c r="AG144" s="37" t="s">
        <v>5268</v>
      </c>
      <c r="AH144" s="37" t="s">
        <v>5268</v>
      </c>
      <c r="AJ144" s="37">
        <v>2.2000000000000002</v>
      </c>
      <c r="AL144" s="47" t="s">
        <v>5495</v>
      </c>
      <c r="AM144" s="47" t="s">
        <v>5496</v>
      </c>
      <c r="AN144" s="47"/>
      <c r="AO144" s="47" t="s">
        <v>5497</v>
      </c>
      <c r="AP144" t="s">
        <v>5521</v>
      </c>
    </row>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sheetData>
  <autoFilter ref="A1:AO144" xr:uid="{00000000-0001-0000-0200-000000000000}"/>
  <sortState xmlns:xlrd2="http://schemas.microsoft.com/office/spreadsheetml/2017/richdata2" ref="A2:AP899">
    <sortCondition ref="A1:A899"/>
  </sortState>
  <phoneticPr fontId="14" type="noConversion"/>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998"/>
  <sheetViews>
    <sheetView workbookViewId="0">
      <pane ySplit="1" topLeftCell="A2" activePane="bottomLeft" state="frozen"/>
      <selection pane="bottomLeft" activeCell="E742" sqref="E742"/>
    </sheetView>
  </sheetViews>
  <sheetFormatPr baseColWidth="10" defaultRowHeight="15" customHeight="1" x14ac:dyDescent="0.3"/>
  <cols>
    <col min="1" max="1" width="53" bestFit="1" customWidth="1"/>
    <col min="4" max="4" width="14" bestFit="1" customWidth="1"/>
    <col min="5" max="5" width="47.5546875" customWidth="1"/>
    <col min="6" max="8" width="21.5546875" customWidth="1"/>
    <col min="9" max="9" width="17.44140625" bestFit="1" customWidth="1"/>
    <col min="10" max="10" width="10.6640625" bestFit="1" customWidth="1"/>
    <col min="13" max="13" width="17.6640625" bestFit="1" customWidth="1"/>
    <col min="14" max="14" width="20.6640625" bestFit="1" customWidth="1"/>
    <col min="15" max="15" width="32.33203125" bestFit="1" customWidth="1"/>
    <col min="16" max="16" width="17.44140625" bestFit="1" customWidth="1"/>
    <col min="22" max="22" width="16.33203125" bestFit="1" customWidth="1"/>
  </cols>
  <sheetData>
    <row r="1" spans="1:42" ht="15" customHeight="1" x14ac:dyDescent="0.3">
      <c r="A1" s="20" t="s">
        <v>0</v>
      </c>
      <c r="B1" s="20" t="s">
        <v>1</v>
      </c>
      <c r="C1" s="20" t="s">
        <v>2</v>
      </c>
      <c r="D1" s="20" t="s">
        <v>3</v>
      </c>
      <c r="E1" s="20" t="s">
        <v>4</v>
      </c>
      <c r="F1" s="20" t="s">
        <v>5</v>
      </c>
      <c r="G1" s="29" t="s">
        <v>3448</v>
      </c>
      <c r="H1" s="28" t="s">
        <v>3449</v>
      </c>
      <c r="I1" s="28" t="s">
        <v>3442</v>
      </c>
      <c r="J1" s="28" t="s">
        <v>3443</v>
      </c>
      <c r="K1" s="28" t="s">
        <v>3444</v>
      </c>
      <c r="L1" s="28" t="s">
        <v>3445</v>
      </c>
      <c r="M1" s="28" t="s">
        <v>3446</v>
      </c>
      <c r="N1" s="28" t="s">
        <v>3447</v>
      </c>
      <c r="O1" s="20" t="s">
        <v>1823</v>
      </c>
      <c r="P1" s="20" t="s">
        <v>9</v>
      </c>
      <c r="Q1" s="20" t="s">
        <v>10</v>
      </c>
      <c r="R1" s="20" t="s">
        <v>11</v>
      </c>
      <c r="S1" s="20" t="s">
        <v>12</v>
      </c>
      <c r="T1" s="20" t="s">
        <v>13</v>
      </c>
      <c r="U1" s="20" t="s">
        <v>14</v>
      </c>
      <c r="V1" s="20" t="s">
        <v>15</v>
      </c>
      <c r="W1" s="20" t="s">
        <v>16</v>
      </c>
      <c r="X1" s="20" t="s">
        <v>17</v>
      </c>
      <c r="Y1" s="20" t="s">
        <v>18</v>
      </c>
      <c r="Z1" s="21" t="s">
        <v>19</v>
      </c>
      <c r="AA1" s="21" t="s">
        <v>20</v>
      </c>
      <c r="AB1" s="21" t="s">
        <v>21</v>
      </c>
      <c r="AC1" s="21" t="s">
        <v>22</v>
      </c>
      <c r="AD1" s="20" t="s">
        <v>23</v>
      </c>
      <c r="AE1" s="20" t="s">
        <v>24</v>
      </c>
      <c r="AF1" s="20" t="s">
        <v>25</v>
      </c>
      <c r="AG1" s="20" t="s">
        <v>26</v>
      </c>
      <c r="AH1" s="20" t="s">
        <v>27</v>
      </c>
      <c r="AI1" s="20" t="s">
        <v>28</v>
      </c>
      <c r="AJ1" s="20" t="s">
        <v>29</v>
      </c>
      <c r="AK1" s="20" t="s">
        <v>30</v>
      </c>
      <c r="AL1" s="20" t="s">
        <v>31</v>
      </c>
      <c r="AM1" s="20" t="s">
        <v>32</v>
      </c>
      <c r="AN1" s="20" t="s">
        <v>33</v>
      </c>
      <c r="AO1" s="20" t="s">
        <v>34</v>
      </c>
      <c r="AP1" s="20" t="s">
        <v>35</v>
      </c>
    </row>
    <row r="2" spans="1:42" ht="15" customHeight="1" x14ac:dyDescent="0.3">
      <c r="A2" t="s">
        <v>1824</v>
      </c>
      <c r="B2" t="s">
        <v>1825</v>
      </c>
      <c r="C2" t="s">
        <v>1826</v>
      </c>
      <c r="D2" s="22" t="s">
        <v>1827</v>
      </c>
      <c r="E2" t="s">
        <v>1828</v>
      </c>
      <c r="F2" t="s">
        <v>1829</v>
      </c>
      <c r="P2" t="s">
        <v>1830</v>
      </c>
      <c r="Q2" t="s">
        <v>1156</v>
      </c>
      <c r="R2" t="s">
        <v>1831</v>
      </c>
      <c r="S2" t="s">
        <v>1832</v>
      </c>
      <c r="T2" t="s">
        <v>1833</v>
      </c>
      <c r="V2">
        <v>1</v>
      </c>
      <c r="AE2" t="s">
        <v>56</v>
      </c>
      <c r="AF2" t="s">
        <v>57</v>
      </c>
      <c r="AH2">
        <v>36</v>
      </c>
      <c r="AI2">
        <v>45</v>
      </c>
      <c r="AM2" s="23">
        <f t="shared" ref="AM2:AM65" si="0">AN2*0.5*0.75</f>
        <v>604.125</v>
      </c>
      <c r="AN2" s="23">
        <v>1611</v>
      </c>
      <c r="AO2" s="24">
        <v>0.2</v>
      </c>
      <c r="AP2" s="23">
        <f t="shared" ref="AP2:AP65" si="1">AN2*1.2</f>
        <v>1933.1999999999998</v>
      </c>
    </row>
    <row r="3" spans="1:42" ht="15" customHeight="1" x14ac:dyDescent="0.3">
      <c r="A3" t="s">
        <v>1824</v>
      </c>
      <c r="B3" t="s">
        <v>1834</v>
      </c>
      <c r="C3" t="s">
        <v>1826</v>
      </c>
      <c r="D3" s="22" t="s">
        <v>1835</v>
      </c>
      <c r="E3" t="s">
        <v>1828</v>
      </c>
      <c r="F3" t="s">
        <v>1829</v>
      </c>
      <c r="P3" t="s">
        <v>1830</v>
      </c>
      <c r="Q3" t="s">
        <v>1156</v>
      </c>
      <c r="R3" t="s">
        <v>1831</v>
      </c>
      <c r="S3" t="s">
        <v>1832</v>
      </c>
      <c r="T3" t="s">
        <v>1836</v>
      </c>
      <c r="V3">
        <v>1</v>
      </c>
      <c r="AE3" t="s">
        <v>56</v>
      </c>
      <c r="AF3" t="s">
        <v>57</v>
      </c>
      <c r="AH3">
        <v>36</v>
      </c>
      <c r="AI3">
        <v>45</v>
      </c>
      <c r="AM3" s="23">
        <f t="shared" si="0"/>
        <v>1048.125</v>
      </c>
      <c r="AN3" s="23">
        <v>2795</v>
      </c>
      <c r="AO3" s="24">
        <v>0.2</v>
      </c>
      <c r="AP3" s="23">
        <f t="shared" si="1"/>
        <v>3354</v>
      </c>
    </row>
    <row r="4" spans="1:42" ht="15" customHeight="1" x14ac:dyDescent="0.3">
      <c r="A4" t="s">
        <v>1824</v>
      </c>
      <c r="B4" t="s">
        <v>1837</v>
      </c>
      <c r="C4" t="s">
        <v>1826</v>
      </c>
      <c r="D4" s="22" t="s">
        <v>1838</v>
      </c>
      <c r="E4" t="s">
        <v>1828</v>
      </c>
      <c r="F4" t="s">
        <v>1829</v>
      </c>
      <c r="P4" t="s">
        <v>1830</v>
      </c>
      <c r="Q4" t="s">
        <v>1156</v>
      </c>
      <c r="R4" t="s">
        <v>1831</v>
      </c>
      <c r="S4" t="s">
        <v>1832</v>
      </c>
      <c r="T4" t="s">
        <v>1839</v>
      </c>
      <c r="V4">
        <v>1</v>
      </c>
      <c r="AE4" t="s">
        <v>56</v>
      </c>
      <c r="AF4" t="s">
        <v>57</v>
      </c>
      <c r="AH4">
        <v>36</v>
      </c>
      <c r="AI4">
        <v>45</v>
      </c>
      <c r="AM4" s="23">
        <f t="shared" si="0"/>
        <v>1048.125</v>
      </c>
      <c r="AN4" s="23">
        <v>2795</v>
      </c>
      <c r="AO4" s="24">
        <v>0.2</v>
      </c>
      <c r="AP4" s="23">
        <f t="shared" si="1"/>
        <v>3354</v>
      </c>
    </row>
    <row r="5" spans="1:42" ht="15" customHeight="1" x14ac:dyDescent="0.3">
      <c r="A5" t="s">
        <v>1824</v>
      </c>
      <c r="B5" t="s">
        <v>1840</v>
      </c>
      <c r="C5" t="s">
        <v>1826</v>
      </c>
      <c r="D5" s="22" t="s">
        <v>1841</v>
      </c>
      <c r="E5" t="s">
        <v>1828</v>
      </c>
      <c r="F5" t="s">
        <v>1829</v>
      </c>
      <c r="P5" t="s">
        <v>1830</v>
      </c>
      <c r="Q5" t="s">
        <v>1156</v>
      </c>
      <c r="R5" t="s">
        <v>1831</v>
      </c>
      <c r="S5" t="s">
        <v>1832</v>
      </c>
      <c r="T5" t="s">
        <v>1842</v>
      </c>
      <c r="V5">
        <v>1</v>
      </c>
      <c r="AE5" t="s">
        <v>56</v>
      </c>
      <c r="AF5" t="s">
        <v>57</v>
      </c>
      <c r="AH5">
        <v>36</v>
      </c>
      <c r="AI5">
        <v>45</v>
      </c>
      <c r="AM5" s="23">
        <f t="shared" si="0"/>
        <v>1048.125</v>
      </c>
      <c r="AN5" s="23">
        <v>2795</v>
      </c>
      <c r="AO5" s="24">
        <v>0.2</v>
      </c>
      <c r="AP5" s="23">
        <f t="shared" si="1"/>
        <v>3354</v>
      </c>
    </row>
    <row r="6" spans="1:42" ht="15" customHeight="1" x14ac:dyDescent="0.3">
      <c r="A6" t="s">
        <v>1824</v>
      </c>
      <c r="B6" t="s">
        <v>1843</v>
      </c>
      <c r="C6" t="s">
        <v>1826</v>
      </c>
      <c r="D6" s="22" t="s">
        <v>1844</v>
      </c>
      <c r="E6" t="s">
        <v>1828</v>
      </c>
      <c r="F6" t="s">
        <v>1829</v>
      </c>
      <c r="P6" t="s">
        <v>1830</v>
      </c>
      <c r="Q6" t="s">
        <v>1156</v>
      </c>
      <c r="R6" t="s">
        <v>1831</v>
      </c>
      <c r="S6" t="s">
        <v>1832</v>
      </c>
      <c r="T6" t="s">
        <v>1845</v>
      </c>
      <c r="V6">
        <v>1</v>
      </c>
      <c r="AE6" t="s">
        <v>56</v>
      </c>
      <c r="AF6" t="s">
        <v>57</v>
      </c>
      <c r="AH6">
        <v>36</v>
      </c>
      <c r="AI6">
        <v>45</v>
      </c>
      <c r="AM6" s="23">
        <f t="shared" si="0"/>
        <v>1048.125</v>
      </c>
      <c r="AN6" s="23">
        <v>2795</v>
      </c>
      <c r="AO6" s="24">
        <v>0.2</v>
      </c>
      <c r="AP6" s="23">
        <f t="shared" si="1"/>
        <v>3354</v>
      </c>
    </row>
    <row r="7" spans="1:42" ht="15" customHeight="1" x14ac:dyDescent="0.3">
      <c r="A7" t="s">
        <v>1824</v>
      </c>
      <c r="B7" t="s">
        <v>1846</v>
      </c>
      <c r="C7" t="s">
        <v>1826</v>
      </c>
      <c r="D7" s="22" t="s">
        <v>1847</v>
      </c>
      <c r="E7" t="s">
        <v>1828</v>
      </c>
      <c r="F7" t="s">
        <v>1829</v>
      </c>
      <c r="P7" t="s">
        <v>1830</v>
      </c>
      <c r="Q7" t="s">
        <v>1156</v>
      </c>
      <c r="R7" t="s">
        <v>1831</v>
      </c>
      <c r="S7" t="s">
        <v>1832</v>
      </c>
      <c r="T7" t="s">
        <v>1848</v>
      </c>
      <c r="V7">
        <v>1</v>
      </c>
      <c r="AE7" t="s">
        <v>56</v>
      </c>
      <c r="AF7" t="s">
        <v>57</v>
      </c>
      <c r="AH7">
        <v>36</v>
      </c>
      <c r="AI7">
        <v>45</v>
      </c>
      <c r="AM7" s="23">
        <f t="shared" si="0"/>
        <v>1048.125</v>
      </c>
      <c r="AN7" s="23">
        <v>2795</v>
      </c>
      <c r="AO7" s="24">
        <v>0.2</v>
      </c>
      <c r="AP7" s="23">
        <f t="shared" si="1"/>
        <v>3354</v>
      </c>
    </row>
    <row r="8" spans="1:42" ht="15" customHeight="1" x14ac:dyDescent="0.3">
      <c r="A8" t="s">
        <v>1824</v>
      </c>
      <c r="B8" t="s">
        <v>1849</v>
      </c>
      <c r="C8" t="s">
        <v>1826</v>
      </c>
      <c r="D8" s="22" t="s">
        <v>1850</v>
      </c>
      <c r="E8" t="s">
        <v>1828</v>
      </c>
      <c r="F8" t="s">
        <v>1829</v>
      </c>
      <c r="P8" t="s">
        <v>1830</v>
      </c>
      <c r="Q8" t="s">
        <v>1156</v>
      </c>
      <c r="R8" t="s">
        <v>1831</v>
      </c>
      <c r="S8" t="s">
        <v>1832</v>
      </c>
      <c r="T8" t="s">
        <v>1851</v>
      </c>
      <c r="V8">
        <v>1</v>
      </c>
      <c r="AE8" t="s">
        <v>56</v>
      </c>
      <c r="AF8" t="s">
        <v>57</v>
      </c>
      <c r="AH8">
        <v>36</v>
      </c>
      <c r="AI8">
        <v>45</v>
      </c>
      <c r="AM8" s="23">
        <f t="shared" si="0"/>
        <v>1048.125</v>
      </c>
      <c r="AN8" s="23">
        <v>2795</v>
      </c>
      <c r="AO8" s="24">
        <v>0.2</v>
      </c>
      <c r="AP8" s="23">
        <f t="shared" si="1"/>
        <v>3354</v>
      </c>
    </row>
    <row r="9" spans="1:42" ht="15" customHeight="1" x14ac:dyDescent="0.3">
      <c r="A9" t="s">
        <v>1824</v>
      </c>
      <c r="B9" t="s">
        <v>1852</v>
      </c>
      <c r="C9" t="s">
        <v>1826</v>
      </c>
      <c r="D9" s="22" t="s">
        <v>1853</v>
      </c>
      <c r="E9" t="s">
        <v>1828</v>
      </c>
      <c r="F9" t="s">
        <v>1829</v>
      </c>
      <c r="P9" t="s">
        <v>1830</v>
      </c>
      <c r="Q9" t="s">
        <v>1156</v>
      </c>
      <c r="R9" t="s">
        <v>1831</v>
      </c>
      <c r="S9" t="s">
        <v>1832</v>
      </c>
      <c r="T9" t="s">
        <v>1854</v>
      </c>
      <c r="V9">
        <v>1</v>
      </c>
      <c r="AE9" t="s">
        <v>56</v>
      </c>
      <c r="AF9" t="s">
        <v>57</v>
      </c>
      <c r="AH9">
        <v>36</v>
      </c>
      <c r="AI9">
        <v>45</v>
      </c>
      <c r="AM9" s="23">
        <f t="shared" si="0"/>
        <v>1048.125</v>
      </c>
      <c r="AN9" s="23">
        <v>2795</v>
      </c>
      <c r="AO9" s="24">
        <v>0.2</v>
      </c>
      <c r="AP9" s="23">
        <f t="shared" si="1"/>
        <v>3354</v>
      </c>
    </row>
    <row r="10" spans="1:42" ht="15" customHeight="1" x14ac:dyDescent="0.3">
      <c r="A10" t="s">
        <v>1824</v>
      </c>
      <c r="B10" t="s">
        <v>1855</v>
      </c>
      <c r="C10" t="s">
        <v>1826</v>
      </c>
      <c r="D10" s="22" t="s">
        <v>1856</v>
      </c>
      <c r="E10" t="s">
        <v>1828</v>
      </c>
      <c r="F10" t="s">
        <v>1829</v>
      </c>
      <c r="P10" t="s">
        <v>1830</v>
      </c>
      <c r="Q10" t="s">
        <v>1156</v>
      </c>
      <c r="R10" t="s">
        <v>1831</v>
      </c>
      <c r="S10" t="s">
        <v>1832</v>
      </c>
      <c r="T10" t="s">
        <v>279</v>
      </c>
      <c r="V10">
        <v>1</v>
      </c>
      <c r="AE10" t="s">
        <v>56</v>
      </c>
      <c r="AF10" t="s">
        <v>57</v>
      </c>
      <c r="AH10">
        <v>36</v>
      </c>
      <c r="AI10">
        <v>45</v>
      </c>
      <c r="AM10" s="23">
        <f t="shared" si="0"/>
        <v>1048.125</v>
      </c>
      <c r="AN10" s="23">
        <v>2795</v>
      </c>
      <c r="AO10" s="24">
        <v>0.2</v>
      </c>
      <c r="AP10" s="23">
        <f t="shared" si="1"/>
        <v>3354</v>
      </c>
    </row>
    <row r="11" spans="1:42" ht="15" customHeight="1" x14ac:dyDescent="0.3">
      <c r="A11" t="s">
        <v>1824</v>
      </c>
      <c r="B11" t="s">
        <v>1857</v>
      </c>
      <c r="C11" t="s">
        <v>1826</v>
      </c>
      <c r="D11" s="22" t="s">
        <v>1858</v>
      </c>
      <c r="E11" t="s">
        <v>1828</v>
      </c>
      <c r="F11" t="s">
        <v>1829</v>
      </c>
      <c r="P11" t="s">
        <v>1830</v>
      </c>
      <c r="Q11" t="s">
        <v>1156</v>
      </c>
      <c r="R11" t="s">
        <v>1831</v>
      </c>
      <c r="S11" t="s">
        <v>1832</v>
      </c>
      <c r="T11" t="s">
        <v>61</v>
      </c>
      <c r="V11">
        <v>1</v>
      </c>
      <c r="AE11" t="s">
        <v>56</v>
      </c>
      <c r="AF11" t="s">
        <v>57</v>
      </c>
      <c r="AH11">
        <v>36</v>
      </c>
      <c r="AI11">
        <v>45</v>
      </c>
      <c r="AM11" s="23">
        <f t="shared" si="0"/>
        <v>1048.125</v>
      </c>
      <c r="AN11" s="23">
        <v>2795</v>
      </c>
      <c r="AO11" s="24">
        <v>0.2</v>
      </c>
      <c r="AP11" s="23">
        <f t="shared" si="1"/>
        <v>3354</v>
      </c>
    </row>
    <row r="12" spans="1:42" ht="15" customHeight="1" x14ac:dyDescent="0.3">
      <c r="A12" t="s">
        <v>1824</v>
      </c>
      <c r="B12" t="s">
        <v>1859</v>
      </c>
      <c r="C12" t="s">
        <v>1826</v>
      </c>
      <c r="D12" s="22" t="s">
        <v>1860</v>
      </c>
      <c r="E12" t="s">
        <v>1828</v>
      </c>
      <c r="F12" t="s">
        <v>1829</v>
      </c>
      <c r="P12" t="s">
        <v>1830</v>
      </c>
      <c r="Q12" t="s">
        <v>1156</v>
      </c>
      <c r="R12" t="s">
        <v>1831</v>
      </c>
      <c r="S12" t="s">
        <v>1832</v>
      </c>
      <c r="T12" t="s">
        <v>328</v>
      </c>
      <c r="V12">
        <v>1</v>
      </c>
      <c r="AE12" t="s">
        <v>56</v>
      </c>
      <c r="AF12" t="s">
        <v>57</v>
      </c>
      <c r="AH12">
        <v>36</v>
      </c>
      <c r="AI12">
        <v>45</v>
      </c>
      <c r="AM12" s="23">
        <f t="shared" si="0"/>
        <v>1048.125</v>
      </c>
      <c r="AN12" s="23">
        <v>2795</v>
      </c>
      <c r="AO12" s="24">
        <v>0.2</v>
      </c>
      <c r="AP12" s="23">
        <f t="shared" si="1"/>
        <v>3354</v>
      </c>
    </row>
    <row r="13" spans="1:42" ht="15" customHeight="1" x14ac:dyDescent="0.3">
      <c r="A13" t="s">
        <v>1824</v>
      </c>
      <c r="B13" t="s">
        <v>1861</v>
      </c>
      <c r="C13" t="s">
        <v>1826</v>
      </c>
      <c r="D13" s="22" t="s">
        <v>1862</v>
      </c>
      <c r="E13" t="s">
        <v>1828</v>
      </c>
      <c r="F13" t="s">
        <v>1829</v>
      </c>
      <c r="P13" t="s">
        <v>1830</v>
      </c>
      <c r="Q13" t="s">
        <v>1156</v>
      </c>
      <c r="R13" t="s">
        <v>1831</v>
      </c>
      <c r="S13" t="s">
        <v>1832</v>
      </c>
      <c r="T13" t="s">
        <v>1863</v>
      </c>
      <c r="V13">
        <v>1</v>
      </c>
      <c r="AE13" t="s">
        <v>56</v>
      </c>
      <c r="AF13" t="s">
        <v>57</v>
      </c>
      <c r="AH13">
        <v>36</v>
      </c>
      <c r="AI13">
        <v>45</v>
      </c>
      <c r="AM13" s="23">
        <f t="shared" si="0"/>
        <v>1048.125</v>
      </c>
      <c r="AN13" s="23">
        <v>2795</v>
      </c>
      <c r="AO13" s="24">
        <v>0.2</v>
      </c>
      <c r="AP13" s="23">
        <f t="shared" si="1"/>
        <v>3354</v>
      </c>
    </row>
    <row r="14" spans="1:42" ht="15" customHeight="1" x14ac:dyDescent="0.3">
      <c r="A14" t="s">
        <v>1824</v>
      </c>
      <c r="B14" t="s">
        <v>1864</v>
      </c>
      <c r="C14" t="s">
        <v>1826</v>
      </c>
      <c r="D14" s="22" t="s">
        <v>1865</v>
      </c>
      <c r="E14" t="s">
        <v>1828</v>
      </c>
      <c r="F14" t="s">
        <v>1829</v>
      </c>
      <c r="P14" t="s">
        <v>1830</v>
      </c>
      <c r="Q14" t="s">
        <v>1156</v>
      </c>
      <c r="R14" t="s">
        <v>1831</v>
      </c>
      <c r="S14" t="s">
        <v>1832</v>
      </c>
      <c r="T14" t="s">
        <v>1866</v>
      </c>
      <c r="V14">
        <v>1</v>
      </c>
      <c r="AE14" t="s">
        <v>56</v>
      </c>
      <c r="AF14" t="s">
        <v>57</v>
      </c>
      <c r="AH14">
        <v>36</v>
      </c>
      <c r="AI14">
        <v>45</v>
      </c>
      <c r="AM14" s="23">
        <f t="shared" si="0"/>
        <v>1048.125</v>
      </c>
      <c r="AN14" s="23">
        <v>2795</v>
      </c>
      <c r="AO14" s="24">
        <v>0.2</v>
      </c>
      <c r="AP14" s="23">
        <f t="shared" si="1"/>
        <v>3354</v>
      </c>
    </row>
    <row r="15" spans="1:42" ht="15" customHeight="1" x14ac:dyDescent="0.3">
      <c r="A15" t="s">
        <v>1824</v>
      </c>
      <c r="B15" t="s">
        <v>1867</v>
      </c>
      <c r="C15" t="s">
        <v>1826</v>
      </c>
      <c r="D15" s="22" t="s">
        <v>1868</v>
      </c>
      <c r="E15" t="s">
        <v>1828</v>
      </c>
      <c r="F15" t="s">
        <v>1829</v>
      </c>
      <c r="P15" t="s">
        <v>1830</v>
      </c>
      <c r="Q15" t="s">
        <v>1156</v>
      </c>
      <c r="R15" t="s">
        <v>1831</v>
      </c>
      <c r="S15" t="s">
        <v>1832</v>
      </c>
      <c r="T15" t="s">
        <v>325</v>
      </c>
      <c r="V15">
        <v>1</v>
      </c>
      <c r="AE15" t="s">
        <v>56</v>
      </c>
      <c r="AF15" t="s">
        <v>57</v>
      </c>
      <c r="AH15">
        <v>36</v>
      </c>
      <c r="AI15">
        <v>45</v>
      </c>
      <c r="AM15" s="23">
        <f t="shared" si="0"/>
        <v>1048.125</v>
      </c>
      <c r="AN15" s="23">
        <v>2795</v>
      </c>
      <c r="AO15" s="24">
        <v>0.2</v>
      </c>
      <c r="AP15" s="23">
        <f t="shared" si="1"/>
        <v>3354</v>
      </c>
    </row>
    <row r="16" spans="1:42" ht="15" customHeight="1" x14ac:dyDescent="0.3">
      <c r="A16" t="s">
        <v>1824</v>
      </c>
      <c r="B16" t="s">
        <v>1869</v>
      </c>
      <c r="C16" t="s">
        <v>1826</v>
      </c>
      <c r="D16" s="22" t="s">
        <v>1870</v>
      </c>
      <c r="E16" t="s">
        <v>1828</v>
      </c>
      <c r="F16" t="s">
        <v>1829</v>
      </c>
      <c r="P16" t="s">
        <v>1830</v>
      </c>
      <c r="Q16" t="s">
        <v>1156</v>
      </c>
      <c r="R16" t="s">
        <v>1831</v>
      </c>
      <c r="S16" t="s">
        <v>1832</v>
      </c>
      <c r="T16" t="s">
        <v>1871</v>
      </c>
      <c r="V16">
        <v>1</v>
      </c>
      <c r="AE16" t="s">
        <v>56</v>
      </c>
      <c r="AF16" t="s">
        <v>57</v>
      </c>
      <c r="AH16">
        <v>36</v>
      </c>
      <c r="AI16">
        <v>45</v>
      </c>
      <c r="AM16" s="23">
        <f t="shared" si="0"/>
        <v>1048.125</v>
      </c>
      <c r="AN16" s="23">
        <v>2795</v>
      </c>
      <c r="AO16" s="24">
        <v>0.2</v>
      </c>
      <c r="AP16" s="23">
        <f t="shared" si="1"/>
        <v>3354</v>
      </c>
    </row>
    <row r="17" spans="1:42" ht="15" customHeight="1" x14ac:dyDescent="0.3">
      <c r="A17" t="s">
        <v>1824</v>
      </c>
      <c r="B17" t="s">
        <v>1872</v>
      </c>
      <c r="C17" t="s">
        <v>1826</v>
      </c>
      <c r="D17" s="22" t="s">
        <v>1873</v>
      </c>
      <c r="E17" t="s">
        <v>1828</v>
      </c>
      <c r="F17" t="s">
        <v>1829</v>
      </c>
      <c r="P17" t="s">
        <v>1830</v>
      </c>
      <c r="Q17" t="s">
        <v>1156</v>
      </c>
      <c r="R17" t="s">
        <v>1831</v>
      </c>
      <c r="S17" t="s">
        <v>1832</v>
      </c>
      <c r="T17" t="s">
        <v>1874</v>
      </c>
      <c r="V17">
        <v>1</v>
      </c>
      <c r="AE17" t="s">
        <v>56</v>
      </c>
      <c r="AF17" t="s">
        <v>57</v>
      </c>
      <c r="AH17">
        <v>36</v>
      </c>
      <c r="AI17">
        <v>45</v>
      </c>
      <c r="AM17" s="23">
        <f t="shared" si="0"/>
        <v>1048.125</v>
      </c>
      <c r="AN17" s="23">
        <v>2795</v>
      </c>
      <c r="AO17" s="24">
        <v>0.2</v>
      </c>
      <c r="AP17" s="23">
        <f t="shared" si="1"/>
        <v>3354</v>
      </c>
    </row>
    <row r="18" spans="1:42" ht="15" customHeight="1" x14ac:dyDescent="0.3">
      <c r="A18" t="s">
        <v>1824</v>
      </c>
      <c r="B18" t="s">
        <v>1875</v>
      </c>
      <c r="C18" t="s">
        <v>1826</v>
      </c>
      <c r="D18" s="22" t="s">
        <v>1876</v>
      </c>
      <c r="E18" t="s">
        <v>1828</v>
      </c>
      <c r="F18" t="s">
        <v>1829</v>
      </c>
      <c r="P18" t="s">
        <v>1830</v>
      </c>
      <c r="Q18" t="s">
        <v>1156</v>
      </c>
      <c r="R18" t="s">
        <v>1831</v>
      </c>
      <c r="S18" t="s">
        <v>1832</v>
      </c>
      <c r="T18" t="s">
        <v>1877</v>
      </c>
      <c r="V18">
        <v>1</v>
      </c>
      <c r="AE18" t="s">
        <v>56</v>
      </c>
      <c r="AF18" t="s">
        <v>57</v>
      </c>
      <c r="AH18">
        <v>36</v>
      </c>
      <c r="AI18">
        <v>45</v>
      </c>
      <c r="AM18" s="23">
        <f t="shared" si="0"/>
        <v>1048.125</v>
      </c>
      <c r="AN18" s="23">
        <v>2795</v>
      </c>
      <c r="AO18" s="24">
        <v>0.2</v>
      </c>
      <c r="AP18" s="23">
        <f t="shared" si="1"/>
        <v>3354</v>
      </c>
    </row>
    <row r="19" spans="1:42" ht="15" customHeight="1" x14ac:dyDescent="0.3">
      <c r="A19" t="s">
        <v>1824</v>
      </c>
      <c r="B19" t="s">
        <v>1878</v>
      </c>
      <c r="C19" t="s">
        <v>1826</v>
      </c>
      <c r="D19" s="22" t="s">
        <v>1879</v>
      </c>
      <c r="E19" t="s">
        <v>1828</v>
      </c>
      <c r="F19" t="s">
        <v>1829</v>
      </c>
      <c r="P19" t="s">
        <v>1830</v>
      </c>
      <c r="Q19" t="s">
        <v>1156</v>
      </c>
      <c r="R19" t="s">
        <v>1831</v>
      </c>
      <c r="S19" t="s">
        <v>1832</v>
      </c>
      <c r="T19" t="s">
        <v>1880</v>
      </c>
      <c r="V19">
        <v>1</v>
      </c>
      <c r="AE19" t="s">
        <v>56</v>
      </c>
      <c r="AF19" t="s">
        <v>57</v>
      </c>
      <c r="AH19">
        <v>36</v>
      </c>
      <c r="AI19">
        <v>45</v>
      </c>
      <c r="AM19" s="23">
        <f t="shared" si="0"/>
        <v>1048.125</v>
      </c>
      <c r="AN19" s="23">
        <v>2795</v>
      </c>
      <c r="AO19" s="24">
        <v>0.2</v>
      </c>
      <c r="AP19" s="23">
        <f t="shared" si="1"/>
        <v>3354</v>
      </c>
    </row>
    <row r="20" spans="1:42" ht="15" customHeight="1" x14ac:dyDescent="0.3">
      <c r="A20" t="s">
        <v>1824</v>
      </c>
      <c r="B20" t="s">
        <v>1881</v>
      </c>
      <c r="C20" t="s">
        <v>1826</v>
      </c>
      <c r="D20" s="22" t="s">
        <v>1882</v>
      </c>
      <c r="E20" t="s">
        <v>1828</v>
      </c>
      <c r="F20" t="s">
        <v>1829</v>
      </c>
      <c r="P20" t="s">
        <v>1830</v>
      </c>
      <c r="Q20" t="s">
        <v>1156</v>
      </c>
      <c r="R20" t="s">
        <v>1831</v>
      </c>
      <c r="S20" t="s">
        <v>1832</v>
      </c>
      <c r="T20" t="s">
        <v>1883</v>
      </c>
      <c r="V20">
        <v>1</v>
      </c>
      <c r="AE20" t="s">
        <v>56</v>
      </c>
      <c r="AF20" t="s">
        <v>57</v>
      </c>
      <c r="AH20">
        <v>36</v>
      </c>
      <c r="AI20">
        <v>45</v>
      </c>
      <c r="AM20" s="23">
        <f t="shared" si="0"/>
        <v>1048.125</v>
      </c>
      <c r="AN20" s="23">
        <v>2795</v>
      </c>
      <c r="AO20" s="24">
        <v>0.2</v>
      </c>
      <c r="AP20" s="23">
        <f t="shared" si="1"/>
        <v>3354</v>
      </c>
    </row>
    <row r="21" spans="1:42" ht="15" customHeight="1" x14ac:dyDescent="0.3">
      <c r="A21" t="s">
        <v>1824</v>
      </c>
      <c r="B21" t="s">
        <v>1884</v>
      </c>
      <c r="C21" t="s">
        <v>1826</v>
      </c>
      <c r="D21" s="22" t="s">
        <v>1885</v>
      </c>
      <c r="E21" t="s">
        <v>1828</v>
      </c>
      <c r="F21" t="s">
        <v>1829</v>
      </c>
      <c r="P21" t="s">
        <v>1830</v>
      </c>
      <c r="Q21" t="s">
        <v>1156</v>
      </c>
      <c r="R21" t="s">
        <v>1831</v>
      </c>
      <c r="S21" t="s">
        <v>1832</v>
      </c>
      <c r="T21" t="s">
        <v>1886</v>
      </c>
      <c r="V21">
        <v>1</v>
      </c>
      <c r="AE21" t="s">
        <v>56</v>
      </c>
      <c r="AF21" t="s">
        <v>57</v>
      </c>
      <c r="AH21">
        <v>36</v>
      </c>
      <c r="AI21">
        <v>45</v>
      </c>
      <c r="AM21" s="23">
        <f t="shared" si="0"/>
        <v>1048.125</v>
      </c>
      <c r="AN21" s="23">
        <v>2795</v>
      </c>
      <c r="AO21" s="24">
        <v>0.2</v>
      </c>
      <c r="AP21" s="23">
        <f t="shared" si="1"/>
        <v>3354</v>
      </c>
    </row>
    <row r="22" spans="1:42" ht="15" customHeight="1" x14ac:dyDescent="0.3">
      <c r="A22" t="s">
        <v>1887</v>
      </c>
      <c r="B22" t="s">
        <v>1888</v>
      </c>
      <c r="C22" t="s">
        <v>1889</v>
      </c>
      <c r="D22" s="22" t="s">
        <v>1890</v>
      </c>
      <c r="E22" t="s">
        <v>1891</v>
      </c>
      <c r="F22" t="s">
        <v>1892</v>
      </c>
      <c r="P22" t="s">
        <v>1830</v>
      </c>
      <c r="Q22" t="s">
        <v>1156</v>
      </c>
      <c r="R22" s="22" t="s">
        <v>1893</v>
      </c>
      <c r="S22" t="s">
        <v>1894</v>
      </c>
      <c r="T22" s="22" t="s">
        <v>1833</v>
      </c>
      <c r="V22">
        <v>1</v>
      </c>
      <c r="AE22" t="s">
        <v>56</v>
      </c>
      <c r="AF22" t="s">
        <v>57</v>
      </c>
      <c r="AH22">
        <v>2.6</v>
      </c>
      <c r="AI22">
        <v>2.6</v>
      </c>
      <c r="AM22" s="23">
        <f t="shared" si="0"/>
        <v>99.375</v>
      </c>
      <c r="AN22" s="23">
        <v>265</v>
      </c>
      <c r="AO22" s="24">
        <v>0.2</v>
      </c>
      <c r="AP22" s="23">
        <f t="shared" si="1"/>
        <v>318</v>
      </c>
    </row>
    <row r="23" spans="1:42" ht="15" customHeight="1" x14ac:dyDescent="0.3">
      <c r="A23" t="s">
        <v>1887</v>
      </c>
      <c r="B23" t="s">
        <v>1895</v>
      </c>
      <c r="C23" t="s">
        <v>1889</v>
      </c>
      <c r="D23" s="22" t="s">
        <v>1896</v>
      </c>
      <c r="E23" t="s">
        <v>1891</v>
      </c>
      <c r="F23" t="s">
        <v>1892</v>
      </c>
      <c r="P23" t="s">
        <v>1830</v>
      </c>
      <c r="Q23" t="s">
        <v>1156</v>
      </c>
      <c r="R23" s="22" t="s">
        <v>1897</v>
      </c>
      <c r="S23" t="s">
        <v>1894</v>
      </c>
      <c r="T23" s="22" t="s">
        <v>1833</v>
      </c>
      <c r="V23">
        <v>1</v>
      </c>
      <c r="AE23" t="s">
        <v>56</v>
      </c>
      <c r="AF23" t="s">
        <v>57</v>
      </c>
      <c r="AH23">
        <v>5</v>
      </c>
      <c r="AI23">
        <v>5</v>
      </c>
      <c r="AM23" s="23">
        <f t="shared" si="0"/>
        <v>119.25</v>
      </c>
      <c r="AN23" s="23">
        <v>318</v>
      </c>
      <c r="AO23" s="24">
        <v>0.2</v>
      </c>
      <c r="AP23" s="23">
        <f t="shared" si="1"/>
        <v>381.59999999999997</v>
      </c>
    </row>
    <row r="24" spans="1:42" ht="15" customHeight="1" x14ac:dyDescent="0.3">
      <c r="A24" t="s">
        <v>1887</v>
      </c>
      <c r="B24" t="s">
        <v>1898</v>
      </c>
      <c r="C24" t="s">
        <v>1889</v>
      </c>
      <c r="D24" s="22" t="s">
        <v>1899</v>
      </c>
      <c r="E24" t="s">
        <v>1891</v>
      </c>
      <c r="F24" t="s">
        <v>1892</v>
      </c>
      <c r="P24" t="s">
        <v>1830</v>
      </c>
      <c r="Q24" t="s">
        <v>1156</v>
      </c>
      <c r="R24" s="22" t="s">
        <v>1900</v>
      </c>
      <c r="S24" t="s">
        <v>1894</v>
      </c>
      <c r="T24" s="22" t="s">
        <v>1833</v>
      </c>
      <c r="V24">
        <v>1</v>
      </c>
      <c r="AE24" t="s">
        <v>56</v>
      </c>
      <c r="AF24" t="s">
        <v>57</v>
      </c>
      <c r="AH24">
        <v>7.2</v>
      </c>
      <c r="AI24">
        <v>7.2</v>
      </c>
      <c r="AM24" s="23">
        <f t="shared" si="0"/>
        <v>163.125</v>
      </c>
      <c r="AN24" s="23">
        <v>435</v>
      </c>
      <c r="AO24" s="24">
        <v>0.2</v>
      </c>
      <c r="AP24" s="23">
        <f t="shared" si="1"/>
        <v>522</v>
      </c>
    </row>
    <row r="25" spans="1:42" ht="15" customHeight="1" x14ac:dyDescent="0.3">
      <c r="A25" t="s">
        <v>1887</v>
      </c>
      <c r="B25" t="s">
        <v>1901</v>
      </c>
      <c r="C25" t="s">
        <v>1889</v>
      </c>
      <c r="D25" s="22" t="s">
        <v>1902</v>
      </c>
      <c r="E25" t="s">
        <v>1891</v>
      </c>
      <c r="F25" t="s">
        <v>1892</v>
      </c>
      <c r="P25" t="s">
        <v>1830</v>
      </c>
      <c r="Q25" t="s">
        <v>1156</v>
      </c>
      <c r="R25" s="22" t="s">
        <v>1893</v>
      </c>
      <c r="S25" t="s">
        <v>1894</v>
      </c>
      <c r="T25" s="22" t="s">
        <v>1880</v>
      </c>
      <c r="V25">
        <v>1</v>
      </c>
      <c r="AE25" t="s">
        <v>56</v>
      </c>
      <c r="AF25" t="s">
        <v>57</v>
      </c>
      <c r="AH25">
        <v>2.6</v>
      </c>
      <c r="AI25">
        <v>2.6</v>
      </c>
      <c r="AM25" s="23">
        <f t="shared" si="0"/>
        <v>116.25</v>
      </c>
      <c r="AN25" s="23">
        <v>310</v>
      </c>
      <c r="AO25" s="24">
        <v>0.2</v>
      </c>
      <c r="AP25" s="23">
        <f t="shared" si="1"/>
        <v>372</v>
      </c>
    </row>
    <row r="26" spans="1:42" ht="15" customHeight="1" x14ac:dyDescent="0.3">
      <c r="A26" t="s">
        <v>1887</v>
      </c>
      <c r="B26" t="s">
        <v>1903</v>
      </c>
      <c r="C26" t="s">
        <v>1889</v>
      </c>
      <c r="D26" s="22" t="s">
        <v>1904</v>
      </c>
      <c r="E26" t="s">
        <v>1891</v>
      </c>
      <c r="F26" t="s">
        <v>1892</v>
      </c>
      <c r="P26" t="s">
        <v>1830</v>
      </c>
      <c r="Q26" t="s">
        <v>1156</v>
      </c>
      <c r="R26" s="22" t="s">
        <v>1897</v>
      </c>
      <c r="S26" t="s">
        <v>1894</v>
      </c>
      <c r="T26" s="22" t="s">
        <v>1880</v>
      </c>
      <c r="V26">
        <v>1</v>
      </c>
      <c r="AE26" t="s">
        <v>56</v>
      </c>
      <c r="AF26" t="s">
        <v>57</v>
      </c>
      <c r="AH26">
        <v>5</v>
      </c>
      <c r="AI26">
        <v>5</v>
      </c>
      <c r="AM26" s="23">
        <f t="shared" si="0"/>
        <v>146.25</v>
      </c>
      <c r="AN26" s="23">
        <v>390</v>
      </c>
      <c r="AO26" s="24">
        <v>0.2</v>
      </c>
      <c r="AP26" s="23">
        <f t="shared" si="1"/>
        <v>468</v>
      </c>
    </row>
    <row r="27" spans="1:42" ht="15" customHeight="1" x14ac:dyDescent="0.3">
      <c r="A27" t="s">
        <v>1887</v>
      </c>
      <c r="B27" t="s">
        <v>1905</v>
      </c>
      <c r="C27" t="s">
        <v>1889</v>
      </c>
      <c r="D27" s="22" t="s">
        <v>1906</v>
      </c>
      <c r="E27" t="s">
        <v>1891</v>
      </c>
      <c r="F27" t="s">
        <v>1892</v>
      </c>
      <c r="P27" t="s">
        <v>1830</v>
      </c>
      <c r="Q27" t="s">
        <v>1156</v>
      </c>
      <c r="R27" s="22" t="s">
        <v>1900</v>
      </c>
      <c r="S27" t="s">
        <v>1894</v>
      </c>
      <c r="T27" s="22" t="s">
        <v>1880</v>
      </c>
      <c r="V27">
        <v>1</v>
      </c>
      <c r="AE27" t="s">
        <v>56</v>
      </c>
      <c r="AF27" t="s">
        <v>57</v>
      </c>
      <c r="AH27">
        <v>7.2</v>
      </c>
      <c r="AI27">
        <v>7.2</v>
      </c>
      <c r="AM27" s="23">
        <f t="shared" si="0"/>
        <v>198</v>
      </c>
      <c r="AN27" s="23">
        <v>528</v>
      </c>
      <c r="AO27" s="24">
        <v>0.2</v>
      </c>
      <c r="AP27" s="23">
        <f t="shared" si="1"/>
        <v>633.6</v>
      </c>
    </row>
    <row r="28" spans="1:42" ht="15" customHeight="1" x14ac:dyDescent="0.3">
      <c r="A28" t="s">
        <v>1887</v>
      </c>
      <c r="B28" t="s">
        <v>1907</v>
      </c>
      <c r="C28" t="s">
        <v>1889</v>
      </c>
      <c r="D28" s="22" t="s">
        <v>1908</v>
      </c>
      <c r="E28" t="s">
        <v>1891</v>
      </c>
      <c r="F28" t="s">
        <v>1892</v>
      </c>
      <c r="P28" t="s">
        <v>1830</v>
      </c>
      <c r="Q28" t="s">
        <v>1156</v>
      </c>
      <c r="R28" s="22" t="s">
        <v>1893</v>
      </c>
      <c r="S28" t="s">
        <v>1894</v>
      </c>
      <c r="T28" s="22" t="s">
        <v>1877</v>
      </c>
      <c r="V28">
        <v>1</v>
      </c>
      <c r="AE28" t="s">
        <v>56</v>
      </c>
      <c r="AF28" t="s">
        <v>57</v>
      </c>
      <c r="AH28">
        <v>2.6</v>
      </c>
      <c r="AI28">
        <v>2.6</v>
      </c>
      <c r="AM28" s="23">
        <f t="shared" si="0"/>
        <v>116.25</v>
      </c>
      <c r="AN28" s="23">
        <v>310</v>
      </c>
      <c r="AO28" s="24">
        <v>0.2</v>
      </c>
      <c r="AP28" s="23">
        <f t="shared" si="1"/>
        <v>372</v>
      </c>
    </row>
    <row r="29" spans="1:42" ht="15" customHeight="1" x14ac:dyDescent="0.3">
      <c r="A29" t="s">
        <v>1887</v>
      </c>
      <c r="B29" t="s">
        <v>1909</v>
      </c>
      <c r="C29" t="s">
        <v>1889</v>
      </c>
      <c r="D29" s="22" t="s">
        <v>1910</v>
      </c>
      <c r="E29" t="s">
        <v>1891</v>
      </c>
      <c r="F29" t="s">
        <v>1892</v>
      </c>
      <c r="P29" t="s">
        <v>1830</v>
      </c>
      <c r="Q29" t="s">
        <v>1156</v>
      </c>
      <c r="R29" s="22" t="s">
        <v>1897</v>
      </c>
      <c r="S29" t="s">
        <v>1894</v>
      </c>
      <c r="T29" s="22" t="s">
        <v>1877</v>
      </c>
      <c r="V29">
        <v>1</v>
      </c>
      <c r="AE29" t="s">
        <v>56</v>
      </c>
      <c r="AF29" t="s">
        <v>57</v>
      </c>
      <c r="AH29">
        <v>5</v>
      </c>
      <c r="AI29">
        <v>5</v>
      </c>
      <c r="AM29" s="23">
        <f t="shared" si="0"/>
        <v>146.25</v>
      </c>
      <c r="AN29" s="23">
        <v>390</v>
      </c>
      <c r="AO29" s="24">
        <v>0.2</v>
      </c>
      <c r="AP29" s="23">
        <f t="shared" si="1"/>
        <v>468</v>
      </c>
    </row>
    <row r="30" spans="1:42" ht="15" customHeight="1" x14ac:dyDescent="0.3">
      <c r="A30" t="s">
        <v>1887</v>
      </c>
      <c r="B30" t="s">
        <v>1911</v>
      </c>
      <c r="C30" t="s">
        <v>1889</v>
      </c>
      <c r="D30" s="22" t="s">
        <v>1912</v>
      </c>
      <c r="E30" t="s">
        <v>1891</v>
      </c>
      <c r="F30" t="s">
        <v>1892</v>
      </c>
      <c r="P30" t="s">
        <v>1830</v>
      </c>
      <c r="Q30" t="s">
        <v>1156</v>
      </c>
      <c r="R30" s="22" t="s">
        <v>1900</v>
      </c>
      <c r="S30" t="s">
        <v>1894</v>
      </c>
      <c r="T30" s="22" t="s">
        <v>1877</v>
      </c>
      <c r="V30">
        <v>1</v>
      </c>
      <c r="AE30" t="s">
        <v>56</v>
      </c>
      <c r="AF30" t="s">
        <v>57</v>
      </c>
      <c r="AH30">
        <v>7.2</v>
      </c>
      <c r="AI30">
        <v>7.2</v>
      </c>
      <c r="AM30" s="23">
        <f t="shared" si="0"/>
        <v>198</v>
      </c>
      <c r="AN30" s="23">
        <v>528</v>
      </c>
      <c r="AO30" s="24">
        <v>0.2</v>
      </c>
      <c r="AP30" s="23">
        <f t="shared" si="1"/>
        <v>633.6</v>
      </c>
    </row>
    <row r="31" spans="1:42" ht="15" customHeight="1" x14ac:dyDescent="0.3">
      <c r="A31" t="s">
        <v>1887</v>
      </c>
      <c r="B31" t="s">
        <v>1913</v>
      </c>
      <c r="C31" t="s">
        <v>1889</v>
      </c>
      <c r="D31" s="22" t="s">
        <v>1914</v>
      </c>
      <c r="E31" t="s">
        <v>1891</v>
      </c>
      <c r="F31" t="s">
        <v>1892</v>
      </c>
      <c r="P31" t="s">
        <v>1830</v>
      </c>
      <c r="Q31" t="s">
        <v>1156</v>
      </c>
      <c r="R31" s="22" t="s">
        <v>1893</v>
      </c>
      <c r="S31" t="s">
        <v>1894</v>
      </c>
      <c r="T31" s="22" t="s">
        <v>1915</v>
      </c>
      <c r="V31">
        <v>1</v>
      </c>
      <c r="AE31" t="s">
        <v>56</v>
      </c>
      <c r="AF31" t="s">
        <v>57</v>
      </c>
      <c r="AH31">
        <v>2.6</v>
      </c>
      <c r="AI31">
        <v>2.6</v>
      </c>
      <c r="AM31" s="23">
        <f t="shared" si="0"/>
        <v>116.25</v>
      </c>
      <c r="AN31" s="23">
        <v>310</v>
      </c>
      <c r="AO31" s="24">
        <v>0.2</v>
      </c>
      <c r="AP31" s="23">
        <f t="shared" si="1"/>
        <v>372</v>
      </c>
    </row>
    <row r="32" spans="1:42" ht="15" customHeight="1" x14ac:dyDescent="0.3">
      <c r="A32" t="s">
        <v>1887</v>
      </c>
      <c r="B32" t="s">
        <v>1916</v>
      </c>
      <c r="C32" t="s">
        <v>1889</v>
      </c>
      <c r="D32" s="22" t="s">
        <v>1917</v>
      </c>
      <c r="E32" t="s">
        <v>1891</v>
      </c>
      <c r="F32" t="s">
        <v>1892</v>
      </c>
      <c r="P32" t="s">
        <v>1830</v>
      </c>
      <c r="Q32" t="s">
        <v>1156</v>
      </c>
      <c r="R32" s="22" t="s">
        <v>1897</v>
      </c>
      <c r="S32" t="s">
        <v>1894</v>
      </c>
      <c r="T32" s="22" t="s">
        <v>1915</v>
      </c>
      <c r="V32">
        <v>1</v>
      </c>
      <c r="AE32" t="s">
        <v>56</v>
      </c>
      <c r="AF32" t="s">
        <v>57</v>
      </c>
      <c r="AH32">
        <v>5</v>
      </c>
      <c r="AI32">
        <v>5</v>
      </c>
      <c r="AM32" s="23">
        <f t="shared" si="0"/>
        <v>146.25</v>
      </c>
      <c r="AN32" s="23">
        <v>390</v>
      </c>
      <c r="AO32" s="24">
        <v>0.2</v>
      </c>
      <c r="AP32" s="23">
        <f t="shared" si="1"/>
        <v>468</v>
      </c>
    </row>
    <row r="33" spans="1:42" ht="15" customHeight="1" x14ac:dyDescent="0.3">
      <c r="A33" t="s">
        <v>1887</v>
      </c>
      <c r="B33" t="s">
        <v>1918</v>
      </c>
      <c r="C33" t="s">
        <v>1889</v>
      </c>
      <c r="D33" s="22" t="s">
        <v>1919</v>
      </c>
      <c r="E33" t="s">
        <v>1891</v>
      </c>
      <c r="F33" t="s">
        <v>1892</v>
      </c>
      <c r="P33" t="s">
        <v>1830</v>
      </c>
      <c r="Q33" t="s">
        <v>1156</v>
      </c>
      <c r="R33" s="22" t="s">
        <v>1900</v>
      </c>
      <c r="S33" t="s">
        <v>1894</v>
      </c>
      <c r="T33" s="22" t="s">
        <v>1915</v>
      </c>
      <c r="V33">
        <v>1</v>
      </c>
      <c r="AE33" t="s">
        <v>56</v>
      </c>
      <c r="AF33" t="s">
        <v>57</v>
      </c>
      <c r="AH33">
        <v>7.2</v>
      </c>
      <c r="AI33">
        <v>7.2</v>
      </c>
      <c r="AM33" s="23">
        <f t="shared" si="0"/>
        <v>198</v>
      </c>
      <c r="AN33" s="23">
        <v>528</v>
      </c>
      <c r="AO33" s="24">
        <v>0.2</v>
      </c>
      <c r="AP33" s="23">
        <f t="shared" si="1"/>
        <v>633.6</v>
      </c>
    </row>
    <row r="34" spans="1:42" ht="15" customHeight="1" x14ac:dyDescent="0.3">
      <c r="A34" t="s">
        <v>1887</v>
      </c>
      <c r="B34" t="s">
        <v>1920</v>
      </c>
      <c r="C34" t="s">
        <v>1889</v>
      </c>
      <c r="D34" s="22" t="s">
        <v>1921</v>
      </c>
      <c r="E34" t="s">
        <v>1891</v>
      </c>
      <c r="F34" t="s">
        <v>1892</v>
      </c>
      <c r="P34" t="s">
        <v>1830</v>
      </c>
      <c r="Q34" t="s">
        <v>1156</v>
      </c>
      <c r="R34" s="22" t="s">
        <v>1893</v>
      </c>
      <c r="S34" t="s">
        <v>1894</v>
      </c>
      <c r="T34" s="22" t="s">
        <v>1874</v>
      </c>
      <c r="V34">
        <v>1</v>
      </c>
      <c r="AE34" t="s">
        <v>56</v>
      </c>
      <c r="AF34" t="s">
        <v>57</v>
      </c>
      <c r="AH34">
        <v>2.6</v>
      </c>
      <c r="AI34">
        <v>2.6</v>
      </c>
      <c r="AM34" s="23">
        <f t="shared" si="0"/>
        <v>116.25</v>
      </c>
      <c r="AN34" s="23">
        <v>310</v>
      </c>
      <c r="AO34" s="24">
        <v>0.2</v>
      </c>
      <c r="AP34" s="23">
        <f t="shared" si="1"/>
        <v>372</v>
      </c>
    </row>
    <row r="35" spans="1:42" ht="15" customHeight="1" x14ac:dyDescent="0.3">
      <c r="A35" t="s">
        <v>1887</v>
      </c>
      <c r="B35" t="s">
        <v>1922</v>
      </c>
      <c r="C35" t="s">
        <v>1889</v>
      </c>
      <c r="D35" s="22" t="s">
        <v>1923</v>
      </c>
      <c r="E35" t="s">
        <v>1891</v>
      </c>
      <c r="F35" t="s">
        <v>1892</v>
      </c>
      <c r="P35" t="s">
        <v>1830</v>
      </c>
      <c r="Q35" t="s">
        <v>1156</v>
      </c>
      <c r="R35" s="22" t="s">
        <v>1897</v>
      </c>
      <c r="S35" t="s">
        <v>1894</v>
      </c>
      <c r="T35" s="22" t="s">
        <v>1874</v>
      </c>
      <c r="V35">
        <v>1</v>
      </c>
      <c r="AE35" t="s">
        <v>56</v>
      </c>
      <c r="AF35" t="s">
        <v>57</v>
      </c>
      <c r="AH35">
        <v>5</v>
      </c>
      <c r="AI35">
        <v>5</v>
      </c>
      <c r="AM35" s="23">
        <f t="shared" si="0"/>
        <v>146.25</v>
      </c>
      <c r="AN35" s="23">
        <v>390</v>
      </c>
      <c r="AO35" s="24">
        <v>0.2</v>
      </c>
      <c r="AP35" s="23">
        <f t="shared" si="1"/>
        <v>468</v>
      </c>
    </row>
    <row r="36" spans="1:42" ht="15" customHeight="1" x14ac:dyDescent="0.3">
      <c r="A36" t="s">
        <v>1887</v>
      </c>
      <c r="B36" t="s">
        <v>1924</v>
      </c>
      <c r="C36" t="s">
        <v>1889</v>
      </c>
      <c r="D36" s="22" t="s">
        <v>1925</v>
      </c>
      <c r="E36" t="s">
        <v>1891</v>
      </c>
      <c r="F36" t="s">
        <v>1892</v>
      </c>
      <c r="P36" t="s">
        <v>1830</v>
      </c>
      <c r="Q36" t="s">
        <v>1156</v>
      </c>
      <c r="R36" s="22" t="s">
        <v>1900</v>
      </c>
      <c r="S36" t="s">
        <v>1894</v>
      </c>
      <c r="T36" s="22" t="s">
        <v>1874</v>
      </c>
      <c r="V36">
        <v>1</v>
      </c>
      <c r="AE36" t="s">
        <v>56</v>
      </c>
      <c r="AF36" t="s">
        <v>57</v>
      </c>
      <c r="AH36">
        <v>7.2</v>
      </c>
      <c r="AI36">
        <v>7.2</v>
      </c>
      <c r="AM36" s="23">
        <f t="shared" si="0"/>
        <v>198</v>
      </c>
      <c r="AN36" s="23">
        <v>528</v>
      </c>
      <c r="AO36" s="24">
        <v>0.2</v>
      </c>
      <c r="AP36" s="23">
        <f t="shared" si="1"/>
        <v>633.6</v>
      </c>
    </row>
    <row r="37" spans="1:42" ht="15" customHeight="1" x14ac:dyDescent="0.3">
      <c r="A37" t="s">
        <v>1887</v>
      </c>
      <c r="B37" t="s">
        <v>1926</v>
      </c>
      <c r="C37" t="s">
        <v>1889</v>
      </c>
      <c r="D37" s="22" t="s">
        <v>1927</v>
      </c>
      <c r="E37" t="s">
        <v>1891</v>
      </c>
      <c r="F37" t="s">
        <v>1892</v>
      </c>
      <c r="P37" t="s">
        <v>1830</v>
      </c>
      <c r="Q37" t="s">
        <v>1156</v>
      </c>
      <c r="R37" s="22" t="s">
        <v>1893</v>
      </c>
      <c r="S37" t="s">
        <v>1894</v>
      </c>
      <c r="T37" s="22" t="s">
        <v>325</v>
      </c>
      <c r="V37">
        <v>1</v>
      </c>
      <c r="AE37" t="s">
        <v>56</v>
      </c>
      <c r="AF37" t="s">
        <v>57</v>
      </c>
      <c r="AH37">
        <v>2.6</v>
      </c>
      <c r="AI37">
        <v>2.6</v>
      </c>
      <c r="AM37" s="23">
        <f t="shared" si="0"/>
        <v>116.25</v>
      </c>
      <c r="AN37" s="23">
        <v>310</v>
      </c>
      <c r="AO37" s="24">
        <v>0.2</v>
      </c>
      <c r="AP37" s="23">
        <f t="shared" si="1"/>
        <v>372</v>
      </c>
    </row>
    <row r="38" spans="1:42" ht="15" customHeight="1" x14ac:dyDescent="0.3">
      <c r="A38" t="s">
        <v>1887</v>
      </c>
      <c r="B38" t="s">
        <v>1928</v>
      </c>
      <c r="C38" t="s">
        <v>1889</v>
      </c>
      <c r="D38" s="22" t="s">
        <v>1929</v>
      </c>
      <c r="E38" t="s">
        <v>1891</v>
      </c>
      <c r="F38" t="s">
        <v>1892</v>
      </c>
      <c r="P38" t="s">
        <v>1830</v>
      </c>
      <c r="Q38" t="s">
        <v>1156</v>
      </c>
      <c r="R38" s="22" t="s">
        <v>1897</v>
      </c>
      <c r="S38" t="s">
        <v>1894</v>
      </c>
      <c r="T38" s="22" t="s">
        <v>325</v>
      </c>
      <c r="V38">
        <v>1</v>
      </c>
      <c r="AE38" t="s">
        <v>56</v>
      </c>
      <c r="AF38" t="s">
        <v>57</v>
      </c>
      <c r="AH38">
        <v>5</v>
      </c>
      <c r="AI38">
        <v>5</v>
      </c>
      <c r="AM38" s="23">
        <f t="shared" si="0"/>
        <v>146.25</v>
      </c>
      <c r="AN38" s="23">
        <v>390</v>
      </c>
      <c r="AO38" s="24">
        <v>0.2</v>
      </c>
      <c r="AP38" s="23">
        <f t="shared" si="1"/>
        <v>468</v>
      </c>
    </row>
    <row r="39" spans="1:42" ht="15" customHeight="1" x14ac:dyDescent="0.3">
      <c r="A39" t="s">
        <v>1887</v>
      </c>
      <c r="B39" t="s">
        <v>1930</v>
      </c>
      <c r="C39" t="s">
        <v>1889</v>
      </c>
      <c r="D39" s="22" t="s">
        <v>1931</v>
      </c>
      <c r="E39" t="s">
        <v>1891</v>
      </c>
      <c r="F39" t="s">
        <v>1892</v>
      </c>
      <c r="P39" t="s">
        <v>1830</v>
      </c>
      <c r="Q39" t="s">
        <v>1156</v>
      </c>
      <c r="R39" s="22" t="s">
        <v>1900</v>
      </c>
      <c r="S39" t="s">
        <v>1894</v>
      </c>
      <c r="T39" s="22" t="s">
        <v>325</v>
      </c>
      <c r="V39">
        <v>1</v>
      </c>
      <c r="AE39" t="s">
        <v>56</v>
      </c>
      <c r="AF39" t="s">
        <v>57</v>
      </c>
      <c r="AH39">
        <v>7.2</v>
      </c>
      <c r="AI39">
        <v>7.2</v>
      </c>
      <c r="AM39" s="23">
        <f t="shared" si="0"/>
        <v>198</v>
      </c>
      <c r="AN39" s="23">
        <v>528</v>
      </c>
      <c r="AO39" s="24">
        <v>0.2</v>
      </c>
      <c r="AP39" s="23">
        <f t="shared" si="1"/>
        <v>633.6</v>
      </c>
    </row>
    <row r="40" spans="1:42" ht="15" customHeight="1" x14ac:dyDescent="0.3">
      <c r="A40" t="s">
        <v>1887</v>
      </c>
      <c r="B40" t="s">
        <v>1932</v>
      </c>
      <c r="C40" t="s">
        <v>1889</v>
      </c>
      <c r="D40" s="22" t="s">
        <v>1933</v>
      </c>
      <c r="E40" t="s">
        <v>1891</v>
      </c>
      <c r="F40" t="s">
        <v>1892</v>
      </c>
      <c r="P40" t="s">
        <v>1830</v>
      </c>
      <c r="Q40" t="s">
        <v>1156</v>
      </c>
      <c r="R40" s="22" t="s">
        <v>1893</v>
      </c>
      <c r="S40" t="s">
        <v>1894</v>
      </c>
      <c r="T40" s="22" t="s">
        <v>1871</v>
      </c>
      <c r="V40">
        <v>1</v>
      </c>
      <c r="AE40" t="s">
        <v>56</v>
      </c>
      <c r="AF40" t="s">
        <v>57</v>
      </c>
      <c r="AH40">
        <v>2.6</v>
      </c>
      <c r="AI40">
        <v>2.6</v>
      </c>
      <c r="AM40" s="23">
        <f t="shared" si="0"/>
        <v>116.25</v>
      </c>
      <c r="AN40" s="23">
        <v>310</v>
      </c>
      <c r="AO40" s="24">
        <v>0.2</v>
      </c>
      <c r="AP40" s="23">
        <f t="shared" si="1"/>
        <v>372</v>
      </c>
    </row>
    <row r="41" spans="1:42" ht="15" customHeight="1" x14ac:dyDescent="0.3">
      <c r="A41" t="s">
        <v>1887</v>
      </c>
      <c r="B41" t="s">
        <v>1934</v>
      </c>
      <c r="C41" t="s">
        <v>1889</v>
      </c>
      <c r="D41" s="22" t="s">
        <v>1935</v>
      </c>
      <c r="E41" t="s">
        <v>1891</v>
      </c>
      <c r="F41" t="s">
        <v>1892</v>
      </c>
      <c r="P41" t="s">
        <v>1830</v>
      </c>
      <c r="Q41" t="s">
        <v>1156</v>
      </c>
      <c r="R41" s="22" t="s">
        <v>1897</v>
      </c>
      <c r="S41" t="s">
        <v>1894</v>
      </c>
      <c r="T41" s="22" t="s">
        <v>1871</v>
      </c>
      <c r="V41">
        <v>1</v>
      </c>
      <c r="AE41" t="s">
        <v>56</v>
      </c>
      <c r="AF41" t="s">
        <v>57</v>
      </c>
      <c r="AH41">
        <v>5</v>
      </c>
      <c r="AI41">
        <v>5</v>
      </c>
      <c r="AM41" s="23">
        <f t="shared" si="0"/>
        <v>146.25</v>
      </c>
      <c r="AN41" s="23">
        <v>390</v>
      </c>
      <c r="AO41" s="24">
        <v>0.2</v>
      </c>
      <c r="AP41" s="23">
        <f t="shared" si="1"/>
        <v>468</v>
      </c>
    </row>
    <row r="42" spans="1:42" ht="15" customHeight="1" x14ac:dyDescent="0.3">
      <c r="A42" t="s">
        <v>1887</v>
      </c>
      <c r="B42" t="s">
        <v>1936</v>
      </c>
      <c r="C42" t="s">
        <v>1889</v>
      </c>
      <c r="D42" s="22" t="s">
        <v>1937</v>
      </c>
      <c r="E42" t="s">
        <v>1891</v>
      </c>
      <c r="F42" t="s">
        <v>1892</v>
      </c>
      <c r="P42" t="s">
        <v>1830</v>
      </c>
      <c r="Q42" t="s">
        <v>1156</v>
      </c>
      <c r="R42" s="22" t="s">
        <v>1900</v>
      </c>
      <c r="S42" t="s">
        <v>1894</v>
      </c>
      <c r="T42" s="22" t="s">
        <v>1871</v>
      </c>
      <c r="V42">
        <v>1</v>
      </c>
      <c r="AE42" t="s">
        <v>56</v>
      </c>
      <c r="AF42" t="s">
        <v>57</v>
      </c>
      <c r="AH42">
        <v>7.2</v>
      </c>
      <c r="AI42">
        <v>7.2</v>
      </c>
      <c r="AM42" s="23">
        <f t="shared" si="0"/>
        <v>198</v>
      </c>
      <c r="AN42" s="23">
        <v>528</v>
      </c>
      <c r="AO42" s="24">
        <v>0.2</v>
      </c>
      <c r="AP42" s="23">
        <f t="shared" si="1"/>
        <v>633.6</v>
      </c>
    </row>
    <row r="43" spans="1:42" ht="15" customHeight="1" x14ac:dyDescent="0.3">
      <c r="A43" t="s">
        <v>1887</v>
      </c>
      <c r="B43" t="s">
        <v>1938</v>
      </c>
      <c r="C43" t="s">
        <v>1889</v>
      </c>
      <c r="D43" s="22" t="s">
        <v>1939</v>
      </c>
      <c r="E43" t="s">
        <v>1891</v>
      </c>
      <c r="F43" t="s">
        <v>1892</v>
      </c>
      <c r="P43" t="s">
        <v>1830</v>
      </c>
      <c r="Q43" t="s">
        <v>1156</v>
      </c>
      <c r="R43" s="22" t="s">
        <v>1893</v>
      </c>
      <c r="S43" t="s">
        <v>1894</v>
      </c>
      <c r="T43" s="22" t="s">
        <v>1940</v>
      </c>
      <c r="V43">
        <v>1</v>
      </c>
      <c r="AE43" t="s">
        <v>56</v>
      </c>
      <c r="AF43" t="s">
        <v>57</v>
      </c>
      <c r="AH43">
        <v>2.6</v>
      </c>
      <c r="AI43">
        <v>2.6</v>
      </c>
      <c r="AM43" s="23">
        <f t="shared" si="0"/>
        <v>116.25</v>
      </c>
      <c r="AN43" s="23">
        <v>310</v>
      </c>
      <c r="AO43" s="24">
        <v>0.2</v>
      </c>
      <c r="AP43" s="23">
        <f t="shared" si="1"/>
        <v>372</v>
      </c>
    </row>
    <row r="44" spans="1:42" ht="15" customHeight="1" x14ac:dyDescent="0.3">
      <c r="A44" t="s">
        <v>1887</v>
      </c>
      <c r="B44" t="s">
        <v>1941</v>
      </c>
      <c r="C44" t="s">
        <v>1889</v>
      </c>
      <c r="D44" s="22" t="s">
        <v>1942</v>
      </c>
      <c r="E44" t="s">
        <v>1891</v>
      </c>
      <c r="F44" t="s">
        <v>1892</v>
      </c>
      <c r="P44" t="s">
        <v>1830</v>
      </c>
      <c r="Q44" t="s">
        <v>1156</v>
      </c>
      <c r="R44" s="22" t="s">
        <v>1897</v>
      </c>
      <c r="S44" t="s">
        <v>1894</v>
      </c>
      <c r="T44" s="22" t="s">
        <v>1940</v>
      </c>
      <c r="V44">
        <v>1</v>
      </c>
      <c r="AE44" t="s">
        <v>56</v>
      </c>
      <c r="AF44" t="s">
        <v>57</v>
      </c>
      <c r="AH44">
        <v>5</v>
      </c>
      <c r="AI44">
        <v>5</v>
      </c>
      <c r="AM44" s="23">
        <f t="shared" si="0"/>
        <v>146.25</v>
      </c>
      <c r="AN44" s="23">
        <v>390</v>
      </c>
      <c r="AO44" s="24">
        <v>0.2</v>
      </c>
      <c r="AP44" s="23">
        <f t="shared" si="1"/>
        <v>468</v>
      </c>
    </row>
    <row r="45" spans="1:42" ht="15" customHeight="1" x14ac:dyDescent="0.3">
      <c r="A45" t="s">
        <v>1887</v>
      </c>
      <c r="B45" t="s">
        <v>1943</v>
      </c>
      <c r="C45" t="s">
        <v>1889</v>
      </c>
      <c r="D45" s="22" t="s">
        <v>1944</v>
      </c>
      <c r="E45" t="s">
        <v>1891</v>
      </c>
      <c r="F45" t="s">
        <v>1892</v>
      </c>
      <c r="P45" t="s">
        <v>1830</v>
      </c>
      <c r="Q45" t="s">
        <v>1156</v>
      </c>
      <c r="R45" s="22" t="s">
        <v>1900</v>
      </c>
      <c r="S45" t="s">
        <v>1894</v>
      </c>
      <c r="T45" s="22" t="s">
        <v>1940</v>
      </c>
      <c r="V45">
        <v>1</v>
      </c>
      <c r="AE45" t="s">
        <v>56</v>
      </c>
      <c r="AF45" t="s">
        <v>57</v>
      </c>
      <c r="AH45">
        <v>7.2</v>
      </c>
      <c r="AI45">
        <v>7.2</v>
      </c>
      <c r="AM45" s="23">
        <f t="shared" si="0"/>
        <v>198</v>
      </c>
      <c r="AN45" s="23">
        <v>528</v>
      </c>
      <c r="AO45" s="24">
        <v>0.2</v>
      </c>
      <c r="AP45" s="23">
        <f t="shared" si="1"/>
        <v>633.6</v>
      </c>
    </row>
    <row r="46" spans="1:42" ht="15" customHeight="1" x14ac:dyDescent="0.3">
      <c r="A46" t="s">
        <v>1887</v>
      </c>
      <c r="B46" t="s">
        <v>1945</v>
      </c>
      <c r="C46" t="s">
        <v>1889</v>
      </c>
      <c r="D46" s="22" t="s">
        <v>1946</v>
      </c>
      <c r="E46" t="s">
        <v>1891</v>
      </c>
      <c r="F46" t="s">
        <v>1892</v>
      </c>
      <c r="P46" t="s">
        <v>1830</v>
      </c>
      <c r="Q46" t="s">
        <v>1156</v>
      </c>
      <c r="R46" s="22" t="s">
        <v>1893</v>
      </c>
      <c r="S46" t="s">
        <v>1894</v>
      </c>
      <c r="T46" s="22" t="s">
        <v>1883</v>
      </c>
      <c r="V46">
        <v>1</v>
      </c>
      <c r="AE46" t="s">
        <v>56</v>
      </c>
      <c r="AF46" t="s">
        <v>57</v>
      </c>
      <c r="AH46">
        <v>2.6</v>
      </c>
      <c r="AI46">
        <v>2.6</v>
      </c>
      <c r="AM46" s="23">
        <f t="shared" si="0"/>
        <v>116.25</v>
      </c>
      <c r="AN46" s="23">
        <v>310</v>
      </c>
      <c r="AO46" s="24">
        <v>0.2</v>
      </c>
      <c r="AP46" s="23">
        <f t="shared" si="1"/>
        <v>372</v>
      </c>
    </row>
    <row r="47" spans="1:42" ht="15" customHeight="1" x14ac:dyDescent="0.3">
      <c r="A47" t="s">
        <v>1887</v>
      </c>
      <c r="B47" t="s">
        <v>1947</v>
      </c>
      <c r="C47" t="s">
        <v>1889</v>
      </c>
      <c r="D47" s="22" t="s">
        <v>1948</v>
      </c>
      <c r="E47" t="s">
        <v>1891</v>
      </c>
      <c r="F47" t="s">
        <v>1892</v>
      </c>
      <c r="P47" t="s">
        <v>1830</v>
      </c>
      <c r="Q47" t="s">
        <v>1156</v>
      </c>
      <c r="R47" s="22" t="s">
        <v>1897</v>
      </c>
      <c r="S47" t="s">
        <v>1894</v>
      </c>
      <c r="T47" s="22" t="s">
        <v>1883</v>
      </c>
      <c r="V47">
        <v>1</v>
      </c>
      <c r="AE47" t="s">
        <v>56</v>
      </c>
      <c r="AF47" t="s">
        <v>57</v>
      </c>
      <c r="AH47">
        <v>5</v>
      </c>
      <c r="AI47">
        <v>5</v>
      </c>
      <c r="AM47" s="23">
        <f t="shared" si="0"/>
        <v>146.25</v>
      </c>
      <c r="AN47" s="23">
        <v>390</v>
      </c>
      <c r="AO47" s="24">
        <v>0.2</v>
      </c>
      <c r="AP47" s="23">
        <f t="shared" si="1"/>
        <v>468</v>
      </c>
    </row>
    <row r="48" spans="1:42" ht="15" customHeight="1" x14ac:dyDescent="0.3">
      <c r="A48" t="s">
        <v>1887</v>
      </c>
      <c r="B48" t="s">
        <v>1949</v>
      </c>
      <c r="C48" t="s">
        <v>1889</v>
      </c>
      <c r="D48" s="22" t="s">
        <v>1950</v>
      </c>
      <c r="E48" t="s">
        <v>1891</v>
      </c>
      <c r="F48" t="s">
        <v>1892</v>
      </c>
      <c r="P48" t="s">
        <v>1830</v>
      </c>
      <c r="Q48" t="s">
        <v>1156</v>
      </c>
      <c r="R48" s="22" t="s">
        <v>1900</v>
      </c>
      <c r="S48" t="s">
        <v>1894</v>
      </c>
      <c r="T48" s="22" t="s">
        <v>1883</v>
      </c>
      <c r="V48">
        <v>1</v>
      </c>
      <c r="AE48" t="s">
        <v>56</v>
      </c>
      <c r="AF48" t="s">
        <v>57</v>
      </c>
      <c r="AH48">
        <v>7.2</v>
      </c>
      <c r="AI48">
        <v>7.2</v>
      </c>
      <c r="AM48" s="23">
        <f t="shared" si="0"/>
        <v>198</v>
      </c>
      <c r="AN48" s="23">
        <v>528</v>
      </c>
      <c r="AO48" s="24">
        <v>0.2</v>
      </c>
      <c r="AP48" s="23">
        <f t="shared" si="1"/>
        <v>633.6</v>
      </c>
    </row>
    <row r="49" spans="1:42" ht="15" customHeight="1" x14ac:dyDescent="0.3">
      <c r="A49" t="s">
        <v>1887</v>
      </c>
      <c r="B49" t="s">
        <v>1951</v>
      </c>
      <c r="C49" t="s">
        <v>1889</v>
      </c>
      <c r="D49" s="22" t="s">
        <v>1952</v>
      </c>
      <c r="E49" t="s">
        <v>1891</v>
      </c>
      <c r="F49" t="s">
        <v>1892</v>
      </c>
      <c r="P49" t="s">
        <v>1830</v>
      </c>
      <c r="Q49" t="s">
        <v>1156</v>
      </c>
      <c r="R49" s="22" t="s">
        <v>1893</v>
      </c>
      <c r="S49" t="s">
        <v>1894</v>
      </c>
      <c r="T49" s="22" t="s">
        <v>1863</v>
      </c>
      <c r="V49">
        <v>1</v>
      </c>
      <c r="AE49" t="s">
        <v>56</v>
      </c>
      <c r="AF49" t="s">
        <v>57</v>
      </c>
      <c r="AH49">
        <v>2.6</v>
      </c>
      <c r="AI49">
        <v>2.6</v>
      </c>
      <c r="AM49" s="23">
        <f t="shared" si="0"/>
        <v>116.25</v>
      </c>
      <c r="AN49" s="23">
        <v>310</v>
      </c>
      <c r="AO49" s="24">
        <v>0.2</v>
      </c>
      <c r="AP49" s="23">
        <f t="shared" si="1"/>
        <v>372</v>
      </c>
    </row>
    <row r="50" spans="1:42" ht="15" customHeight="1" x14ac:dyDescent="0.3">
      <c r="A50" t="s">
        <v>1887</v>
      </c>
      <c r="B50" t="s">
        <v>1953</v>
      </c>
      <c r="C50" t="s">
        <v>1889</v>
      </c>
      <c r="D50" s="22" t="s">
        <v>1954</v>
      </c>
      <c r="E50" t="s">
        <v>1891</v>
      </c>
      <c r="F50" t="s">
        <v>1892</v>
      </c>
      <c r="P50" t="s">
        <v>1830</v>
      </c>
      <c r="Q50" t="s">
        <v>1156</v>
      </c>
      <c r="R50" s="22" t="s">
        <v>1897</v>
      </c>
      <c r="S50" t="s">
        <v>1894</v>
      </c>
      <c r="T50" s="22" t="s">
        <v>1863</v>
      </c>
      <c r="V50">
        <v>1</v>
      </c>
      <c r="AE50" t="s">
        <v>56</v>
      </c>
      <c r="AF50" t="s">
        <v>57</v>
      </c>
      <c r="AH50">
        <v>5</v>
      </c>
      <c r="AI50">
        <v>5</v>
      </c>
      <c r="AM50" s="23">
        <f t="shared" si="0"/>
        <v>146.25</v>
      </c>
      <c r="AN50" s="23">
        <v>390</v>
      </c>
      <c r="AO50" s="24">
        <v>0.2</v>
      </c>
      <c r="AP50" s="23">
        <f t="shared" si="1"/>
        <v>468</v>
      </c>
    </row>
    <row r="51" spans="1:42" ht="15" customHeight="1" x14ac:dyDescent="0.3">
      <c r="A51" t="s">
        <v>1887</v>
      </c>
      <c r="B51" t="s">
        <v>1955</v>
      </c>
      <c r="C51" t="s">
        <v>1889</v>
      </c>
      <c r="D51" s="22" t="s">
        <v>1956</v>
      </c>
      <c r="E51" t="s">
        <v>1891</v>
      </c>
      <c r="F51" t="s">
        <v>1892</v>
      </c>
      <c r="P51" t="s">
        <v>1830</v>
      </c>
      <c r="Q51" t="s">
        <v>1156</v>
      </c>
      <c r="R51" s="22" t="s">
        <v>1900</v>
      </c>
      <c r="S51" t="s">
        <v>1894</v>
      </c>
      <c r="T51" s="22" t="s">
        <v>1863</v>
      </c>
      <c r="V51">
        <v>1</v>
      </c>
      <c r="AE51" t="s">
        <v>56</v>
      </c>
      <c r="AF51" t="s">
        <v>57</v>
      </c>
      <c r="AH51">
        <v>7.2</v>
      </c>
      <c r="AI51">
        <v>7.2</v>
      </c>
      <c r="AM51" s="23">
        <f t="shared" si="0"/>
        <v>198</v>
      </c>
      <c r="AN51" s="23">
        <v>528</v>
      </c>
      <c r="AO51" s="24">
        <v>0.2</v>
      </c>
      <c r="AP51" s="23">
        <f t="shared" si="1"/>
        <v>633.6</v>
      </c>
    </row>
    <row r="52" spans="1:42" ht="15" customHeight="1" x14ac:dyDescent="0.3">
      <c r="A52" t="s">
        <v>1887</v>
      </c>
      <c r="B52" t="s">
        <v>1957</v>
      </c>
      <c r="C52" t="s">
        <v>1889</v>
      </c>
      <c r="D52" s="22" t="s">
        <v>1958</v>
      </c>
      <c r="E52" t="s">
        <v>1891</v>
      </c>
      <c r="F52" t="s">
        <v>1892</v>
      </c>
      <c r="P52" t="s">
        <v>1830</v>
      </c>
      <c r="Q52" t="s">
        <v>1156</v>
      </c>
      <c r="R52" s="22" t="s">
        <v>1893</v>
      </c>
      <c r="S52" t="s">
        <v>1894</v>
      </c>
      <c r="T52" s="22" t="s">
        <v>328</v>
      </c>
      <c r="V52">
        <v>1</v>
      </c>
      <c r="AE52" t="s">
        <v>56</v>
      </c>
      <c r="AF52" t="s">
        <v>57</v>
      </c>
      <c r="AH52">
        <v>2.6</v>
      </c>
      <c r="AI52">
        <v>2.6</v>
      </c>
      <c r="AM52" s="23">
        <f t="shared" si="0"/>
        <v>116.25</v>
      </c>
      <c r="AN52" s="23">
        <v>310</v>
      </c>
      <c r="AO52" s="24">
        <v>0.2</v>
      </c>
      <c r="AP52" s="23">
        <f t="shared" si="1"/>
        <v>372</v>
      </c>
    </row>
    <row r="53" spans="1:42" ht="15" customHeight="1" x14ac:dyDescent="0.3">
      <c r="A53" t="s">
        <v>1887</v>
      </c>
      <c r="B53" t="s">
        <v>1959</v>
      </c>
      <c r="C53" t="s">
        <v>1889</v>
      </c>
      <c r="D53" s="22" t="s">
        <v>1960</v>
      </c>
      <c r="E53" t="s">
        <v>1891</v>
      </c>
      <c r="F53" t="s">
        <v>1892</v>
      </c>
      <c r="P53" t="s">
        <v>1830</v>
      </c>
      <c r="Q53" t="s">
        <v>1156</v>
      </c>
      <c r="R53" s="22" t="s">
        <v>1897</v>
      </c>
      <c r="S53" t="s">
        <v>1894</v>
      </c>
      <c r="T53" s="22" t="s">
        <v>328</v>
      </c>
      <c r="V53">
        <v>1</v>
      </c>
      <c r="AE53" t="s">
        <v>56</v>
      </c>
      <c r="AF53" t="s">
        <v>57</v>
      </c>
      <c r="AH53">
        <v>5</v>
      </c>
      <c r="AI53">
        <v>5</v>
      </c>
      <c r="AM53" s="23">
        <f t="shared" si="0"/>
        <v>146.25</v>
      </c>
      <c r="AN53" s="23">
        <v>390</v>
      </c>
      <c r="AO53" s="24">
        <v>0.2</v>
      </c>
      <c r="AP53" s="23">
        <f t="shared" si="1"/>
        <v>468</v>
      </c>
    </row>
    <row r="54" spans="1:42" ht="15" customHeight="1" x14ac:dyDescent="0.3">
      <c r="A54" t="s">
        <v>1887</v>
      </c>
      <c r="B54" t="s">
        <v>1961</v>
      </c>
      <c r="C54" t="s">
        <v>1889</v>
      </c>
      <c r="D54" s="22" t="s">
        <v>1962</v>
      </c>
      <c r="E54" t="s">
        <v>1891</v>
      </c>
      <c r="F54" t="s">
        <v>1892</v>
      </c>
      <c r="P54" t="s">
        <v>1830</v>
      </c>
      <c r="Q54" t="s">
        <v>1156</v>
      </c>
      <c r="R54" s="22" t="s">
        <v>1900</v>
      </c>
      <c r="S54" t="s">
        <v>1894</v>
      </c>
      <c r="T54" s="22" t="s">
        <v>328</v>
      </c>
      <c r="V54">
        <v>1</v>
      </c>
      <c r="AE54" t="s">
        <v>56</v>
      </c>
      <c r="AF54" t="s">
        <v>57</v>
      </c>
      <c r="AH54">
        <v>7.2</v>
      </c>
      <c r="AI54">
        <v>7.2</v>
      </c>
      <c r="AM54" s="23">
        <f t="shared" si="0"/>
        <v>198</v>
      </c>
      <c r="AN54" s="23">
        <v>528</v>
      </c>
      <c r="AO54" s="24">
        <v>0.2</v>
      </c>
      <c r="AP54" s="23">
        <f t="shared" si="1"/>
        <v>633.6</v>
      </c>
    </row>
    <row r="55" spans="1:42" ht="15" customHeight="1" x14ac:dyDescent="0.3">
      <c r="A55" t="s">
        <v>1887</v>
      </c>
      <c r="B55" t="s">
        <v>1963</v>
      </c>
      <c r="C55" t="s">
        <v>1889</v>
      </c>
      <c r="D55" s="22" t="s">
        <v>1964</v>
      </c>
      <c r="E55" t="s">
        <v>1891</v>
      </c>
      <c r="F55" t="s">
        <v>1892</v>
      </c>
      <c r="P55" t="s">
        <v>1830</v>
      </c>
      <c r="Q55" t="s">
        <v>1156</v>
      </c>
      <c r="R55" s="22" t="s">
        <v>1893</v>
      </c>
      <c r="S55" t="s">
        <v>1894</v>
      </c>
      <c r="T55" s="22" t="s">
        <v>279</v>
      </c>
      <c r="V55">
        <v>1</v>
      </c>
      <c r="AE55" t="s">
        <v>56</v>
      </c>
      <c r="AF55" t="s">
        <v>57</v>
      </c>
      <c r="AH55">
        <v>2.6</v>
      </c>
      <c r="AI55">
        <v>2.6</v>
      </c>
      <c r="AM55" s="23">
        <f t="shared" si="0"/>
        <v>116.25</v>
      </c>
      <c r="AN55" s="23">
        <v>310</v>
      </c>
      <c r="AO55" s="24">
        <v>0.2</v>
      </c>
      <c r="AP55" s="23">
        <f t="shared" si="1"/>
        <v>372</v>
      </c>
    </row>
    <row r="56" spans="1:42" ht="15" customHeight="1" x14ac:dyDescent="0.3">
      <c r="A56" t="s">
        <v>1887</v>
      </c>
      <c r="B56" t="s">
        <v>1965</v>
      </c>
      <c r="C56" t="s">
        <v>1889</v>
      </c>
      <c r="D56" s="22" t="s">
        <v>1966</v>
      </c>
      <c r="E56" t="s">
        <v>1891</v>
      </c>
      <c r="F56" t="s">
        <v>1892</v>
      </c>
      <c r="P56" t="s">
        <v>1830</v>
      </c>
      <c r="Q56" t="s">
        <v>1156</v>
      </c>
      <c r="R56" s="22" t="s">
        <v>1897</v>
      </c>
      <c r="S56" t="s">
        <v>1894</v>
      </c>
      <c r="T56" s="22" t="s">
        <v>279</v>
      </c>
      <c r="V56">
        <v>1</v>
      </c>
      <c r="AE56" t="s">
        <v>56</v>
      </c>
      <c r="AF56" t="s">
        <v>57</v>
      </c>
      <c r="AH56">
        <v>5</v>
      </c>
      <c r="AI56">
        <v>5</v>
      </c>
      <c r="AM56" s="23">
        <f t="shared" si="0"/>
        <v>146.25</v>
      </c>
      <c r="AN56" s="23">
        <v>390</v>
      </c>
      <c r="AO56" s="24">
        <v>0.2</v>
      </c>
      <c r="AP56" s="23">
        <f t="shared" si="1"/>
        <v>468</v>
      </c>
    </row>
    <row r="57" spans="1:42" ht="15" customHeight="1" x14ac:dyDescent="0.3">
      <c r="A57" t="s">
        <v>1887</v>
      </c>
      <c r="B57" t="s">
        <v>1967</v>
      </c>
      <c r="C57" t="s">
        <v>1889</v>
      </c>
      <c r="D57" s="22" t="s">
        <v>1968</v>
      </c>
      <c r="E57" t="s">
        <v>1891</v>
      </c>
      <c r="F57" t="s">
        <v>1892</v>
      </c>
      <c r="P57" t="s">
        <v>1830</v>
      </c>
      <c r="Q57" t="s">
        <v>1156</v>
      </c>
      <c r="R57" s="22" t="s">
        <v>1900</v>
      </c>
      <c r="S57" t="s">
        <v>1894</v>
      </c>
      <c r="T57" s="22" t="s">
        <v>279</v>
      </c>
      <c r="V57">
        <v>1</v>
      </c>
      <c r="AE57" t="s">
        <v>56</v>
      </c>
      <c r="AF57" t="s">
        <v>57</v>
      </c>
      <c r="AH57">
        <v>7.2</v>
      </c>
      <c r="AI57">
        <v>7.2</v>
      </c>
      <c r="AM57" s="23">
        <f t="shared" si="0"/>
        <v>198</v>
      </c>
      <c r="AN57" s="23">
        <v>528</v>
      </c>
      <c r="AO57" s="24">
        <v>0.2</v>
      </c>
      <c r="AP57" s="23">
        <f t="shared" si="1"/>
        <v>633.6</v>
      </c>
    </row>
    <row r="58" spans="1:42" ht="15" customHeight="1" x14ac:dyDescent="0.3">
      <c r="A58" t="s">
        <v>1887</v>
      </c>
      <c r="B58" t="s">
        <v>1969</v>
      </c>
      <c r="C58" t="s">
        <v>1889</v>
      </c>
      <c r="D58" s="22" t="s">
        <v>1970</v>
      </c>
      <c r="E58" t="s">
        <v>1891</v>
      </c>
      <c r="F58" t="s">
        <v>1892</v>
      </c>
      <c r="P58" t="s">
        <v>1830</v>
      </c>
      <c r="Q58" t="s">
        <v>1156</v>
      </c>
      <c r="R58" s="22" t="s">
        <v>1893</v>
      </c>
      <c r="S58" t="s">
        <v>1894</v>
      </c>
      <c r="T58" s="22" t="s">
        <v>1854</v>
      </c>
      <c r="V58">
        <v>1</v>
      </c>
      <c r="AE58" t="s">
        <v>56</v>
      </c>
      <c r="AF58" t="s">
        <v>57</v>
      </c>
      <c r="AH58">
        <v>2.6</v>
      </c>
      <c r="AI58">
        <v>2.6</v>
      </c>
      <c r="AM58" s="23">
        <f t="shared" si="0"/>
        <v>116.25</v>
      </c>
      <c r="AN58" s="23">
        <v>310</v>
      </c>
      <c r="AO58" s="24">
        <v>0.2</v>
      </c>
      <c r="AP58" s="23">
        <f t="shared" si="1"/>
        <v>372</v>
      </c>
    </row>
    <row r="59" spans="1:42" ht="15" customHeight="1" x14ac:dyDescent="0.3">
      <c r="A59" t="s">
        <v>1887</v>
      </c>
      <c r="B59" t="s">
        <v>1971</v>
      </c>
      <c r="C59" t="s">
        <v>1889</v>
      </c>
      <c r="D59" s="22" t="s">
        <v>1972</v>
      </c>
      <c r="E59" t="s">
        <v>1891</v>
      </c>
      <c r="F59" t="s">
        <v>1892</v>
      </c>
      <c r="P59" t="s">
        <v>1830</v>
      </c>
      <c r="Q59" t="s">
        <v>1156</v>
      </c>
      <c r="R59" s="22" t="s">
        <v>1897</v>
      </c>
      <c r="S59" t="s">
        <v>1894</v>
      </c>
      <c r="T59" s="22" t="s">
        <v>1854</v>
      </c>
      <c r="V59">
        <v>1</v>
      </c>
      <c r="AE59" t="s">
        <v>56</v>
      </c>
      <c r="AF59" t="s">
        <v>57</v>
      </c>
      <c r="AH59">
        <v>5</v>
      </c>
      <c r="AI59">
        <v>5</v>
      </c>
      <c r="AM59" s="23">
        <f t="shared" si="0"/>
        <v>146.25</v>
      </c>
      <c r="AN59" s="23">
        <v>390</v>
      </c>
      <c r="AO59" s="24">
        <v>0.2</v>
      </c>
      <c r="AP59" s="23">
        <f t="shared" si="1"/>
        <v>468</v>
      </c>
    </row>
    <row r="60" spans="1:42" ht="15" customHeight="1" x14ac:dyDescent="0.3">
      <c r="A60" t="s">
        <v>1887</v>
      </c>
      <c r="B60" t="s">
        <v>1973</v>
      </c>
      <c r="C60" t="s">
        <v>1889</v>
      </c>
      <c r="D60" s="22" t="s">
        <v>1974</v>
      </c>
      <c r="E60" t="s">
        <v>1891</v>
      </c>
      <c r="F60" t="s">
        <v>1892</v>
      </c>
      <c r="P60" t="s">
        <v>1830</v>
      </c>
      <c r="Q60" t="s">
        <v>1156</v>
      </c>
      <c r="R60" s="22" t="s">
        <v>1900</v>
      </c>
      <c r="S60" t="s">
        <v>1894</v>
      </c>
      <c r="T60" s="22" t="s">
        <v>1854</v>
      </c>
      <c r="V60">
        <v>1</v>
      </c>
      <c r="AE60" t="s">
        <v>56</v>
      </c>
      <c r="AF60" t="s">
        <v>57</v>
      </c>
      <c r="AH60">
        <v>7.2</v>
      </c>
      <c r="AI60">
        <v>7.2</v>
      </c>
      <c r="AM60" s="23">
        <f t="shared" si="0"/>
        <v>198</v>
      </c>
      <c r="AN60" s="23">
        <v>528</v>
      </c>
      <c r="AO60" s="24">
        <v>0.2</v>
      </c>
      <c r="AP60" s="23">
        <f t="shared" si="1"/>
        <v>633.6</v>
      </c>
    </row>
    <row r="61" spans="1:42" ht="15" customHeight="1" x14ac:dyDescent="0.3">
      <c r="A61" t="s">
        <v>1975</v>
      </c>
      <c r="B61" t="s">
        <v>1976</v>
      </c>
      <c r="C61" t="s">
        <v>1977</v>
      </c>
      <c r="D61" s="22" t="s">
        <v>1978</v>
      </c>
      <c r="E61" t="s">
        <v>1979</v>
      </c>
      <c r="F61" t="s">
        <v>1980</v>
      </c>
      <c r="P61" t="s">
        <v>1830</v>
      </c>
      <c r="Q61" t="s">
        <v>1981</v>
      </c>
      <c r="R61" t="s">
        <v>1982</v>
      </c>
      <c r="S61" t="s">
        <v>1894</v>
      </c>
      <c r="T61" s="22" t="s">
        <v>328</v>
      </c>
      <c r="V61">
        <v>1</v>
      </c>
      <c r="AE61" t="s">
        <v>56</v>
      </c>
      <c r="AF61" t="s">
        <v>57</v>
      </c>
      <c r="AH61">
        <v>48</v>
      </c>
      <c r="AI61">
        <v>48</v>
      </c>
      <c r="AM61" s="23">
        <f t="shared" si="0"/>
        <v>137.625</v>
      </c>
      <c r="AN61" s="23">
        <v>367</v>
      </c>
      <c r="AO61" s="24">
        <v>0.2</v>
      </c>
      <c r="AP61" s="23">
        <f t="shared" si="1"/>
        <v>440.4</v>
      </c>
    </row>
    <row r="62" spans="1:42" ht="15" customHeight="1" x14ac:dyDescent="0.3">
      <c r="A62" t="s">
        <v>1975</v>
      </c>
      <c r="B62" t="s">
        <v>1983</v>
      </c>
      <c r="C62" t="s">
        <v>1977</v>
      </c>
      <c r="D62" s="22" t="s">
        <v>1984</v>
      </c>
      <c r="E62" t="s">
        <v>1979</v>
      </c>
      <c r="F62" t="s">
        <v>1980</v>
      </c>
      <c r="P62" t="s">
        <v>1830</v>
      </c>
      <c r="Q62" t="s">
        <v>1981</v>
      </c>
      <c r="R62" t="s">
        <v>1985</v>
      </c>
      <c r="S62" t="s">
        <v>1894</v>
      </c>
      <c r="T62" s="22" t="s">
        <v>328</v>
      </c>
      <c r="V62">
        <v>1</v>
      </c>
      <c r="AE62" t="s">
        <v>56</v>
      </c>
      <c r="AF62" t="s">
        <v>57</v>
      </c>
      <c r="AH62">
        <v>53</v>
      </c>
      <c r="AI62">
        <v>53</v>
      </c>
      <c r="AM62" s="23">
        <f t="shared" si="0"/>
        <v>149.25</v>
      </c>
      <c r="AN62" s="23">
        <v>398</v>
      </c>
      <c r="AO62" s="24">
        <v>0.2</v>
      </c>
      <c r="AP62" s="23">
        <f t="shared" si="1"/>
        <v>477.59999999999997</v>
      </c>
    </row>
    <row r="63" spans="1:42" ht="15" customHeight="1" x14ac:dyDescent="0.3">
      <c r="A63" t="s">
        <v>1975</v>
      </c>
      <c r="B63" t="s">
        <v>1986</v>
      </c>
      <c r="C63" t="s">
        <v>1977</v>
      </c>
      <c r="D63" s="22" t="s">
        <v>1987</v>
      </c>
      <c r="E63" t="s">
        <v>1979</v>
      </c>
      <c r="F63" t="s">
        <v>1980</v>
      </c>
      <c r="P63" t="s">
        <v>1830</v>
      </c>
      <c r="Q63" t="s">
        <v>1981</v>
      </c>
      <c r="R63" t="s">
        <v>1988</v>
      </c>
      <c r="S63" t="s">
        <v>1894</v>
      </c>
      <c r="T63" s="22" t="s">
        <v>328</v>
      </c>
      <c r="V63">
        <v>1</v>
      </c>
      <c r="AE63" t="s">
        <v>56</v>
      </c>
      <c r="AF63" t="s">
        <v>57</v>
      </c>
      <c r="AH63">
        <v>58</v>
      </c>
      <c r="AI63">
        <v>58</v>
      </c>
      <c r="AM63" s="23">
        <f t="shared" si="0"/>
        <v>164.25</v>
      </c>
      <c r="AN63" s="23">
        <v>438</v>
      </c>
      <c r="AO63" s="24">
        <v>0.2</v>
      </c>
      <c r="AP63" s="23">
        <f t="shared" si="1"/>
        <v>525.6</v>
      </c>
    </row>
    <row r="64" spans="1:42" ht="15" customHeight="1" x14ac:dyDescent="0.3">
      <c r="A64" t="s">
        <v>1975</v>
      </c>
      <c r="B64" t="s">
        <v>1989</v>
      </c>
      <c r="C64" t="s">
        <v>1977</v>
      </c>
      <c r="D64" s="22" t="s">
        <v>1990</v>
      </c>
      <c r="E64" t="s">
        <v>1979</v>
      </c>
      <c r="F64" t="s">
        <v>1980</v>
      </c>
      <c r="P64" t="s">
        <v>1830</v>
      </c>
      <c r="Q64" t="s">
        <v>1981</v>
      </c>
      <c r="R64" t="s">
        <v>1991</v>
      </c>
      <c r="S64" t="s">
        <v>1894</v>
      </c>
      <c r="T64" s="22" t="s">
        <v>328</v>
      </c>
      <c r="V64">
        <v>1</v>
      </c>
      <c r="AE64" t="s">
        <v>56</v>
      </c>
      <c r="AF64" t="s">
        <v>57</v>
      </c>
      <c r="AH64">
        <v>63</v>
      </c>
      <c r="AI64">
        <v>63</v>
      </c>
      <c r="AM64" s="23">
        <f t="shared" si="0"/>
        <v>175.875</v>
      </c>
      <c r="AN64" s="23">
        <v>469</v>
      </c>
      <c r="AO64" s="24">
        <v>0.2</v>
      </c>
      <c r="AP64" s="23">
        <f t="shared" si="1"/>
        <v>562.79999999999995</v>
      </c>
    </row>
    <row r="65" spans="1:42" ht="15" customHeight="1" x14ac:dyDescent="0.3">
      <c r="A65" t="s">
        <v>1975</v>
      </c>
      <c r="B65" t="s">
        <v>1992</v>
      </c>
      <c r="C65" t="s">
        <v>1977</v>
      </c>
      <c r="D65" s="22" t="s">
        <v>1993</v>
      </c>
      <c r="E65" t="s">
        <v>1979</v>
      </c>
      <c r="F65" t="s">
        <v>1980</v>
      </c>
      <c r="P65" t="s">
        <v>1830</v>
      </c>
      <c r="Q65" t="s">
        <v>1981</v>
      </c>
      <c r="R65" t="s">
        <v>1994</v>
      </c>
      <c r="S65" t="s">
        <v>1894</v>
      </c>
      <c r="T65" s="22" t="s">
        <v>328</v>
      </c>
      <c r="V65">
        <v>1</v>
      </c>
      <c r="AE65" t="s">
        <v>56</v>
      </c>
      <c r="AF65" t="s">
        <v>57</v>
      </c>
      <c r="AH65">
        <v>68</v>
      </c>
      <c r="AI65">
        <v>68</v>
      </c>
      <c r="AM65" s="23">
        <f t="shared" si="0"/>
        <v>190.5</v>
      </c>
      <c r="AN65" s="23">
        <v>508</v>
      </c>
      <c r="AO65" s="24">
        <v>0.2</v>
      </c>
      <c r="AP65" s="23">
        <f t="shared" si="1"/>
        <v>609.6</v>
      </c>
    </row>
    <row r="66" spans="1:42" ht="15" customHeight="1" x14ac:dyDescent="0.3">
      <c r="A66" t="s">
        <v>1975</v>
      </c>
      <c r="B66" t="s">
        <v>1995</v>
      </c>
      <c r="C66" t="s">
        <v>1977</v>
      </c>
      <c r="D66" s="22" t="s">
        <v>1996</v>
      </c>
      <c r="E66" t="s">
        <v>1979</v>
      </c>
      <c r="F66" t="s">
        <v>1980</v>
      </c>
      <c r="P66" t="s">
        <v>1830</v>
      </c>
      <c r="Q66" t="s">
        <v>1981</v>
      </c>
      <c r="R66" t="s">
        <v>1997</v>
      </c>
      <c r="S66" t="s">
        <v>1894</v>
      </c>
      <c r="T66" s="22" t="s">
        <v>328</v>
      </c>
      <c r="V66">
        <v>1</v>
      </c>
      <c r="AE66" t="s">
        <v>56</v>
      </c>
      <c r="AF66" t="s">
        <v>57</v>
      </c>
      <c r="AH66">
        <v>72</v>
      </c>
      <c r="AI66">
        <v>72</v>
      </c>
      <c r="AM66" s="23">
        <f t="shared" ref="AM66:AM129" si="2">AN66*0.5*0.75</f>
        <v>202.875</v>
      </c>
      <c r="AN66" s="23">
        <v>541</v>
      </c>
      <c r="AO66" s="24">
        <v>0.2</v>
      </c>
      <c r="AP66" s="23">
        <f t="shared" ref="AP66:AP129" si="3">AN66*1.2</f>
        <v>649.19999999999993</v>
      </c>
    </row>
    <row r="67" spans="1:42" ht="15" customHeight="1" x14ac:dyDescent="0.3">
      <c r="A67" t="s">
        <v>1975</v>
      </c>
      <c r="B67" t="s">
        <v>1998</v>
      </c>
      <c r="C67" t="s">
        <v>1977</v>
      </c>
      <c r="D67" s="22" t="s">
        <v>1999</v>
      </c>
      <c r="E67" t="s">
        <v>1979</v>
      </c>
      <c r="F67" t="s">
        <v>1980</v>
      </c>
      <c r="P67" t="s">
        <v>1830</v>
      </c>
      <c r="Q67" t="s">
        <v>1981</v>
      </c>
      <c r="R67" t="s">
        <v>2000</v>
      </c>
      <c r="S67" t="s">
        <v>1894</v>
      </c>
      <c r="T67" s="22" t="s">
        <v>328</v>
      </c>
      <c r="V67">
        <v>1</v>
      </c>
      <c r="AE67" t="s">
        <v>56</v>
      </c>
      <c r="AF67" t="s">
        <v>57</v>
      </c>
      <c r="AH67">
        <v>77</v>
      </c>
      <c r="AI67">
        <v>77</v>
      </c>
      <c r="AM67" s="23">
        <f t="shared" si="2"/>
        <v>215.25</v>
      </c>
      <c r="AN67" s="23">
        <v>574</v>
      </c>
      <c r="AO67" s="24">
        <v>0.2</v>
      </c>
      <c r="AP67" s="23">
        <f t="shared" si="3"/>
        <v>688.8</v>
      </c>
    </row>
    <row r="68" spans="1:42" ht="15" customHeight="1" x14ac:dyDescent="0.3">
      <c r="A68" t="s">
        <v>1975</v>
      </c>
      <c r="B68" t="s">
        <v>2001</v>
      </c>
      <c r="C68" t="s">
        <v>1977</v>
      </c>
      <c r="D68" s="22" t="s">
        <v>2002</v>
      </c>
      <c r="E68" t="s">
        <v>1979</v>
      </c>
      <c r="F68" t="s">
        <v>1980</v>
      </c>
      <c r="P68" t="s">
        <v>1830</v>
      </c>
      <c r="Q68" t="s">
        <v>1981</v>
      </c>
      <c r="R68" t="s">
        <v>2003</v>
      </c>
      <c r="S68" t="s">
        <v>1894</v>
      </c>
      <c r="T68" s="22" t="s">
        <v>328</v>
      </c>
      <c r="V68">
        <v>1</v>
      </c>
      <c r="AE68" t="s">
        <v>56</v>
      </c>
      <c r="AF68" t="s">
        <v>57</v>
      </c>
      <c r="AH68">
        <v>82</v>
      </c>
      <c r="AI68">
        <v>82</v>
      </c>
      <c r="AM68" s="23">
        <f t="shared" si="2"/>
        <v>226.5</v>
      </c>
      <c r="AN68" s="23">
        <v>604</v>
      </c>
      <c r="AO68" s="24">
        <v>0.2</v>
      </c>
      <c r="AP68" s="23">
        <f t="shared" si="3"/>
        <v>724.8</v>
      </c>
    </row>
    <row r="69" spans="1:42" ht="15" customHeight="1" x14ac:dyDescent="0.3">
      <c r="A69" t="s">
        <v>1975</v>
      </c>
      <c r="B69" t="s">
        <v>2004</v>
      </c>
      <c r="C69" t="s">
        <v>1977</v>
      </c>
      <c r="D69" s="22" t="s">
        <v>2005</v>
      </c>
      <c r="E69" t="s">
        <v>1979</v>
      </c>
      <c r="F69" t="s">
        <v>1980</v>
      </c>
      <c r="P69" t="s">
        <v>1830</v>
      </c>
      <c r="Q69" t="s">
        <v>1981</v>
      </c>
      <c r="R69" t="s">
        <v>2006</v>
      </c>
      <c r="S69" t="s">
        <v>1894</v>
      </c>
      <c r="T69" s="22" t="s">
        <v>328</v>
      </c>
      <c r="V69">
        <v>1</v>
      </c>
      <c r="AE69" t="s">
        <v>56</v>
      </c>
      <c r="AF69" t="s">
        <v>57</v>
      </c>
      <c r="AH69">
        <v>87</v>
      </c>
      <c r="AI69">
        <v>87</v>
      </c>
      <c r="AM69" s="23">
        <f t="shared" si="2"/>
        <v>242.25</v>
      </c>
      <c r="AN69" s="23">
        <v>646</v>
      </c>
      <c r="AO69" s="24">
        <v>0.2</v>
      </c>
      <c r="AP69" s="23">
        <f t="shared" si="3"/>
        <v>775.19999999999993</v>
      </c>
    </row>
    <row r="70" spans="1:42" ht="15" customHeight="1" x14ac:dyDescent="0.3">
      <c r="A70" t="s">
        <v>1975</v>
      </c>
      <c r="B70" t="s">
        <v>2007</v>
      </c>
      <c r="C70" t="s">
        <v>1977</v>
      </c>
      <c r="D70" s="22" t="s">
        <v>2008</v>
      </c>
      <c r="E70" t="s">
        <v>1979</v>
      </c>
      <c r="F70" t="s">
        <v>1980</v>
      </c>
      <c r="P70" t="s">
        <v>1830</v>
      </c>
      <c r="Q70" t="s">
        <v>1981</v>
      </c>
      <c r="R70" t="s">
        <v>2009</v>
      </c>
      <c r="S70" t="s">
        <v>1894</v>
      </c>
      <c r="T70" s="22" t="s">
        <v>328</v>
      </c>
      <c r="V70">
        <v>1</v>
      </c>
      <c r="AE70" t="s">
        <v>56</v>
      </c>
      <c r="AF70" t="s">
        <v>57</v>
      </c>
      <c r="AH70">
        <v>92</v>
      </c>
      <c r="AI70">
        <v>92</v>
      </c>
      <c r="AM70" s="23">
        <f t="shared" si="2"/>
        <v>253.875</v>
      </c>
      <c r="AN70" s="23">
        <v>677</v>
      </c>
      <c r="AO70" s="24">
        <v>0.2</v>
      </c>
      <c r="AP70" s="23">
        <f t="shared" si="3"/>
        <v>812.4</v>
      </c>
    </row>
    <row r="71" spans="1:42" ht="15" customHeight="1" x14ac:dyDescent="0.3">
      <c r="A71" t="s">
        <v>1975</v>
      </c>
      <c r="B71" t="s">
        <v>2010</v>
      </c>
      <c r="C71" t="s">
        <v>1977</v>
      </c>
      <c r="D71" s="22" t="s">
        <v>2011</v>
      </c>
      <c r="E71" t="s">
        <v>1979</v>
      </c>
      <c r="F71" t="s">
        <v>1980</v>
      </c>
      <c r="P71" t="s">
        <v>1830</v>
      </c>
      <c r="Q71" t="s">
        <v>1981</v>
      </c>
      <c r="R71" t="s">
        <v>2012</v>
      </c>
      <c r="S71" t="s">
        <v>1894</v>
      </c>
      <c r="T71" s="22" t="s">
        <v>328</v>
      </c>
      <c r="V71">
        <v>1</v>
      </c>
      <c r="AE71" t="s">
        <v>56</v>
      </c>
      <c r="AF71" t="s">
        <v>57</v>
      </c>
      <c r="AH71">
        <v>96</v>
      </c>
      <c r="AI71">
        <v>96</v>
      </c>
      <c r="AM71" s="23">
        <f t="shared" si="2"/>
        <v>266.25</v>
      </c>
      <c r="AN71" s="23">
        <v>710</v>
      </c>
      <c r="AO71" s="24">
        <v>0.2</v>
      </c>
      <c r="AP71" s="23">
        <f t="shared" si="3"/>
        <v>852</v>
      </c>
    </row>
    <row r="72" spans="1:42" ht="15" customHeight="1" x14ac:dyDescent="0.3">
      <c r="A72" t="s">
        <v>1975</v>
      </c>
      <c r="B72" t="s">
        <v>2013</v>
      </c>
      <c r="C72" t="s">
        <v>1977</v>
      </c>
      <c r="D72" s="22" t="s">
        <v>2014</v>
      </c>
      <c r="E72" t="s">
        <v>1979</v>
      </c>
      <c r="F72" t="s">
        <v>1980</v>
      </c>
      <c r="P72" t="s">
        <v>1830</v>
      </c>
      <c r="Q72" t="s">
        <v>1981</v>
      </c>
      <c r="R72" t="s">
        <v>2015</v>
      </c>
      <c r="S72" t="s">
        <v>1894</v>
      </c>
      <c r="T72" s="22" t="s">
        <v>328</v>
      </c>
      <c r="V72">
        <v>1</v>
      </c>
      <c r="AE72" t="s">
        <v>56</v>
      </c>
      <c r="AF72" t="s">
        <v>57</v>
      </c>
      <c r="AH72">
        <v>34</v>
      </c>
      <c r="AI72">
        <v>34</v>
      </c>
      <c r="AM72" s="23">
        <f t="shared" si="2"/>
        <v>108</v>
      </c>
      <c r="AN72" s="23">
        <v>288</v>
      </c>
      <c r="AO72" s="24">
        <v>0.2</v>
      </c>
      <c r="AP72" s="23">
        <f t="shared" si="3"/>
        <v>345.59999999999997</v>
      </c>
    </row>
    <row r="73" spans="1:42" ht="15" customHeight="1" x14ac:dyDescent="0.3">
      <c r="A73" t="s">
        <v>1975</v>
      </c>
      <c r="B73" t="s">
        <v>2016</v>
      </c>
      <c r="C73" t="s">
        <v>1977</v>
      </c>
      <c r="D73" s="22" t="s">
        <v>2017</v>
      </c>
      <c r="E73" t="s">
        <v>1979</v>
      </c>
      <c r="F73" t="s">
        <v>1980</v>
      </c>
      <c r="P73" t="s">
        <v>1830</v>
      </c>
      <c r="Q73" t="s">
        <v>1981</v>
      </c>
      <c r="R73" t="s">
        <v>2018</v>
      </c>
      <c r="S73" t="s">
        <v>1894</v>
      </c>
      <c r="T73" s="22" t="s">
        <v>328</v>
      </c>
      <c r="V73">
        <v>1</v>
      </c>
      <c r="AE73" t="s">
        <v>56</v>
      </c>
      <c r="AF73" t="s">
        <v>57</v>
      </c>
      <c r="AH73">
        <v>37</v>
      </c>
      <c r="AI73">
        <v>37</v>
      </c>
      <c r="AM73" s="23">
        <f t="shared" si="2"/>
        <v>126.75</v>
      </c>
      <c r="AN73" s="23">
        <v>338</v>
      </c>
      <c r="AO73" s="24">
        <v>0.2</v>
      </c>
      <c r="AP73" s="23">
        <f t="shared" si="3"/>
        <v>405.59999999999997</v>
      </c>
    </row>
    <row r="74" spans="1:42" ht="15" customHeight="1" x14ac:dyDescent="0.3">
      <c r="A74" t="s">
        <v>1975</v>
      </c>
      <c r="B74" t="s">
        <v>2019</v>
      </c>
      <c r="C74" t="s">
        <v>1977</v>
      </c>
      <c r="D74" s="22" t="s">
        <v>2020</v>
      </c>
      <c r="E74" t="s">
        <v>1979</v>
      </c>
      <c r="F74" t="s">
        <v>1980</v>
      </c>
      <c r="P74" t="s">
        <v>1830</v>
      </c>
      <c r="Q74" t="s">
        <v>1981</v>
      </c>
      <c r="R74" t="s">
        <v>2021</v>
      </c>
      <c r="S74" t="s">
        <v>1894</v>
      </c>
      <c r="T74" s="22" t="s">
        <v>328</v>
      </c>
      <c r="V74">
        <v>1</v>
      </c>
      <c r="AE74" t="s">
        <v>56</v>
      </c>
      <c r="AF74" t="s">
        <v>57</v>
      </c>
      <c r="AH74">
        <v>41</v>
      </c>
      <c r="AI74">
        <v>41</v>
      </c>
      <c r="AM74" s="23">
        <f t="shared" si="2"/>
        <v>129.375</v>
      </c>
      <c r="AN74" s="23">
        <v>345</v>
      </c>
      <c r="AO74" s="24">
        <v>0.2</v>
      </c>
      <c r="AP74" s="23">
        <f t="shared" si="3"/>
        <v>414</v>
      </c>
    </row>
    <row r="75" spans="1:42" ht="15" customHeight="1" x14ac:dyDescent="0.3">
      <c r="A75" t="s">
        <v>1975</v>
      </c>
      <c r="B75" t="s">
        <v>2022</v>
      </c>
      <c r="C75" t="s">
        <v>1977</v>
      </c>
      <c r="D75" s="22" t="s">
        <v>2023</v>
      </c>
      <c r="E75" t="s">
        <v>1979</v>
      </c>
      <c r="F75" t="s">
        <v>1980</v>
      </c>
      <c r="P75" t="s">
        <v>1830</v>
      </c>
      <c r="Q75" t="s">
        <v>1981</v>
      </c>
      <c r="R75" t="s">
        <v>2024</v>
      </c>
      <c r="S75" t="s">
        <v>1894</v>
      </c>
      <c r="T75" s="22" t="s">
        <v>328</v>
      </c>
      <c r="V75">
        <v>1</v>
      </c>
      <c r="AE75" t="s">
        <v>56</v>
      </c>
      <c r="AF75" t="s">
        <v>57</v>
      </c>
      <c r="AH75">
        <v>44</v>
      </c>
      <c r="AI75">
        <v>44</v>
      </c>
      <c r="AM75" s="23">
        <f t="shared" si="2"/>
        <v>139.875</v>
      </c>
      <c r="AN75" s="23">
        <v>373</v>
      </c>
      <c r="AO75" s="24">
        <v>0.2</v>
      </c>
      <c r="AP75" s="23">
        <f t="shared" si="3"/>
        <v>447.59999999999997</v>
      </c>
    </row>
    <row r="76" spans="1:42" ht="15" customHeight="1" x14ac:dyDescent="0.3">
      <c r="A76" t="s">
        <v>1975</v>
      </c>
      <c r="B76" t="s">
        <v>2025</v>
      </c>
      <c r="C76" t="s">
        <v>1977</v>
      </c>
      <c r="D76" s="22" t="s">
        <v>2026</v>
      </c>
      <c r="E76" t="s">
        <v>1979</v>
      </c>
      <c r="F76" t="s">
        <v>1980</v>
      </c>
      <c r="P76" t="s">
        <v>1830</v>
      </c>
      <c r="Q76" t="s">
        <v>1981</v>
      </c>
      <c r="R76" t="s">
        <v>2027</v>
      </c>
      <c r="S76" t="s">
        <v>1894</v>
      </c>
      <c r="T76" s="22" t="s">
        <v>328</v>
      </c>
      <c r="V76">
        <v>1</v>
      </c>
      <c r="AE76" t="s">
        <v>56</v>
      </c>
      <c r="AF76" t="s">
        <v>57</v>
      </c>
      <c r="AH76">
        <v>48</v>
      </c>
      <c r="AI76">
        <v>48</v>
      </c>
      <c r="AM76" s="23">
        <f t="shared" si="2"/>
        <v>139.875</v>
      </c>
      <c r="AN76" s="23">
        <v>373</v>
      </c>
      <c r="AO76" s="24">
        <v>0.2</v>
      </c>
      <c r="AP76" s="23">
        <f t="shared" si="3"/>
        <v>447.59999999999997</v>
      </c>
    </row>
    <row r="77" spans="1:42" ht="15" customHeight="1" x14ac:dyDescent="0.3">
      <c r="A77" t="s">
        <v>1975</v>
      </c>
      <c r="B77" t="s">
        <v>2028</v>
      </c>
      <c r="C77" t="s">
        <v>1977</v>
      </c>
      <c r="D77" s="22" t="s">
        <v>2029</v>
      </c>
      <c r="E77" t="s">
        <v>1979</v>
      </c>
      <c r="F77" t="s">
        <v>1980</v>
      </c>
      <c r="P77" t="s">
        <v>1830</v>
      </c>
      <c r="Q77" t="s">
        <v>1981</v>
      </c>
      <c r="R77" t="s">
        <v>2030</v>
      </c>
      <c r="S77" t="s">
        <v>1894</v>
      </c>
      <c r="T77" s="22" t="s">
        <v>328</v>
      </c>
      <c r="V77">
        <v>1</v>
      </c>
      <c r="AE77" t="s">
        <v>56</v>
      </c>
      <c r="AF77" t="s">
        <v>57</v>
      </c>
      <c r="AH77">
        <v>51</v>
      </c>
      <c r="AI77">
        <v>51</v>
      </c>
      <c r="AM77" s="23">
        <f t="shared" si="2"/>
        <v>148.125</v>
      </c>
      <c r="AN77" s="23">
        <v>395</v>
      </c>
      <c r="AO77" s="24">
        <v>0.2</v>
      </c>
      <c r="AP77" s="23">
        <f t="shared" si="3"/>
        <v>474</v>
      </c>
    </row>
    <row r="78" spans="1:42" ht="15" customHeight="1" x14ac:dyDescent="0.3">
      <c r="A78" t="s">
        <v>1975</v>
      </c>
      <c r="B78" t="s">
        <v>2031</v>
      </c>
      <c r="C78" t="s">
        <v>1977</v>
      </c>
      <c r="D78" s="22" t="s">
        <v>2032</v>
      </c>
      <c r="E78" t="s">
        <v>1979</v>
      </c>
      <c r="F78" t="s">
        <v>1980</v>
      </c>
      <c r="P78" t="s">
        <v>1830</v>
      </c>
      <c r="Q78" t="s">
        <v>1981</v>
      </c>
      <c r="R78" t="s">
        <v>2033</v>
      </c>
      <c r="S78" t="s">
        <v>1894</v>
      </c>
      <c r="T78" s="22" t="s">
        <v>328</v>
      </c>
      <c r="V78">
        <v>1</v>
      </c>
      <c r="AE78" t="s">
        <v>56</v>
      </c>
      <c r="AF78" t="s">
        <v>57</v>
      </c>
      <c r="AH78">
        <v>54</v>
      </c>
      <c r="AI78">
        <v>54</v>
      </c>
      <c r="AM78" s="23">
        <f t="shared" si="2"/>
        <v>156.75</v>
      </c>
      <c r="AN78" s="23">
        <v>418</v>
      </c>
      <c r="AO78" s="24">
        <v>0.2</v>
      </c>
      <c r="AP78" s="23">
        <f t="shared" si="3"/>
        <v>501.59999999999997</v>
      </c>
    </row>
    <row r="79" spans="1:42" ht="15" customHeight="1" x14ac:dyDescent="0.3">
      <c r="A79" t="s">
        <v>1975</v>
      </c>
      <c r="B79" t="s">
        <v>2034</v>
      </c>
      <c r="C79" t="s">
        <v>1977</v>
      </c>
      <c r="D79" s="22" t="s">
        <v>2035</v>
      </c>
      <c r="E79" t="s">
        <v>1979</v>
      </c>
      <c r="F79" t="s">
        <v>1980</v>
      </c>
      <c r="P79" t="s">
        <v>1830</v>
      </c>
      <c r="Q79" t="s">
        <v>1981</v>
      </c>
      <c r="R79" t="s">
        <v>2036</v>
      </c>
      <c r="S79" t="s">
        <v>1894</v>
      </c>
      <c r="T79" s="22" t="s">
        <v>328</v>
      </c>
      <c r="V79">
        <v>1</v>
      </c>
      <c r="AE79" t="s">
        <v>56</v>
      </c>
      <c r="AF79" t="s">
        <v>57</v>
      </c>
      <c r="AH79">
        <v>58</v>
      </c>
      <c r="AI79">
        <v>58</v>
      </c>
      <c r="AM79" s="23">
        <f t="shared" si="2"/>
        <v>165</v>
      </c>
      <c r="AN79" s="23">
        <v>440</v>
      </c>
      <c r="AO79" s="24">
        <v>0.2</v>
      </c>
      <c r="AP79" s="23">
        <f t="shared" si="3"/>
        <v>528</v>
      </c>
    </row>
    <row r="80" spans="1:42" ht="15" customHeight="1" x14ac:dyDescent="0.3">
      <c r="A80" t="s">
        <v>1975</v>
      </c>
      <c r="B80" t="s">
        <v>2037</v>
      </c>
      <c r="C80" t="s">
        <v>1977</v>
      </c>
      <c r="D80" s="22" t="s">
        <v>2038</v>
      </c>
      <c r="E80" t="s">
        <v>1979</v>
      </c>
      <c r="F80" t="s">
        <v>1980</v>
      </c>
      <c r="P80" t="s">
        <v>1830</v>
      </c>
      <c r="Q80" t="s">
        <v>1981</v>
      </c>
      <c r="R80" t="s">
        <v>2039</v>
      </c>
      <c r="S80" t="s">
        <v>1894</v>
      </c>
      <c r="T80" s="22" t="s">
        <v>328</v>
      </c>
      <c r="V80">
        <v>1</v>
      </c>
      <c r="AE80" t="s">
        <v>56</v>
      </c>
      <c r="AF80" t="s">
        <v>57</v>
      </c>
      <c r="AH80">
        <v>61</v>
      </c>
      <c r="AI80">
        <v>61</v>
      </c>
      <c r="AM80" s="23">
        <f t="shared" si="2"/>
        <v>175.875</v>
      </c>
      <c r="AN80" s="23">
        <v>469</v>
      </c>
      <c r="AO80" s="24">
        <v>0.2</v>
      </c>
      <c r="AP80" s="23">
        <f t="shared" si="3"/>
        <v>562.79999999999995</v>
      </c>
    </row>
    <row r="81" spans="1:42" ht="15" customHeight="1" x14ac:dyDescent="0.3">
      <c r="A81" t="s">
        <v>1975</v>
      </c>
      <c r="B81" t="s">
        <v>2040</v>
      </c>
      <c r="C81" t="s">
        <v>1977</v>
      </c>
      <c r="D81" s="22" t="s">
        <v>2041</v>
      </c>
      <c r="E81" t="s">
        <v>1979</v>
      </c>
      <c r="F81" t="s">
        <v>1980</v>
      </c>
      <c r="P81" t="s">
        <v>1830</v>
      </c>
      <c r="Q81" t="s">
        <v>1981</v>
      </c>
      <c r="R81" t="s">
        <v>2042</v>
      </c>
      <c r="S81" t="s">
        <v>1894</v>
      </c>
      <c r="T81" s="22" t="s">
        <v>328</v>
      </c>
      <c r="V81">
        <v>1</v>
      </c>
      <c r="AE81" t="s">
        <v>56</v>
      </c>
      <c r="AF81" t="s">
        <v>57</v>
      </c>
      <c r="AH81">
        <v>64</v>
      </c>
      <c r="AI81">
        <v>64</v>
      </c>
      <c r="AM81" s="23">
        <f t="shared" si="2"/>
        <v>196.125</v>
      </c>
      <c r="AN81" s="23">
        <v>523</v>
      </c>
      <c r="AO81" s="24">
        <v>0.2</v>
      </c>
      <c r="AP81" s="23">
        <f t="shared" si="3"/>
        <v>627.6</v>
      </c>
    </row>
    <row r="82" spans="1:42" ht="15" customHeight="1" x14ac:dyDescent="0.3">
      <c r="A82" t="s">
        <v>1975</v>
      </c>
      <c r="B82" t="s">
        <v>2043</v>
      </c>
      <c r="C82" t="s">
        <v>1977</v>
      </c>
      <c r="D82" s="22" t="s">
        <v>2044</v>
      </c>
      <c r="E82" t="s">
        <v>1979</v>
      </c>
      <c r="F82" t="s">
        <v>1980</v>
      </c>
      <c r="P82" t="s">
        <v>1830</v>
      </c>
      <c r="Q82" t="s">
        <v>1981</v>
      </c>
      <c r="R82" t="s">
        <v>2045</v>
      </c>
      <c r="S82" t="s">
        <v>1894</v>
      </c>
      <c r="T82" s="22" t="s">
        <v>328</v>
      </c>
      <c r="V82">
        <v>1</v>
      </c>
      <c r="AE82" t="s">
        <v>56</v>
      </c>
      <c r="AF82" t="s">
        <v>57</v>
      </c>
      <c r="AH82">
        <v>68</v>
      </c>
      <c r="AI82">
        <v>68</v>
      </c>
      <c r="AM82" s="23">
        <f t="shared" si="2"/>
        <v>200.625</v>
      </c>
      <c r="AN82" s="23">
        <v>535</v>
      </c>
      <c r="AO82" s="24">
        <v>0.2</v>
      </c>
      <c r="AP82" s="23">
        <f t="shared" si="3"/>
        <v>642</v>
      </c>
    </row>
    <row r="83" spans="1:42" ht="15" customHeight="1" x14ac:dyDescent="0.3">
      <c r="A83" t="s">
        <v>1975</v>
      </c>
      <c r="B83" t="s">
        <v>2046</v>
      </c>
      <c r="C83" t="s">
        <v>1977</v>
      </c>
      <c r="D83" s="22" t="s">
        <v>2047</v>
      </c>
      <c r="E83" t="s">
        <v>1979</v>
      </c>
      <c r="F83" t="s">
        <v>1980</v>
      </c>
      <c r="P83" t="s">
        <v>1830</v>
      </c>
      <c r="Q83" t="s">
        <v>1981</v>
      </c>
      <c r="R83" t="s">
        <v>2048</v>
      </c>
      <c r="S83" t="s">
        <v>1894</v>
      </c>
      <c r="T83" s="22" t="s">
        <v>328</v>
      </c>
      <c r="V83">
        <v>1</v>
      </c>
      <c r="AE83" t="s">
        <v>56</v>
      </c>
      <c r="AF83" t="s">
        <v>57</v>
      </c>
      <c r="AH83">
        <v>24</v>
      </c>
      <c r="AI83">
        <v>24</v>
      </c>
      <c r="AM83" s="23">
        <f t="shared" si="2"/>
        <v>95.625</v>
      </c>
      <c r="AN83" s="23">
        <v>255</v>
      </c>
      <c r="AO83" s="24">
        <v>0.2</v>
      </c>
      <c r="AP83" s="23">
        <f t="shared" si="3"/>
        <v>306</v>
      </c>
    </row>
    <row r="84" spans="1:42" ht="15" customHeight="1" x14ac:dyDescent="0.3">
      <c r="A84" t="s">
        <v>1975</v>
      </c>
      <c r="B84" t="s">
        <v>2049</v>
      </c>
      <c r="C84" t="s">
        <v>1977</v>
      </c>
      <c r="D84" s="22" t="s">
        <v>2050</v>
      </c>
      <c r="E84" t="s">
        <v>1979</v>
      </c>
      <c r="F84" t="s">
        <v>1980</v>
      </c>
      <c r="P84" t="s">
        <v>1830</v>
      </c>
      <c r="Q84" t="s">
        <v>1981</v>
      </c>
      <c r="R84" t="s">
        <v>2051</v>
      </c>
      <c r="S84" t="s">
        <v>1894</v>
      </c>
      <c r="T84" s="22" t="s">
        <v>328</v>
      </c>
      <c r="V84">
        <v>1</v>
      </c>
      <c r="AE84" t="s">
        <v>56</v>
      </c>
      <c r="AF84" t="s">
        <v>57</v>
      </c>
      <c r="AH84">
        <v>27</v>
      </c>
      <c r="AI84">
        <v>27</v>
      </c>
      <c r="AM84" s="23">
        <f t="shared" si="2"/>
        <v>100.5</v>
      </c>
      <c r="AN84" s="23">
        <v>268</v>
      </c>
      <c r="AO84" s="24">
        <v>0.2</v>
      </c>
      <c r="AP84" s="23">
        <f t="shared" si="3"/>
        <v>321.59999999999997</v>
      </c>
    </row>
    <row r="85" spans="1:42" ht="15" customHeight="1" x14ac:dyDescent="0.3">
      <c r="A85" t="s">
        <v>1975</v>
      </c>
      <c r="B85" t="s">
        <v>2052</v>
      </c>
      <c r="C85" t="s">
        <v>1977</v>
      </c>
      <c r="D85" s="22" t="s">
        <v>2053</v>
      </c>
      <c r="E85" t="s">
        <v>1979</v>
      </c>
      <c r="F85" t="s">
        <v>1980</v>
      </c>
      <c r="P85" t="s">
        <v>1830</v>
      </c>
      <c r="Q85" t="s">
        <v>1981</v>
      </c>
      <c r="R85" t="s">
        <v>2054</v>
      </c>
      <c r="S85" t="s">
        <v>1894</v>
      </c>
      <c r="T85" s="22" t="s">
        <v>328</v>
      </c>
      <c r="V85">
        <v>1</v>
      </c>
      <c r="AE85" t="s">
        <v>56</v>
      </c>
      <c r="AF85" t="s">
        <v>57</v>
      </c>
      <c r="AH85">
        <v>31</v>
      </c>
      <c r="AI85">
        <v>31</v>
      </c>
      <c r="AM85" s="23">
        <f t="shared" si="2"/>
        <v>104.25</v>
      </c>
      <c r="AN85" s="23">
        <v>278</v>
      </c>
      <c r="AO85" s="24">
        <v>0.2</v>
      </c>
      <c r="AP85" s="23">
        <f t="shared" si="3"/>
        <v>333.59999999999997</v>
      </c>
    </row>
    <row r="86" spans="1:42" ht="15" customHeight="1" x14ac:dyDescent="0.3">
      <c r="A86" t="s">
        <v>1975</v>
      </c>
      <c r="B86" t="s">
        <v>2055</v>
      </c>
      <c r="C86" t="s">
        <v>1977</v>
      </c>
      <c r="D86" s="22" t="s">
        <v>2056</v>
      </c>
      <c r="E86" t="s">
        <v>1979</v>
      </c>
      <c r="F86" t="s">
        <v>1980</v>
      </c>
      <c r="P86" t="s">
        <v>1830</v>
      </c>
      <c r="Q86" t="s">
        <v>1981</v>
      </c>
      <c r="R86" t="s">
        <v>2057</v>
      </c>
      <c r="S86" t="s">
        <v>1894</v>
      </c>
      <c r="T86" s="22" t="s">
        <v>328</v>
      </c>
      <c r="V86">
        <v>1</v>
      </c>
      <c r="AE86" t="s">
        <v>56</v>
      </c>
      <c r="AF86" t="s">
        <v>57</v>
      </c>
      <c r="AH86">
        <v>39</v>
      </c>
      <c r="AI86">
        <v>39</v>
      </c>
      <c r="AM86" s="23">
        <f t="shared" si="2"/>
        <v>113.625</v>
      </c>
      <c r="AN86" s="23">
        <v>303</v>
      </c>
      <c r="AO86" s="24">
        <v>0.2</v>
      </c>
      <c r="AP86" s="23">
        <f t="shared" si="3"/>
        <v>363.59999999999997</v>
      </c>
    </row>
    <row r="87" spans="1:42" ht="15" customHeight="1" x14ac:dyDescent="0.3">
      <c r="A87" t="s">
        <v>1975</v>
      </c>
      <c r="B87" t="s">
        <v>2058</v>
      </c>
      <c r="C87" t="s">
        <v>1977</v>
      </c>
      <c r="D87" s="22" t="s">
        <v>2059</v>
      </c>
      <c r="E87" t="s">
        <v>1979</v>
      </c>
      <c r="F87" t="s">
        <v>1980</v>
      </c>
      <c r="P87" t="s">
        <v>1830</v>
      </c>
      <c r="Q87" t="s">
        <v>1981</v>
      </c>
      <c r="R87" t="s">
        <v>2060</v>
      </c>
      <c r="S87" t="s">
        <v>1894</v>
      </c>
      <c r="T87" s="22" t="s">
        <v>328</v>
      </c>
      <c r="V87">
        <v>1</v>
      </c>
      <c r="AE87" t="s">
        <v>56</v>
      </c>
      <c r="AF87" t="s">
        <v>57</v>
      </c>
      <c r="AH87">
        <v>43</v>
      </c>
      <c r="AI87">
        <v>43</v>
      </c>
      <c r="AM87" s="23">
        <f t="shared" si="2"/>
        <v>130.5</v>
      </c>
      <c r="AN87" s="23">
        <v>348</v>
      </c>
      <c r="AO87" s="24">
        <v>0.2</v>
      </c>
      <c r="AP87" s="23">
        <f t="shared" si="3"/>
        <v>417.59999999999997</v>
      </c>
    </row>
    <row r="88" spans="1:42" ht="15" customHeight="1" x14ac:dyDescent="0.3">
      <c r="A88" t="s">
        <v>1975</v>
      </c>
      <c r="B88" t="s">
        <v>2061</v>
      </c>
      <c r="C88" t="s">
        <v>1977</v>
      </c>
      <c r="D88" s="22" t="s">
        <v>2062</v>
      </c>
      <c r="E88" t="s">
        <v>1979</v>
      </c>
      <c r="F88" t="s">
        <v>1980</v>
      </c>
      <c r="P88" t="s">
        <v>1830</v>
      </c>
      <c r="Q88" t="s">
        <v>1981</v>
      </c>
      <c r="R88" t="s">
        <v>2063</v>
      </c>
      <c r="S88" t="s">
        <v>1894</v>
      </c>
      <c r="T88" s="22" t="s">
        <v>328</v>
      </c>
      <c r="V88">
        <v>1</v>
      </c>
      <c r="AE88" t="s">
        <v>56</v>
      </c>
      <c r="AF88" t="s">
        <v>57</v>
      </c>
      <c r="AH88">
        <v>47</v>
      </c>
      <c r="AI88">
        <v>47</v>
      </c>
      <c r="AM88" s="23">
        <f t="shared" si="2"/>
        <v>136.125</v>
      </c>
      <c r="AN88" s="23">
        <v>363</v>
      </c>
      <c r="AO88" s="24">
        <v>0.2</v>
      </c>
      <c r="AP88" s="23">
        <f t="shared" si="3"/>
        <v>435.59999999999997</v>
      </c>
    </row>
    <row r="89" spans="1:42" ht="15" customHeight="1" x14ac:dyDescent="0.3">
      <c r="A89" t="s">
        <v>1975</v>
      </c>
      <c r="B89" t="s">
        <v>2064</v>
      </c>
      <c r="C89" t="s">
        <v>1977</v>
      </c>
      <c r="D89" s="22" t="s">
        <v>2065</v>
      </c>
      <c r="E89" t="s">
        <v>1979</v>
      </c>
      <c r="F89" t="s">
        <v>1980</v>
      </c>
      <c r="P89" t="s">
        <v>1830</v>
      </c>
      <c r="Q89" t="s">
        <v>1981</v>
      </c>
      <c r="R89" t="s">
        <v>2066</v>
      </c>
      <c r="S89" t="s">
        <v>1894</v>
      </c>
      <c r="T89" s="22" t="s">
        <v>328</v>
      </c>
      <c r="V89">
        <v>1</v>
      </c>
      <c r="AE89" t="s">
        <v>56</v>
      </c>
      <c r="AF89" t="s">
        <v>57</v>
      </c>
      <c r="AH89">
        <v>50</v>
      </c>
      <c r="AI89">
        <v>50</v>
      </c>
      <c r="AM89" s="23">
        <f t="shared" si="2"/>
        <v>153.75</v>
      </c>
      <c r="AN89" s="23">
        <v>410</v>
      </c>
      <c r="AO89" s="24">
        <v>0.2</v>
      </c>
      <c r="AP89" s="23">
        <f t="shared" si="3"/>
        <v>492</v>
      </c>
    </row>
    <row r="90" spans="1:42" ht="15" customHeight="1" x14ac:dyDescent="0.3">
      <c r="A90" t="s">
        <v>1975</v>
      </c>
      <c r="B90" t="s">
        <v>2067</v>
      </c>
      <c r="C90" t="s">
        <v>1977</v>
      </c>
      <c r="D90" s="22" t="s">
        <v>2068</v>
      </c>
      <c r="E90" t="s">
        <v>1979</v>
      </c>
      <c r="F90" t="s">
        <v>1980</v>
      </c>
      <c r="P90" t="s">
        <v>1830</v>
      </c>
      <c r="Q90" t="s">
        <v>1981</v>
      </c>
      <c r="R90" t="s">
        <v>2069</v>
      </c>
      <c r="S90" t="s">
        <v>1894</v>
      </c>
      <c r="T90" s="22" t="s">
        <v>328</v>
      </c>
      <c r="V90">
        <v>1</v>
      </c>
      <c r="AE90" t="s">
        <v>56</v>
      </c>
      <c r="AF90" t="s">
        <v>57</v>
      </c>
      <c r="AH90">
        <v>54</v>
      </c>
      <c r="AI90">
        <v>54</v>
      </c>
      <c r="AM90" s="23">
        <f t="shared" si="2"/>
        <v>156.75</v>
      </c>
      <c r="AN90" s="23">
        <v>418</v>
      </c>
      <c r="AO90" s="24">
        <v>0.2</v>
      </c>
      <c r="AP90" s="23">
        <f t="shared" si="3"/>
        <v>501.59999999999997</v>
      </c>
    </row>
    <row r="91" spans="1:42" ht="15" customHeight="1" x14ac:dyDescent="0.3">
      <c r="A91" t="s">
        <v>1975</v>
      </c>
      <c r="B91" t="s">
        <v>2070</v>
      </c>
      <c r="C91" t="s">
        <v>1977</v>
      </c>
      <c r="D91" s="22" t="s">
        <v>2071</v>
      </c>
      <c r="E91" t="s">
        <v>1979</v>
      </c>
      <c r="F91" t="s">
        <v>1980</v>
      </c>
      <c r="P91" t="s">
        <v>1830</v>
      </c>
      <c r="Q91" t="s">
        <v>1981</v>
      </c>
      <c r="R91" t="s">
        <v>2072</v>
      </c>
      <c r="S91" t="s">
        <v>1894</v>
      </c>
      <c r="T91" s="22" t="s">
        <v>328</v>
      </c>
      <c r="V91">
        <v>1</v>
      </c>
      <c r="AE91" t="s">
        <v>56</v>
      </c>
      <c r="AF91" t="s">
        <v>57</v>
      </c>
      <c r="AH91">
        <v>58</v>
      </c>
      <c r="AI91">
        <v>58</v>
      </c>
      <c r="AM91" s="23">
        <f t="shared" si="2"/>
        <v>166.5</v>
      </c>
      <c r="AN91" s="23">
        <v>444</v>
      </c>
      <c r="AO91" s="24">
        <v>0.2</v>
      </c>
      <c r="AP91" s="23">
        <f t="shared" si="3"/>
        <v>532.79999999999995</v>
      </c>
    </row>
    <row r="92" spans="1:42" ht="15" customHeight="1" x14ac:dyDescent="0.3">
      <c r="A92" t="s">
        <v>1975</v>
      </c>
      <c r="B92" t="s">
        <v>2073</v>
      </c>
      <c r="C92" t="s">
        <v>1977</v>
      </c>
      <c r="D92" s="22" t="s">
        <v>2074</v>
      </c>
      <c r="E92" t="s">
        <v>1979</v>
      </c>
      <c r="F92" t="s">
        <v>1980</v>
      </c>
      <c r="P92" t="s">
        <v>1830</v>
      </c>
      <c r="Q92" t="s">
        <v>1981</v>
      </c>
      <c r="R92" t="s">
        <v>2075</v>
      </c>
      <c r="S92" t="s">
        <v>1894</v>
      </c>
      <c r="T92" s="22" t="s">
        <v>328</v>
      </c>
      <c r="V92">
        <v>1</v>
      </c>
      <c r="AE92" t="s">
        <v>56</v>
      </c>
      <c r="AF92" t="s">
        <v>57</v>
      </c>
      <c r="AH92">
        <v>62</v>
      </c>
      <c r="AI92">
        <v>62</v>
      </c>
      <c r="AM92" s="23">
        <f t="shared" si="2"/>
        <v>175.875</v>
      </c>
      <c r="AN92" s="23">
        <v>469</v>
      </c>
      <c r="AO92" s="24">
        <v>0.2</v>
      </c>
      <c r="AP92" s="23">
        <f t="shared" si="3"/>
        <v>562.79999999999995</v>
      </c>
    </row>
    <row r="93" spans="1:42" ht="15" customHeight="1" x14ac:dyDescent="0.3">
      <c r="A93" t="s">
        <v>1975</v>
      </c>
      <c r="B93" t="s">
        <v>2076</v>
      </c>
      <c r="C93" t="s">
        <v>1977</v>
      </c>
      <c r="D93" s="22" t="s">
        <v>2077</v>
      </c>
      <c r="E93" t="s">
        <v>1979</v>
      </c>
      <c r="F93" t="s">
        <v>1980</v>
      </c>
      <c r="P93" t="s">
        <v>1830</v>
      </c>
      <c r="Q93" t="s">
        <v>1981</v>
      </c>
      <c r="R93" t="s">
        <v>2078</v>
      </c>
      <c r="S93" t="s">
        <v>1894</v>
      </c>
      <c r="T93" s="22" t="s">
        <v>328</v>
      </c>
      <c r="V93">
        <v>1</v>
      </c>
      <c r="AE93" t="s">
        <v>56</v>
      </c>
      <c r="AF93" t="s">
        <v>57</v>
      </c>
      <c r="AH93">
        <v>66</v>
      </c>
      <c r="AI93">
        <v>66</v>
      </c>
      <c r="AM93" s="23">
        <f t="shared" si="2"/>
        <v>185.625</v>
      </c>
      <c r="AN93" s="23">
        <v>495</v>
      </c>
      <c r="AO93" s="24">
        <v>0.2</v>
      </c>
      <c r="AP93" s="23">
        <f t="shared" si="3"/>
        <v>594</v>
      </c>
    </row>
    <row r="94" spans="1:42" ht="15" customHeight="1" x14ac:dyDescent="0.3">
      <c r="A94" t="s">
        <v>1975</v>
      </c>
      <c r="B94" t="s">
        <v>2079</v>
      </c>
      <c r="C94" t="s">
        <v>1977</v>
      </c>
      <c r="D94" s="22" t="s">
        <v>2080</v>
      </c>
      <c r="E94" t="s">
        <v>1979</v>
      </c>
      <c r="F94" t="s">
        <v>1980</v>
      </c>
      <c r="P94" t="s">
        <v>1830</v>
      </c>
      <c r="Q94" t="s">
        <v>1981</v>
      </c>
      <c r="R94" t="s">
        <v>2081</v>
      </c>
      <c r="S94" t="s">
        <v>1894</v>
      </c>
      <c r="T94" s="22" t="s">
        <v>328</v>
      </c>
      <c r="V94">
        <v>1</v>
      </c>
      <c r="AE94" t="s">
        <v>56</v>
      </c>
      <c r="AF94" t="s">
        <v>57</v>
      </c>
      <c r="AH94">
        <v>70</v>
      </c>
      <c r="AI94">
        <v>70</v>
      </c>
      <c r="AM94" s="23">
        <f t="shared" si="2"/>
        <v>198</v>
      </c>
      <c r="AN94" s="23">
        <v>528</v>
      </c>
      <c r="AO94" s="24">
        <v>0.2</v>
      </c>
      <c r="AP94" s="23">
        <f t="shared" si="3"/>
        <v>633.6</v>
      </c>
    </row>
    <row r="95" spans="1:42" ht="15" customHeight="1" x14ac:dyDescent="0.3">
      <c r="A95" t="s">
        <v>1975</v>
      </c>
      <c r="B95" t="s">
        <v>2082</v>
      </c>
      <c r="C95" t="s">
        <v>1977</v>
      </c>
      <c r="D95" s="22" t="s">
        <v>2083</v>
      </c>
      <c r="E95" t="s">
        <v>1979</v>
      </c>
      <c r="F95" t="s">
        <v>1980</v>
      </c>
      <c r="P95" t="s">
        <v>1830</v>
      </c>
      <c r="Q95" t="s">
        <v>1981</v>
      </c>
      <c r="R95" t="s">
        <v>2084</v>
      </c>
      <c r="S95" t="s">
        <v>1894</v>
      </c>
      <c r="T95" s="22" t="s">
        <v>328</v>
      </c>
      <c r="V95">
        <v>1</v>
      </c>
      <c r="AE95" t="s">
        <v>56</v>
      </c>
      <c r="AF95" t="s">
        <v>57</v>
      </c>
      <c r="AH95">
        <v>73</v>
      </c>
      <c r="AI95">
        <v>73</v>
      </c>
      <c r="AM95" s="23">
        <f t="shared" si="2"/>
        <v>219.375</v>
      </c>
      <c r="AN95" s="23">
        <v>585</v>
      </c>
      <c r="AO95" s="24">
        <v>0.2</v>
      </c>
      <c r="AP95" s="23">
        <f t="shared" si="3"/>
        <v>702</v>
      </c>
    </row>
    <row r="96" spans="1:42" ht="15" customHeight="1" x14ac:dyDescent="0.3">
      <c r="A96" t="s">
        <v>1975</v>
      </c>
      <c r="B96" t="s">
        <v>2085</v>
      </c>
      <c r="C96" t="s">
        <v>1977</v>
      </c>
      <c r="D96" s="22" t="s">
        <v>2086</v>
      </c>
      <c r="E96" t="s">
        <v>1979</v>
      </c>
      <c r="F96" t="s">
        <v>1980</v>
      </c>
      <c r="P96" t="s">
        <v>1830</v>
      </c>
      <c r="Q96" t="s">
        <v>1981</v>
      </c>
      <c r="R96" t="s">
        <v>2087</v>
      </c>
      <c r="S96" t="s">
        <v>1894</v>
      </c>
      <c r="T96" s="22" t="s">
        <v>328</v>
      </c>
      <c r="V96">
        <v>1</v>
      </c>
      <c r="AE96" t="s">
        <v>56</v>
      </c>
      <c r="AF96" t="s">
        <v>57</v>
      </c>
      <c r="AH96">
        <v>77</v>
      </c>
      <c r="AI96">
        <v>77</v>
      </c>
      <c r="AM96" s="23">
        <f t="shared" si="2"/>
        <v>223.125</v>
      </c>
      <c r="AN96" s="23">
        <v>595</v>
      </c>
      <c r="AO96" s="24">
        <v>0.2</v>
      </c>
      <c r="AP96" s="23">
        <f t="shared" si="3"/>
        <v>714</v>
      </c>
    </row>
    <row r="97" spans="1:42" ht="15" customHeight="1" x14ac:dyDescent="0.3">
      <c r="A97" t="s">
        <v>1975</v>
      </c>
      <c r="B97" t="s">
        <v>2088</v>
      </c>
      <c r="C97" t="s">
        <v>1977</v>
      </c>
      <c r="D97" s="22" t="s">
        <v>2089</v>
      </c>
      <c r="E97" t="s">
        <v>1979</v>
      </c>
      <c r="F97" t="s">
        <v>1980</v>
      </c>
      <c r="P97" t="s">
        <v>1830</v>
      </c>
      <c r="Q97" t="s">
        <v>1981</v>
      </c>
      <c r="R97" t="s">
        <v>242</v>
      </c>
      <c r="S97" t="s">
        <v>1894</v>
      </c>
      <c r="T97" s="22" t="s">
        <v>328</v>
      </c>
      <c r="V97">
        <v>1</v>
      </c>
      <c r="AE97" t="s">
        <v>56</v>
      </c>
      <c r="AF97" t="s">
        <v>57</v>
      </c>
      <c r="AH97">
        <v>31</v>
      </c>
      <c r="AI97">
        <v>31</v>
      </c>
      <c r="AM97" s="23">
        <f t="shared" si="2"/>
        <v>103.125</v>
      </c>
      <c r="AN97" s="23">
        <v>275</v>
      </c>
      <c r="AO97" s="24">
        <v>0.2</v>
      </c>
      <c r="AP97" s="23">
        <f t="shared" si="3"/>
        <v>330</v>
      </c>
    </row>
    <row r="98" spans="1:42" ht="15" customHeight="1" x14ac:dyDescent="0.3">
      <c r="A98" t="s">
        <v>1975</v>
      </c>
      <c r="B98" t="s">
        <v>2090</v>
      </c>
      <c r="C98" t="s">
        <v>1977</v>
      </c>
      <c r="D98" s="22" t="s">
        <v>2091</v>
      </c>
      <c r="E98" t="s">
        <v>1979</v>
      </c>
      <c r="F98" t="s">
        <v>1980</v>
      </c>
      <c r="P98" t="s">
        <v>1830</v>
      </c>
      <c r="Q98" t="s">
        <v>1981</v>
      </c>
      <c r="R98" t="s">
        <v>2092</v>
      </c>
      <c r="S98" t="s">
        <v>1894</v>
      </c>
      <c r="T98" s="22" t="s">
        <v>328</v>
      </c>
      <c r="V98">
        <v>1</v>
      </c>
      <c r="AE98" t="s">
        <v>56</v>
      </c>
      <c r="AF98" t="s">
        <v>57</v>
      </c>
      <c r="AH98">
        <v>35</v>
      </c>
      <c r="AI98">
        <v>35</v>
      </c>
      <c r="AM98" s="23">
        <f t="shared" si="2"/>
        <v>110.625</v>
      </c>
      <c r="AN98" s="23">
        <v>295</v>
      </c>
      <c r="AO98" s="24">
        <v>0.2</v>
      </c>
      <c r="AP98" s="23">
        <f t="shared" si="3"/>
        <v>354</v>
      </c>
    </row>
    <row r="99" spans="1:42" ht="15" customHeight="1" x14ac:dyDescent="0.3">
      <c r="A99" t="s">
        <v>1975</v>
      </c>
      <c r="B99" t="s">
        <v>2093</v>
      </c>
      <c r="C99" t="s">
        <v>1977</v>
      </c>
      <c r="D99" s="22" t="s">
        <v>2094</v>
      </c>
      <c r="E99" t="s">
        <v>1979</v>
      </c>
      <c r="F99" t="s">
        <v>1980</v>
      </c>
      <c r="P99" t="s">
        <v>1830</v>
      </c>
      <c r="Q99" t="s">
        <v>1981</v>
      </c>
      <c r="R99" t="s">
        <v>2095</v>
      </c>
      <c r="S99" t="s">
        <v>1894</v>
      </c>
      <c r="T99" s="22" t="s">
        <v>328</v>
      </c>
      <c r="V99">
        <v>1</v>
      </c>
      <c r="AE99" t="s">
        <v>56</v>
      </c>
      <c r="AF99" t="s">
        <v>57</v>
      </c>
      <c r="AH99">
        <v>44</v>
      </c>
      <c r="AI99">
        <v>44</v>
      </c>
      <c r="AM99" s="23">
        <f t="shared" si="2"/>
        <v>126.75</v>
      </c>
      <c r="AN99" s="23">
        <v>338</v>
      </c>
      <c r="AO99" s="24">
        <v>0.2</v>
      </c>
      <c r="AP99" s="23">
        <f t="shared" si="3"/>
        <v>405.59999999999997</v>
      </c>
    </row>
    <row r="100" spans="1:42" ht="15" customHeight="1" x14ac:dyDescent="0.3">
      <c r="A100" t="s">
        <v>1975</v>
      </c>
      <c r="B100" t="s">
        <v>2096</v>
      </c>
      <c r="C100" t="s">
        <v>1977</v>
      </c>
      <c r="D100" s="22" t="s">
        <v>2097</v>
      </c>
      <c r="E100" t="s">
        <v>1979</v>
      </c>
      <c r="F100" t="s">
        <v>1980</v>
      </c>
      <c r="P100" t="s">
        <v>1830</v>
      </c>
      <c r="Q100" t="s">
        <v>1981</v>
      </c>
      <c r="R100" t="s">
        <v>2098</v>
      </c>
      <c r="S100" t="s">
        <v>1894</v>
      </c>
      <c r="T100" s="22" t="s">
        <v>328</v>
      </c>
      <c r="V100">
        <v>1</v>
      </c>
      <c r="AE100" t="s">
        <v>56</v>
      </c>
      <c r="AF100" t="s">
        <v>57</v>
      </c>
      <c r="AH100">
        <v>48</v>
      </c>
      <c r="AI100">
        <v>48</v>
      </c>
      <c r="AM100" s="23">
        <f t="shared" si="2"/>
        <v>148.125</v>
      </c>
      <c r="AN100" s="23">
        <v>395</v>
      </c>
      <c r="AO100" s="24">
        <v>0.2</v>
      </c>
      <c r="AP100" s="23">
        <f t="shared" si="3"/>
        <v>474</v>
      </c>
    </row>
    <row r="101" spans="1:42" ht="15" customHeight="1" x14ac:dyDescent="0.3">
      <c r="A101" t="s">
        <v>1975</v>
      </c>
      <c r="B101" t="s">
        <v>2099</v>
      </c>
      <c r="C101" t="s">
        <v>1977</v>
      </c>
      <c r="D101" s="22" t="s">
        <v>2100</v>
      </c>
      <c r="E101" t="s">
        <v>1979</v>
      </c>
      <c r="F101" t="s">
        <v>1980</v>
      </c>
      <c r="P101" t="s">
        <v>1830</v>
      </c>
      <c r="Q101" t="s">
        <v>1981</v>
      </c>
      <c r="R101" t="s">
        <v>2101</v>
      </c>
      <c r="S101" t="s">
        <v>1894</v>
      </c>
      <c r="T101" s="22" t="s">
        <v>328</v>
      </c>
      <c r="V101">
        <v>1</v>
      </c>
      <c r="AE101" t="s">
        <v>56</v>
      </c>
      <c r="AF101" t="s">
        <v>57</v>
      </c>
      <c r="AH101">
        <v>52</v>
      </c>
      <c r="AI101">
        <v>52</v>
      </c>
      <c r="AM101" s="23">
        <f t="shared" si="2"/>
        <v>153</v>
      </c>
      <c r="AN101" s="23">
        <v>408</v>
      </c>
      <c r="AO101" s="24">
        <v>0.2</v>
      </c>
      <c r="AP101" s="23">
        <f t="shared" si="3"/>
        <v>489.59999999999997</v>
      </c>
    </row>
    <row r="102" spans="1:42" ht="15" customHeight="1" x14ac:dyDescent="0.3">
      <c r="A102" t="s">
        <v>1975</v>
      </c>
      <c r="B102" t="s">
        <v>2102</v>
      </c>
      <c r="C102" t="s">
        <v>1977</v>
      </c>
      <c r="D102" s="22" t="s">
        <v>2103</v>
      </c>
      <c r="E102" t="s">
        <v>1979</v>
      </c>
      <c r="F102" t="s">
        <v>1980</v>
      </c>
      <c r="P102" t="s">
        <v>1830</v>
      </c>
      <c r="Q102" t="s">
        <v>1981</v>
      </c>
      <c r="R102" t="s">
        <v>2104</v>
      </c>
      <c r="S102" t="s">
        <v>1894</v>
      </c>
      <c r="T102" s="22" t="s">
        <v>328</v>
      </c>
      <c r="V102">
        <v>1</v>
      </c>
      <c r="AE102" t="s">
        <v>56</v>
      </c>
      <c r="AF102" t="s">
        <v>57</v>
      </c>
      <c r="AH102">
        <v>57</v>
      </c>
      <c r="AI102">
        <v>57</v>
      </c>
      <c r="AM102" s="23">
        <f t="shared" si="2"/>
        <v>168</v>
      </c>
      <c r="AN102" s="23">
        <v>448</v>
      </c>
      <c r="AO102" s="24">
        <v>0.2</v>
      </c>
      <c r="AP102" s="23">
        <f t="shared" si="3"/>
        <v>537.6</v>
      </c>
    </row>
    <row r="103" spans="1:42" ht="15" customHeight="1" x14ac:dyDescent="0.3">
      <c r="A103" t="s">
        <v>1975</v>
      </c>
      <c r="B103" t="s">
        <v>2105</v>
      </c>
      <c r="C103" t="s">
        <v>1977</v>
      </c>
      <c r="D103" s="22" t="s">
        <v>2106</v>
      </c>
      <c r="E103" t="s">
        <v>1979</v>
      </c>
      <c r="F103" t="s">
        <v>1980</v>
      </c>
      <c r="P103" t="s">
        <v>1830</v>
      </c>
      <c r="Q103" t="s">
        <v>1981</v>
      </c>
      <c r="R103" t="s">
        <v>2107</v>
      </c>
      <c r="S103" t="s">
        <v>1894</v>
      </c>
      <c r="T103" s="22" t="s">
        <v>328</v>
      </c>
      <c r="V103">
        <v>1</v>
      </c>
      <c r="AE103" t="s">
        <v>56</v>
      </c>
      <c r="AF103" t="s">
        <v>57</v>
      </c>
      <c r="AH103">
        <v>61</v>
      </c>
      <c r="AI103">
        <v>61</v>
      </c>
      <c r="AM103" s="23">
        <f t="shared" si="2"/>
        <v>173.625</v>
      </c>
      <c r="AN103" s="23">
        <v>463</v>
      </c>
      <c r="AO103" s="24">
        <v>0.2</v>
      </c>
      <c r="AP103" s="23">
        <f t="shared" si="3"/>
        <v>555.6</v>
      </c>
    </row>
    <row r="104" spans="1:42" ht="15" customHeight="1" x14ac:dyDescent="0.3">
      <c r="A104" t="s">
        <v>1975</v>
      </c>
      <c r="B104" t="s">
        <v>2108</v>
      </c>
      <c r="C104" t="s">
        <v>1977</v>
      </c>
      <c r="D104" s="22" t="s">
        <v>2109</v>
      </c>
      <c r="E104" t="s">
        <v>1979</v>
      </c>
      <c r="F104" t="s">
        <v>1980</v>
      </c>
      <c r="P104" t="s">
        <v>1830</v>
      </c>
      <c r="Q104" t="s">
        <v>1981</v>
      </c>
      <c r="R104" t="s">
        <v>2110</v>
      </c>
      <c r="S104" t="s">
        <v>1894</v>
      </c>
      <c r="T104" s="22" t="s">
        <v>328</v>
      </c>
      <c r="V104">
        <v>1</v>
      </c>
      <c r="AE104" t="s">
        <v>56</v>
      </c>
      <c r="AF104" t="s">
        <v>57</v>
      </c>
      <c r="AH104">
        <v>65</v>
      </c>
      <c r="AI104">
        <v>65</v>
      </c>
      <c r="AM104" s="23">
        <f t="shared" si="2"/>
        <v>184.125</v>
      </c>
      <c r="AN104" s="23">
        <v>491</v>
      </c>
      <c r="AO104" s="24">
        <v>0.2</v>
      </c>
      <c r="AP104" s="23">
        <f t="shared" si="3"/>
        <v>589.19999999999993</v>
      </c>
    </row>
    <row r="105" spans="1:42" ht="15" customHeight="1" x14ac:dyDescent="0.3">
      <c r="A105" t="s">
        <v>1975</v>
      </c>
      <c r="B105" t="s">
        <v>2111</v>
      </c>
      <c r="C105" t="s">
        <v>1977</v>
      </c>
      <c r="D105" s="22" t="s">
        <v>2112</v>
      </c>
      <c r="E105" t="s">
        <v>1979</v>
      </c>
      <c r="F105" t="s">
        <v>1980</v>
      </c>
      <c r="P105" t="s">
        <v>1830</v>
      </c>
      <c r="Q105" t="s">
        <v>1981</v>
      </c>
      <c r="R105" t="s">
        <v>2113</v>
      </c>
      <c r="S105" t="s">
        <v>1894</v>
      </c>
      <c r="T105" s="22" t="s">
        <v>328</v>
      </c>
      <c r="V105">
        <v>1</v>
      </c>
      <c r="AE105" t="s">
        <v>56</v>
      </c>
      <c r="AF105" t="s">
        <v>57</v>
      </c>
      <c r="AH105">
        <v>70</v>
      </c>
      <c r="AI105">
        <v>70</v>
      </c>
      <c r="AM105" s="23">
        <f t="shared" si="2"/>
        <v>194.625</v>
      </c>
      <c r="AN105" s="23">
        <v>519</v>
      </c>
      <c r="AO105" s="24">
        <v>0.2</v>
      </c>
      <c r="AP105" s="23">
        <f t="shared" si="3"/>
        <v>622.79999999999995</v>
      </c>
    </row>
    <row r="106" spans="1:42" ht="15" customHeight="1" x14ac:dyDescent="0.3">
      <c r="A106" t="s">
        <v>1975</v>
      </c>
      <c r="B106" t="s">
        <v>2114</v>
      </c>
      <c r="C106" t="s">
        <v>1977</v>
      </c>
      <c r="D106" s="22" t="s">
        <v>2115</v>
      </c>
      <c r="E106" t="s">
        <v>1979</v>
      </c>
      <c r="F106" t="s">
        <v>1980</v>
      </c>
      <c r="P106" t="s">
        <v>1830</v>
      </c>
      <c r="Q106" t="s">
        <v>1981</v>
      </c>
      <c r="R106" t="s">
        <v>2116</v>
      </c>
      <c r="S106" t="s">
        <v>1894</v>
      </c>
      <c r="T106" s="22" t="s">
        <v>328</v>
      </c>
      <c r="V106">
        <v>1</v>
      </c>
      <c r="AE106" t="s">
        <v>56</v>
      </c>
      <c r="AF106" t="s">
        <v>57</v>
      </c>
      <c r="AH106">
        <v>74</v>
      </c>
      <c r="AI106">
        <v>74</v>
      </c>
      <c r="AM106" s="23">
        <f t="shared" si="2"/>
        <v>205.5</v>
      </c>
      <c r="AN106" s="23">
        <v>548</v>
      </c>
      <c r="AO106" s="24">
        <v>0.2</v>
      </c>
      <c r="AP106" s="23">
        <f t="shared" si="3"/>
        <v>657.6</v>
      </c>
    </row>
    <row r="107" spans="1:42" ht="15" customHeight="1" x14ac:dyDescent="0.3">
      <c r="A107" t="s">
        <v>1975</v>
      </c>
      <c r="B107" t="s">
        <v>2117</v>
      </c>
      <c r="C107" t="s">
        <v>1977</v>
      </c>
      <c r="D107" s="22" t="s">
        <v>2118</v>
      </c>
      <c r="E107" t="s">
        <v>1979</v>
      </c>
      <c r="F107" t="s">
        <v>1980</v>
      </c>
      <c r="P107" t="s">
        <v>1830</v>
      </c>
      <c r="Q107" t="s">
        <v>1981</v>
      </c>
      <c r="R107" t="s">
        <v>2119</v>
      </c>
      <c r="S107" t="s">
        <v>1894</v>
      </c>
      <c r="T107" s="22" t="s">
        <v>328</v>
      </c>
      <c r="V107">
        <v>1</v>
      </c>
      <c r="AE107" t="s">
        <v>56</v>
      </c>
      <c r="AF107" t="s">
        <v>57</v>
      </c>
      <c r="AH107">
        <v>78</v>
      </c>
      <c r="AI107">
        <v>78</v>
      </c>
      <c r="AM107" s="23">
        <f t="shared" si="2"/>
        <v>219.375</v>
      </c>
      <c r="AN107" s="23">
        <v>585</v>
      </c>
      <c r="AO107" s="24">
        <v>0.2</v>
      </c>
      <c r="AP107" s="23">
        <f t="shared" si="3"/>
        <v>702</v>
      </c>
    </row>
    <row r="108" spans="1:42" ht="15" customHeight="1" x14ac:dyDescent="0.3">
      <c r="A108" t="s">
        <v>1975</v>
      </c>
      <c r="B108" t="s">
        <v>2120</v>
      </c>
      <c r="C108" t="s">
        <v>1977</v>
      </c>
      <c r="D108" s="22" t="s">
        <v>2121</v>
      </c>
      <c r="E108" t="s">
        <v>1979</v>
      </c>
      <c r="F108" t="s">
        <v>1980</v>
      </c>
      <c r="P108" t="s">
        <v>1830</v>
      </c>
      <c r="Q108" t="s">
        <v>1981</v>
      </c>
      <c r="R108" t="s">
        <v>2122</v>
      </c>
      <c r="S108" t="s">
        <v>1894</v>
      </c>
      <c r="T108" s="22" t="s">
        <v>328</v>
      </c>
      <c r="V108">
        <v>1</v>
      </c>
      <c r="AE108" t="s">
        <v>56</v>
      </c>
      <c r="AF108" t="s">
        <v>57</v>
      </c>
      <c r="AH108">
        <v>83</v>
      </c>
      <c r="AI108">
        <v>83</v>
      </c>
      <c r="AM108" s="23">
        <f t="shared" si="2"/>
        <v>236.25</v>
      </c>
      <c r="AN108" s="23">
        <v>630</v>
      </c>
      <c r="AO108" s="24">
        <v>0.2</v>
      </c>
      <c r="AP108" s="23">
        <f t="shared" si="3"/>
        <v>756</v>
      </c>
    </row>
    <row r="109" spans="1:42" ht="15" customHeight="1" x14ac:dyDescent="0.3">
      <c r="A109" t="s">
        <v>1975</v>
      </c>
      <c r="B109" t="s">
        <v>2123</v>
      </c>
      <c r="C109" t="s">
        <v>1977</v>
      </c>
      <c r="D109" s="22" t="s">
        <v>2124</v>
      </c>
      <c r="E109" t="s">
        <v>1979</v>
      </c>
      <c r="F109" t="s">
        <v>1980</v>
      </c>
      <c r="P109" t="s">
        <v>1830</v>
      </c>
      <c r="Q109" t="s">
        <v>1981</v>
      </c>
      <c r="R109" t="s">
        <v>2125</v>
      </c>
      <c r="S109" t="s">
        <v>1894</v>
      </c>
      <c r="T109" s="22" t="s">
        <v>328</v>
      </c>
      <c r="V109">
        <v>1</v>
      </c>
      <c r="AE109" t="s">
        <v>56</v>
      </c>
      <c r="AF109" t="s">
        <v>57</v>
      </c>
      <c r="AH109">
        <v>87</v>
      </c>
      <c r="AI109">
        <v>87</v>
      </c>
      <c r="AM109" s="23">
        <f t="shared" si="2"/>
        <v>241.125</v>
      </c>
      <c r="AN109" s="23">
        <v>643</v>
      </c>
      <c r="AO109" s="24">
        <v>0.2</v>
      </c>
      <c r="AP109" s="23">
        <f t="shared" si="3"/>
        <v>771.6</v>
      </c>
    </row>
    <row r="110" spans="1:42" ht="15" customHeight="1" x14ac:dyDescent="0.3">
      <c r="A110" t="s">
        <v>1975</v>
      </c>
      <c r="B110" t="s">
        <v>2126</v>
      </c>
      <c r="C110" t="s">
        <v>1977</v>
      </c>
      <c r="D110" s="22" t="s">
        <v>2127</v>
      </c>
      <c r="E110" t="s">
        <v>1979</v>
      </c>
      <c r="F110" t="s">
        <v>1980</v>
      </c>
      <c r="P110" t="s">
        <v>1830</v>
      </c>
      <c r="Q110" t="s">
        <v>1981</v>
      </c>
      <c r="R110" t="s">
        <v>2128</v>
      </c>
      <c r="S110" t="s">
        <v>1894</v>
      </c>
      <c r="T110" s="22" t="s">
        <v>328</v>
      </c>
      <c r="V110">
        <v>1</v>
      </c>
      <c r="AE110" t="s">
        <v>56</v>
      </c>
      <c r="AF110" t="s">
        <v>57</v>
      </c>
      <c r="AH110">
        <v>39</v>
      </c>
      <c r="AI110">
        <v>39</v>
      </c>
      <c r="AM110" s="23">
        <f t="shared" si="2"/>
        <v>114.375</v>
      </c>
      <c r="AN110" s="23">
        <v>305</v>
      </c>
      <c r="AO110" s="24">
        <v>0.2</v>
      </c>
      <c r="AP110" s="23">
        <f t="shared" si="3"/>
        <v>366</v>
      </c>
    </row>
    <row r="111" spans="1:42" ht="15" customHeight="1" x14ac:dyDescent="0.3">
      <c r="A111" t="s">
        <v>1975</v>
      </c>
      <c r="B111" t="s">
        <v>2129</v>
      </c>
      <c r="C111" t="s">
        <v>1977</v>
      </c>
      <c r="D111" s="22" t="s">
        <v>2130</v>
      </c>
      <c r="E111" t="s">
        <v>1979</v>
      </c>
      <c r="F111" t="s">
        <v>1980</v>
      </c>
      <c r="P111" t="s">
        <v>1830</v>
      </c>
      <c r="Q111" t="s">
        <v>1981</v>
      </c>
      <c r="R111" t="s">
        <v>1982</v>
      </c>
      <c r="S111" t="s">
        <v>1894</v>
      </c>
      <c r="T111" s="22" t="s">
        <v>1863</v>
      </c>
      <c r="V111">
        <v>1</v>
      </c>
      <c r="AE111" t="s">
        <v>56</v>
      </c>
      <c r="AF111" t="s">
        <v>57</v>
      </c>
      <c r="AH111">
        <v>48</v>
      </c>
      <c r="AI111">
        <v>48</v>
      </c>
      <c r="AM111" s="23">
        <f t="shared" si="2"/>
        <v>137.625</v>
      </c>
      <c r="AN111" s="23">
        <v>367</v>
      </c>
      <c r="AO111" s="24">
        <v>0.2</v>
      </c>
      <c r="AP111" s="23">
        <f t="shared" si="3"/>
        <v>440.4</v>
      </c>
    </row>
    <row r="112" spans="1:42" ht="15" customHeight="1" x14ac:dyDescent="0.3">
      <c r="A112" t="s">
        <v>1975</v>
      </c>
      <c r="B112" t="s">
        <v>2131</v>
      </c>
      <c r="C112" t="s">
        <v>1977</v>
      </c>
      <c r="D112" s="22" t="s">
        <v>2132</v>
      </c>
      <c r="E112" t="s">
        <v>1979</v>
      </c>
      <c r="F112" t="s">
        <v>1980</v>
      </c>
      <c r="P112" t="s">
        <v>1830</v>
      </c>
      <c r="Q112" t="s">
        <v>1981</v>
      </c>
      <c r="R112" t="s">
        <v>1985</v>
      </c>
      <c r="S112" t="s">
        <v>1894</v>
      </c>
      <c r="T112" s="22" t="s">
        <v>1863</v>
      </c>
      <c r="V112">
        <v>1</v>
      </c>
      <c r="AE112" t="s">
        <v>56</v>
      </c>
      <c r="AF112" t="s">
        <v>57</v>
      </c>
      <c r="AH112">
        <v>53</v>
      </c>
      <c r="AI112">
        <v>53</v>
      </c>
      <c r="AM112" s="23">
        <f t="shared" si="2"/>
        <v>149.25</v>
      </c>
      <c r="AN112" s="23">
        <v>398</v>
      </c>
      <c r="AO112" s="24">
        <v>0.2</v>
      </c>
      <c r="AP112" s="23">
        <f t="shared" si="3"/>
        <v>477.59999999999997</v>
      </c>
    </row>
    <row r="113" spans="1:42" ht="15" customHeight="1" x14ac:dyDescent="0.3">
      <c r="A113" t="s">
        <v>1975</v>
      </c>
      <c r="B113" t="s">
        <v>2133</v>
      </c>
      <c r="C113" t="s">
        <v>1977</v>
      </c>
      <c r="D113" s="22" t="s">
        <v>2134</v>
      </c>
      <c r="E113" t="s">
        <v>1979</v>
      </c>
      <c r="F113" t="s">
        <v>1980</v>
      </c>
      <c r="P113" t="s">
        <v>1830</v>
      </c>
      <c r="Q113" t="s">
        <v>1981</v>
      </c>
      <c r="R113" t="s">
        <v>1988</v>
      </c>
      <c r="S113" t="s">
        <v>1894</v>
      </c>
      <c r="T113" s="22" t="s">
        <v>1863</v>
      </c>
      <c r="V113">
        <v>1</v>
      </c>
      <c r="AE113" t="s">
        <v>56</v>
      </c>
      <c r="AF113" t="s">
        <v>57</v>
      </c>
      <c r="AH113">
        <v>58</v>
      </c>
      <c r="AI113">
        <v>58</v>
      </c>
      <c r="AM113" s="23">
        <f t="shared" si="2"/>
        <v>164.25</v>
      </c>
      <c r="AN113" s="23">
        <v>438</v>
      </c>
      <c r="AO113" s="24">
        <v>0.2</v>
      </c>
      <c r="AP113" s="23">
        <f t="shared" si="3"/>
        <v>525.6</v>
      </c>
    </row>
    <row r="114" spans="1:42" ht="15" customHeight="1" x14ac:dyDescent="0.3">
      <c r="A114" t="s">
        <v>1975</v>
      </c>
      <c r="B114" t="s">
        <v>2135</v>
      </c>
      <c r="C114" t="s">
        <v>1977</v>
      </c>
      <c r="D114" s="22" t="s">
        <v>2136</v>
      </c>
      <c r="E114" t="s">
        <v>1979</v>
      </c>
      <c r="F114" t="s">
        <v>1980</v>
      </c>
      <c r="P114" t="s">
        <v>1830</v>
      </c>
      <c r="Q114" t="s">
        <v>1981</v>
      </c>
      <c r="R114" t="s">
        <v>1991</v>
      </c>
      <c r="S114" t="s">
        <v>1894</v>
      </c>
      <c r="T114" s="22" t="s">
        <v>1863</v>
      </c>
      <c r="V114">
        <v>1</v>
      </c>
      <c r="AE114" t="s">
        <v>56</v>
      </c>
      <c r="AF114" t="s">
        <v>57</v>
      </c>
      <c r="AH114">
        <v>63</v>
      </c>
      <c r="AI114">
        <v>63</v>
      </c>
      <c r="AM114" s="23">
        <f t="shared" si="2"/>
        <v>175.875</v>
      </c>
      <c r="AN114" s="23">
        <v>469</v>
      </c>
      <c r="AO114" s="24">
        <v>0.2</v>
      </c>
      <c r="AP114" s="23">
        <f t="shared" si="3"/>
        <v>562.79999999999995</v>
      </c>
    </row>
    <row r="115" spans="1:42" ht="15" customHeight="1" x14ac:dyDescent="0.3">
      <c r="A115" t="s">
        <v>1975</v>
      </c>
      <c r="B115" t="s">
        <v>2137</v>
      </c>
      <c r="C115" t="s">
        <v>1977</v>
      </c>
      <c r="D115" s="22" t="s">
        <v>2138</v>
      </c>
      <c r="E115" t="s">
        <v>1979</v>
      </c>
      <c r="F115" t="s">
        <v>1980</v>
      </c>
      <c r="P115" t="s">
        <v>1830</v>
      </c>
      <c r="Q115" t="s">
        <v>1981</v>
      </c>
      <c r="R115" t="s">
        <v>1994</v>
      </c>
      <c r="S115" t="s">
        <v>1894</v>
      </c>
      <c r="T115" s="22" t="s">
        <v>1863</v>
      </c>
      <c r="V115">
        <v>1</v>
      </c>
      <c r="AE115" t="s">
        <v>56</v>
      </c>
      <c r="AF115" t="s">
        <v>57</v>
      </c>
      <c r="AH115">
        <v>68</v>
      </c>
      <c r="AI115">
        <v>68</v>
      </c>
      <c r="AM115" s="23">
        <f t="shared" si="2"/>
        <v>190.5</v>
      </c>
      <c r="AN115" s="23">
        <v>508</v>
      </c>
      <c r="AO115" s="24">
        <v>0.2</v>
      </c>
      <c r="AP115" s="23">
        <f t="shared" si="3"/>
        <v>609.6</v>
      </c>
    </row>
    <row r="116" spans="1:42" ht="15" customHeight="1" x14ac:dyDescent="0.3">
      <c r="A116" t="s">
        <v>1975</v>
      </c>
      <c r="B116" t="s">
        <v>2139</v>
      </c>
      <c r="C116" t="s">
        <v>1977</v>
      </c>
      <c r="D116" s="22" t="s">
        <v>2140</v>
      </c>
      <c r="E116" t="s">
        <v>1979</v>
      </c>
      <c r="F116" t="s">
        <v>1980</v>
      </c>
      <c r="P116" t="s">
        <v>1830</v>
      </c>
      <c r="Q116" t="s">
        <v>1981</v>
      </c>
      <c r="R116" t="s">
        <v>1997</v>
      </c>
      <c r="S116" t="s">
        <v>1894</v>
      </c>
      <c r="T116" s="22" t="s">
        <v>1863</v>
      </c>
      <c r="V116">
        <v>1</v>
      </c>
      <c r="AE116" t="s">
        <v>56</v>
      </c>
      <c r="AF116" t="s">
        <v>57</v>
      </c>
      <c r="AH116">
        <v>72</v>
      </c>
      <c r="AI116">
        <v>72</v>
      </c>
      <c r="AM116" s="23">
        <f t="shared" si="2"/>
        <v>202.875</v>
      </c>
      <c r="AN116" s="23">
        <v>541</v>
      </c>
      <c r="AO116" s="24">
        <v>0.2</v>
      </c>
      <c r="AP116" s="23">
        <f t="shared" si="3"/>
        <v>649.19999999999993</v>
      </c>
    </row>
    <row r="117" spans="1:42" ht="15" customHeight="1" x14ac:dyDescent="0.3">
      <c r="A117" t="s">
        <v>1975</v>
      </c>
      <c r="B117" t="s">
        <v>2141</v>
      </c>
      <c r="C117" t="s">
        <v>1977</v>
      </c>
      <c r="D117" s="22" t="s">
        <v>2142</v>
      </c>
      <c r="E117" t="s">
        <v>1979</v>
      </c>
      <c r="F117" t="s">
        <v>1980</v>
      </c>
      <c r="P117" t="s">
        <v>1830</v>
      </c>
      <c r="Q117" t="s">
        <v>1981</v>
      </c>
      <c r="R117" t="s">
        <v>2000</v>
      </c>
      <c r="S117" t="s">
        <v>1894</v>
      </c>
      <c r="T117" s="22" t="s">
        <v>1863</v>
      </c>
      <c r="V117">
        <v>1</v>
      </c>
      <c r="AE117" t="s">
        <v>56</v>
      </c>
      <c r="AF117" t="s">
        <v>57</v>
      </c>
      <c r="AH117">
        <v>77</v>
      </c>
      <c r="AI117">
        <v>77</v>
      </c>
      <c r="AM117" s="23">
        <f t="shared" si="2"/>
        <v>215.25</v>
      </c>
      <c r="AN117" s="23">
        <v>574</v>
      </c>
      <c r="AO117" s="24">
        <v>0.2</v>
      </c>
      <c r="AP117" s="23">
        <f t="shared" si="3"/>
        <v>688.8</v>
      </c>
    </row>
    <row r="118" spans="1:42" ht="15" customHeight="1" x14ac:dyDescent="0.3">
      <c r="A118" t="s">
        <v>1975</v>
      </c>
      <c r="B118" t="s">
        <v>2143</v>
      </c>
      <c r="C118" t="s">
        <v>1977</v>
      </c>
      <c r="D118" s="22" t="s">
        <v>2144</v>
      </c>
      <c r="E118" t="s">
        <v>1979</v>
      </c>
      <c r="F118" t="s">
        <v>1980</v>
      </c>
      <c r="P118" t="s">
        <v>1830</v>
      </c>
      <c r="Q118" t="s">
        <v>1981</v>
      </c>
      <c r="R118" t="s">
        <v>2003</v>
      </c>
      <c r="S118" t="s">
        <v>1894</v>
      </c>
      <c r="T118" s="22" t="s">
        <v>1863</v>
      </c>
      <c r="V118">
        <v>1</v>
      </c>
      <c r="AE118" t="s">
        <v>56</v>
      </c>
      <c r="AF118" t="s">
        <v>57</v>
      </c>
      <c r="AH118">
        <v>82</v>
      </c>
      <c r="AI118">
        <v>82</v>
      </c>
      <c r="AM118" s="23">
        <f t="shared" si="2"/>
        <v>226.5</v>
      </c>
      <c r="AN118" s="23">
        <v>604</v>
      </c>
      <c r="AO118" s="24">
        <v>0.2</v>
      </c>
      <c r="AP118" s="23">
        <f t="shared" si="3"/>
        <v>724.8</v>
      </c>
    </row>
    <row r="119" spans="1:42" ht="15" customHeight="1" x14ac:dyDescent="0.3">
      <c r="A119" t="s">
        <v>1975</v>
      </c>
      <c r="B119" t="s">
        <v>2145</v>
      </c>
      <c r="C119" t="s">
        <v>1977</v>
      </c>
      <c r="D119" s="22" t="s">
        <v>2146</v>
      </c>
      <c r="E119" t="s">
        <v>1979</v>
      </c>
      <c r="F119" t="s">
        <v>1980</v>
      </c>
      <c r="P119" t="s">
        <v>1830</v>
      </c>
      <c r="Q119" t="s">
        <v>1981</v>
      </c>
      <c r="R119" t="s">
        <v>2006</v>
      </c>
      <c r="S119" t="s">
        <v>1894</v>
      </c>
      <c r="T119" s="22" t="s">
        <v>1863</v>
      </c>
      <c r="V119">
        <v>1</v>
      </c>
      <c r="AE119" t="s">
        <v>56</v>
      </c>
      <c r="AF119" t="s">
        <v>57</v>
      </c>
      <c r="AH119">
        <v>87</v>
      </c>
      <c r="AI119">
        <v>87</v>
      </c>
      <c r="AM119" s="23">
        <f t="shared" si="2"/>
        <v>242.25</v>
      </c>
      <c r="AN119" s="23">
        <v>646</v>
      </c>
      <c r="AO119" s="24">
        <v>0.2</v>
      </c>
      <c r="AP119" s="23">
        <f t="shared" si="3"/>
        <v>775.19999999999993</v>
      </c>
    </row>
    <row r="120" spans="1:42" ht="15" customHeight="1" x14ac:dyDescent="0.3">
      <c r="A120" t="s">
        <v>1975</v>
      </c>
      <c r="B120" t="s">
        <v>2147</v>
      </c>
      <c r="C120" t="s">
        <v>1977</v>
      </c>
      <c r="D120" s="22" t="s">
        <v>2148</v>
      </c>
      <c r="E120" t="s">
        <v>1979</v>
      </c>
      <c r="F120" t="s">
        <v>1980</v>
      </c>
      <c r="P120" t="s">
        <v>1830</v>
      </c>
      <c r="Q120" t="s">
        <v>1981</v>
      </c>
      <c r="R120" t="s">
        <v>2009</v>
      </c>
      <c r="S120" t="s">
        <v>1894</v>
      </c>
      <c r="T120" s="22" t="s">
        <v>1863</v>
      </c>
      <c r="V120">
        <v>1</v>
      </c>
      <c r="AE120" t="s">
        <v>56</v>
      </c>
      <c r="AF120" t="s">
        <v>57</v>
      </c>
      <c r="AH120">
        <v>92</v>
      </c>
      <c r="AI120">
        <v>92</v>
      </c>
      <c r="AM120" s="23">
        <f t="shared" si="2"/>
        <v>253.875</v>
      </c>
      <c r="AN120" s="23">
        <v>677</v>
      </c>
      <c r="AO120" s="24">
        <v>0.2</v>
      </c>
      <c r="AP120" s="23">
        <f t="shared" si="3"/>
        <v>812.4</v>
      </c>
    </row>
    <row r="121" spans="1:42" ht="15" customHeight="1" x14ac:dyDescent="0.3">
      <c r="A121" t="s">
        <v>1975</v>
      </c>
      <c r="B121" t="s">
        <v>2149</v>
      </c>
      <c r="C121" t="s">
        <v>1977</v>
      </c>
      <c r="D121" s="22" t="s">
        <v>2150</v>
      </c>
      <c r="E121" t="s">
        <v>1979</v>
      </c>
      <c r="F121" t="s">
        <v>1980</v>
      </c>
      <c r="P121" t="s">
        <v>1830</v>
      </c>
      <c r="Q121" t="s">
        <v>1981</v>
      </c>
      <c r="R121" t="s">
        <v>2012</v>
      </c>
      <c r="S121" t="s">
        <v>1894</v>
      </c>
      <c r="T121" s="22" t="s">
        <v>1863</v>
      </c>
      <c r="V121">
        <v>1</v>
      </c>
      <c r="AE121" t="s">
        <v>56</v>
      </c>
      <c r="AF121" t="s">
        <v>57</v>
      </c>
      <c r="AH121">
        <v>96</v>
      </c>
      <c r="AI121">
        <v>96</v>
      </c>
      <c r="AM121" s="23">
        <f t="shared" si="2"/>
        <v>266.25</v>
      </c>
      <c r="AN121" s="23">
        <v>710</v>
      </c>
      <c r="AO121" s="24">
        <v>0.2</v>
      </c>
      <c r="AP121" s="23">
        <f t="shared" si="3"/>
        <v>852</v>
      </c>
    </row>
    <row r="122" spans="1:42" ht="15" customHeight="1" x14ac:dyDescent="0.3">
      <c r="A122" t="s">
        <v>1975</v>
      </c>
      <c r="B122" t="s">
        <v>2151</v>
      </c>
      <c r="C122" t="s">
        <v>1977</v>
      </c>
      <c r="D122" s="22" t="s">
        <v>2152</v>
      </c>
      <c r="E122" t="s">
        <v>1979</v>
      </c>
      <c r="F122" t="s">
        <v>1980</v>
      </c>
      <c r="P122" t="s">
        <v>1830</v>
      </c>
      <c r="Q122" t="s">
        <v>1981</v>
      </c>
      <c r="R122" t="s">
        <v>2015</v>
      </c>
      <c r="S122" t="s">
        <v>1894</v>
      </c>
      <c r="T122" s="22" t="s">
        <v>1863</v>
      </c>
      <c r="V122">
        <v>1</v>
      </c>
      <c r="AE122" t="s">
        <v>56</v>
      </c>
      <c r="AF122" t="s">
        <v>57</v>
      </c>
      <c r="AH122">
        <v>34</v>
      </c>
      <c r="AI122">
        <v>34</v>
      </c>
      <c r="AM122" s="23">
        <f t="shared" si="2"/>
        <v>108</v>
      </c>
      <c r="AN122" s="23">
        <v>288</v>
      </c>
      <c r="AO122" s="24">
        <v>0.2</v>
      </c>
      <c r="AP122" s="23">
        <f t="shared" si="3"/>
        <v>345.59999999999997</v>
      </c>
    </row>
    <row r="123" spans="1:42" ht="15" customHeight="1" x14ac:dyDescent="0.3">
      <c r="A123" t="s">
        <v>1975</v>
      </c>
      <c r="B123" t="s">
        <v>2153</v>
      </c>
      <c r="C123" t="s">
        <v>1977</v>
      </c>
      <c r="D123" s="22" t="s">
        <v>2154</v>
      </c>
      <c r="E123" t="s">
        <v>1979</v>
      </c>
      <c r="F123" t="s">
        <v>1980</v>
      </c>
      <c r="P123" t="s">
        <v>1830</v>
      </c>
      <c r="Q123" t="s">
        <v>1981</v>
      </c>
      <c r="R123" t="s">
        <v>2018</v>
      </c>
      <c r="S123" t="s">
        <v>1894</v>
      </c>
      <c r="T123" s="22" t="s">
        <v>1863</v>
      </c>
      <c r="V123">
        <v>1</v>
      </c>
      <c r="AE123" t="s">
        <v>56</v>
      </c>
      <c r="AF123" t="s">
        <v>57</v>
      </c>
      <c r="AH123">
        <v>37</v>
      </c>
      <c r="AI123">
        <v>37</v>
      </c>
      <c r="AM123" s="23">
        <f t="shared" si="2"/>
        <v>126.75</v>
      </c>
      <c r="AN123" s="23">
        <v>338</v>
      </c>
      <c r="AO123" s="24">
        <v>0.2</v>
      </c>
      <c r="AP123" s="23">
        <f t="shared" si="3"/>
        <v>405.59999999999997</v>
      </c>
    </row>
    <row r="124" spans="1:42" ht="15" customHeight="1" x14ac:dyDescent="0.3">
      <c r="A124" t="s">
        <v>1975</v>
      </c>
      <c r="B124" t="s">
        <v>2155</v>
      </c>
      <c r="C124" t="s">
        <v>1977</v>
      </c>
      <c r="D124" s="22" t="s">
        <v>2156</v>
      </c>
      <c r="E124" t="s">
        <v>1979</v>
      </c>
      <c r="F124" t="s">
        <v>1980</v>
      </c>
      <c r="P124" t="s">
        <v>1830</v>
      </c>
      <c r="Q124" t="s">
        <v>1981</v>
      </c>
      <c r="R124" t="s">
        <v>2021</v>
      </c>
      <c r="S124" t="s">
        <v>1894</v>
      </c>
      <c r="T124" s="22" t="s">
        <v>1863</v>
      </c>
      <c r="V124">
        <v>1</v>
      </c>
      <c r="AE124" t="s">
        <v>56</v>
      </c>
      <c r="AF124" t="s">
        <v>57</v>
      </c>
      <c r="AH124">
        <v>41</v>
      </c>
      <c r="AI124">
        <v>41</v>
      </c>
      <c r="AM124" s="23">
        <f t="shared" si="2"/>
        <v>129.375</v>
      </c>
      <c r="AN124" s="23">
        <v>345</v>
      </c>
      <c r="AO124" s="24">
        <v>0.2</v>
      </c>
      <c r="AP124" s="23">
        <f t="shared" si="3"/>
        <v>414</v>
      </c>
    </row>
    <row r="125" spans="1:42" ht="15" customHeight="1" x14ac:dyDescent="0.3">
      <c r="A125" t="s">
        <v>1975</v>
      </c>
      <c r="B125" t="s">
        <v>2157</v>
      </c>
      <c r="C125" t="s">
        <v>1977</v>
      </c>
      <c r="D125" s="22" t="s">
        <v>2158</v>
      </c>
      <c r="E125" t="s">
        <v>1979</v>
      </c>
      <c r="F125" t="s">
        <v>1980</v>
      </c>
      <c r="P125" t="s">
        <v>1830</v>
      </c>
      <c r="Q125" t="s">
        <v>1981</v>
      </c>
      <c r="R125" t="s">
        <v>2024</v>
      </c>
      <c r="S125" t="s">
        <v>1894</v>
      </c>
      <c r="T125" s="22" t="s">
        <v>1863</v>
      </c>
      <c r="V125">
        <v>1</v>
      </c>
      <c r="AE125" t="s">
        <v>56</v>
      </c>
      <c r="AF125" t="s">
        <v>57</v>
      </c>
      <c r="AH125">
        <v>44</v>
      </c>
      <c r="AI125">
        <v>44</v>
      </c>
      <c r="AM125" s="23">
        <f t="shared" si="2"/>
        <v>139.875</v>
      </c>
      <c r="AN125" s="23">
        <v>373</v>
      </c>
      <c r="AO125" s="24">
        <v>0.2</v>
      </c>
      <c r="AP125" s="23">
        <f t="shared" si="3"/>
        <v>447.59999999999997</v>
      </c>
    </row>
    <row r="126" spans="1:42" ht="15" customHeight="1" x14ac:dyDescent="0.3">
      <c r="A126" t="s">
        <v>1975</v>
      </c>
      <c r="B126" t="s">
        <v>2159</v>
      </c>
      <c r="C126" t="s">
        <v>1977</v>
      </c>
      <c r="D126" s="22" t="s">
        <v>2160</v>
      </c>
      <c r="E126" t="s">
        <v>1979</v>
      </c>
      <c r="F126" t="s">
        <v>1980</v>
      </c>
      <c r="P126" t="s">
        <v>1830</v>
      </c>
      <c r="Q126" t="s">
        <v>1981</v>
      </c>
      <c r="R126" t="s">
        <v>2027</v>
      </c>
      <c r="S126" t="s">
        <v>1894</v>
      </c>
      <c r="T126" s="22" t="s">
        <v>1863</v>
      </c>
      <c r="V126">
        <v>1</v>
      </c>
      <c r="AE126" t="s">
        <v>56</v>
      </c>
      <c r="AF126" t="s">
        <v>57</v>
      </c>
      <c r="AH126">
        <v>48</v>
      </c>
      <c r="AI126">
        <v>48</v>
      </c>
      <c r="AM126" s="23">
        <f t="shared" si="2"/>
        <v>139.875</v>
      </c>
      <c r="AN126" s="23">
        <v>373</v>
      </c>
      <c r="AO126" s="24">
        <v>0.2</v>
      </c>
      <c r="AP126" s="23">
        <f t="shared" si="3"/>
        <v>447.59999999999997</v>
      </c>
    </row>
    <row r="127" spans="1:42" ht="15" customHeight="1" x14ac:dyDescent="0.3">
      <c r="A127" t="s">
        <v>1975</v>
      </c>
      <c r="B127" t="s">
        <v>2161</v>
      </c>
      <c r="C127" t="s">
        <v>1977</v>
      </c>
      <c r="D127" s="22" t="s">
        <v>2162</v>
      </c>
      <c r="E127" t="s">
        <v>1979</v>
      </c>
      <c r="F127" t="s">
        <v>1980</v>
      </c>
      <c r="P127" t="s">
        <v>1830</v>
      </c>
      <c r="Q127" t="s">
        <v>1981</v>
      </c>
      <c r="R127" t="s">
        <v>2030</v>
      </c>
      <c r="S127" t="s">
        <v>1894</v>
      </c>
      <c r="T127" s="22" t="s">
        <v>1863</v>
      </c>
      <c r="V127">
        <v>1</v>
      </c>
      <c r="AE127" t="s">
        <v>56</v>
      </c>
      <c r="AF127" t="s">
        <v>57</v>
      </c>
      <c r="AH127">
        <v>51</v>
      </c>
      <c r="AI127">
        <v>51</v>
      </c>
      <c r="AM127" s="23">
        <f t="shared" si="2"/>
        <v>148.125</v>
      </c>
      <c r="AN127" s="23">
        <v>395</v>
      </c>
      <c r="AO127" s="24">
        <v>0.2</v>
      </c>
      <c r="AP127" s="23">
        <f t="shared" si="3"/>
        <v>474</v>
      </c>
    </row>
    <row r="128" spans="1:42" ht="15" customHeight="1" x14ac:dyDescent="0.3">
      <c r="A128" t="s">
        <v>1975</v>
      </c>
      <c r="B128" t="s">
        <v>2163</v>
      </c>
      <c r="C128" t="s">
        <v>1977</v>
      </c>
      <c r="D128" s="22" t="s">
        <v>2164</v>
      </c>
      <c r="E128" t="s">
        <v>1979</v>
      </c>
      <c r="F128" t="s">
        <v>1980</v>
      </c>
      <c r="P128" t="s">
        <v>1830</v>
      </c>
      <c r="Q128" t="s">
        <v>1981</v>
      </c>
      <c r="R128" t="s">
        <v>2033</v>
      </c>
      <c r="S128" t="s">
        <v>1894</v>
      </c>
      <c r="T128" s="22" t="s">
        <v>1863</v>
      </c>
      <c r="V128">
        <v>1</v>
      </c>
      <c r="AE128" t="s">
        <v>56</v>
      </c>
      <c r="AF128" t="s">
        <v>57</v>
      </c>
      <c r="AH128">
        <v>54</v>
      </c>
      <c r="AI128">
        <v>54</v>
      </c>
      <c r="AM128" s="23">
        <f t="shared" si="2"/>
        <v>156.75</v>
      </c>
      <c r="AN128" s="23">
        <v>418</v>
      </c>
      <c r="AO128" s="24">
        <v>0.2</v>
      </c>
      <c r="AP128" s="23">
        <f t="shared" si="3"/>
        <v>501.59999999999997</v>
      </c>
    </row>
    <row r="129" spans="1:42" ht="15" customHeight="1" x14ac:dyDescent="0.3">
      <c r="A129" t="s">
        <v>1975</v>
      </c>
      <c r="B129" t="s">
        <v>2165</v>
      </c>
      <c r="C129" t="s">
        <v>1977</v>
      </c>
      <c r="D129" s="22" t="s">
        <v>2166</v>
      </c>
      <c r="E129" t="s">
        <v>1979</v>
      </c>
      <c r="F129" t="s">
        <v>1980</v>
      </c>
      <c r="P129" t="s">
        <v>1830</v>
      </c>
      <c r="Q129" t="s">
        <v>1981</v>
      </c>
      <c r="R129" t="s">
        <v>2036</v>
      </c>
      <c r="S129" t="s">
        <v>1894</v>
      </c>
      <c r="T129" s="22" t="s">
        <v>1863</v>
      </c>
      <c r="V129">
        <v>1</v>
      </c>
      <c r="AE129" t="s">
        <v>56</v>
      </c>
      <c r="AF129" t="s">
        <v>57</v>
      </c>
      <c r="AH129">
        <v>58</v>
      </c>
      <c r="AI129">
        <v>58</v>
      </c>
      <c r="AM129" s="23">
        <f t="shared" si="2"/>
        <v>165</v>
      </c>
      <c r="AN129" s="23">
        <v>440</v>
      </c>
      <c r="AO129" s="24">
        <v>0.2</v>
      </c>
      <c r="AP129" s="23">
        <f t="shared" si="3"/>
        <v>528</v>
      </c>
    </row>
    <row r="130" spans="1:42" ht="15" customHeight="1" x14ac:dyDescent="0.3">
      <c r="A130" t="s">
        <v>1975</v>
      </c>
      <c r="B130" t="s">
        <v>2167</v>
      </c>
      <c r="C130" t="s">
        <v>1977</v>
      </c>
      <c r="D130" s="22" t="s">
        <v>2168</v>
      </c>
      <c r="E130" t="s">
        <v>1979</v>
      </c>
      <c r="F130" t="s">
        <v>1980</v>
      </c>
      <c r="P130" t="s">
        <v>1830</v>
      </c>
      <c r="Q130" t="s">
        <v>1981</v>
      </c>
      <c r="R130" t="s">
        <v>2039</v>
      </c>
      <c r="S130" t="s">
        <v>1894</v>
      </c>
      <c r="T130" s="22" t="s">
        <v>1863</v>
      </c>
      <c r="V130">
        <v>1</v>
      </c>
      <c r="AE130" t="s">
        <v>56</v>
      </c>
      <c r="AF130" t="s">
        <v>57</v>
      </c>
      <c r="AH130">
        <v>61</v>
      </c>
      <c r="AI130">
        <v>61</v>
      </c>
      <c r="AM130" s="23">
        <f t="shared" ref="AM130:AM193" si="4">AN130*0.5*0.75</f>
        <v>175.875</v>
      </c>
      <c r="AN130" s="23">
        <v>469</v>
      </c>
      <c r="AO130" s="24">
        <v>0.2</v>
      </c>
      <c r="AP130" s="23">
        <f t="shared" ref="AP130:AP193" si="5">AN130*1.2</f>
        <v>562.79999999999995</v>
      </c>
    </row>
    <row r="131" spans="1:42" ht="15" customHeight="1" x14ac:dyDescent="0.3">
      <c r="A131" t="s">
        <v>1975</v>
      </c>
      <c r="B131" t="s">
        <v>2169</v>
      </c>
      <c r="C131" t="s">
        <v>1977</v>
      </c>
      <c r="D131" s="22" t="s">
        <v>2170</v>
      </c>
      <c r="E131" t="s">
        <v>1979</v>
      </c>
      <c r="F131" t="s">
        <v>1980</v>
      </c>
      <c r="P131" t="s">
        <v>1830</v>
      </c>
      <c r="Q131" t="s">
        <v>1981</v>
      </c>
      <c r="R131" t="s">
        <v>2042</v>
      </c>
      <c r="S131" t="s">
        <v>1894</v>
      </c>
      <c r="T131" s="22" t="s">
        <v>1863</v>
      </c>
      <c r="V131">
        <v>1</v>
      </c>
      <c r="AE131" t="s">
        <v>56</v>
      </c>
      <c r="AF131" t="s">
        <v>57</v>
      </c>
      <c r="AH131">
        <v>64</v>
      </c>
      <c r="AI131">
        <v>64</v>
      </c>
      <c r="AM131" s="23">
        <f t="shared" si="4"/>
        <v>196.125</v>
      </c>
      <c r="AN131" s="23">
        <v>523</v>
      </c>
      <c r="AO131" s="24">
        <v>0.2</v>
      </c>
      <c r="AP131" s="23">
        <f t="shared" si="5"/>
        <v>627.6</v>
      </c>
    </row>
    <row r="132" spans="1:42" ht="15" customHeight="1" x14ac:dyDescent="0.3">
      <c r="A132" t="s">
        <v>1975</v>
      </c>
      <c r="B132" t="s">
        <v>2171</v>
      </c>
      <c r="C132" t="s">
        <v>1977</v>
      </c>
      <c r="D132" s="22" t="s">
        <v>2172</v>
      </c>
      <c r="E132" t="s">
        <v>1979</v>
      </c>
      <c r="F132" t="s">
        <v>1980</v>
      </c>
      <c r="P132" t="s">
        <v>1830</v>
      </c>
      <c r="Q132" t="s">
        <v>1981</v>
      </c>
      <c r="R132" t="s">
        <v>2045</v>
      </c>
      <c r="S132" t="s">
        <v>1894</v>
      </c>
      <c r="T132" s="22" t="s">
        <v>1863</v>
      </c>
      <c r="V132">
        <v>1</v>
      </c>
      <c r="AE132" t="s">
        <v>56</v>
      </c>
      <c r="AF132" t="s">
        <v>57</v>
      </c>
      <c r="AH132">
        <v>68</v>
      </c>
      <c r="AI132">
        <v>68</v>
      </c>
      <c r="AM132" s="23">
        <f t="shared" si="4"/>
        <v>200.625</v>
      </c>
      <c r="AN132" s="23">
        <v>535</v>
      </c>
      <c r="AO132" s="24">
        <v>0.2</v>
      </c>
      <c r="AP132" s="23">
        <f t="shared" si="5"/>
        <v>642</v>
      </c>
    </row>
    <row r="133" spans="1:42" ht="15" customHeight="1" x14ac:dyDescent="0.3">
      <c r="A133" t="s">
        <v>1975</v>
      </c>
      <c r="B133" t="s">
        <v>2173</v>
      </c>
      <c r="C133" t="s">
        <v>1977</v>
      </c>
      <c r="D133" s="22" t="s">
        <v>2174</v>
      </c>
      <c r="E133" t="s">
        <v>1979</v>
      </c>
      <c r="F133" t="s">
        <v>1980</v>
      </c>
      <c r="P133" t="s">
        <v>1830</v>
      </c>
      <c r="Q133" t="s">
        <v>1981</v>
      </c>
      <c r="R133" t="s">
        <v>2048</v>
      </c>
      <c r="S133" t="s">
        <v>1894</v>
      </c>
      <c r="T133" s="22" t="s">
        <v>1863</v>
      </c>
      <c r="V133">
        <v>1</v>
      </c>
      <c r="AE133" t="s">
        <v>56</v>
      </c>
      <c r="AF133" t="s">
        <v>57</v>
      </c>
      <c r="AH133">
        <v>24</v>
      </c>
      <c r="AI133">
        <v>24</v>
      </c>
      <c r="AM133" s="23">
        <f t="shared" si="4"/>
        <v>95.625</v>
      </c>
      <c r="AN133" s="23">
        <v>255</v>
      </c>
      <c r="AO133" s="24">
        <v>0.2</v>
      </c>
      <c r="AP133" s="23">
        <f t="shared" si="5"/>
        <v>306</v>
      </c>
    </row>
    <row r="134" spans="1:42" ht="15" customHeight="1" x14ac:dyDescent="0.3">
      <c r="A134" t="s">
        <v>1975</v>
      </c>
      <c r="B134" t="s">
        <v>2175</v>
      </c>
      <c r="C134" t="s">
        <v>1977</v>
      </c>
      <c r="D134" s="22" t="s">
        <v>2176</v>
      </c>
      <c r="E134" t="s">
        <v>1979</v>
      </c>
      <c r="F134" t="s">
        <v>1980</v>
      </c>
      <c r="P134" t="s">
        <v>1830</v>
      </c>
      <c r="Q134" t="s">
        <v>1981</v>
      </c>
      <c r="R134" t="s">
        <v>2051</v>
      </c>
      <c r="S134" t="s">
        <v>1894</v>
      </c>
      <c r="T134" s="22" t="s">
        <v>1863</v>
      </c>
      <c r="V134">
        <v>1</v>
      </c>
      <c r="AE134" t="s">
        <v>56</v>
      </c>
      <c r="AF134" t="s">
        <v>57</v>
      </c>
      <c r="AH134">
        <v>27</v>
      </c>
      <c r="AI134">
        <v>27</v>
      </c>
      <c r="AM134" s="23">
        <f t="shared" si="4"/>
        <v>100.5</v>
      </c>
      <c r="AN134" s="23">
        <v>268</v>
      </c>
      <c r="AO134" s="24">
        <v>0.2</v>
      </c>
      <c r="AP134" s="23">
        <f t="shared" si="5"/>
        <v>321.59999999999997</v>
      </c>
    </row>
    <row r="135" spans="1:42" ht="15" customHeight="1" x14ac:dyDescent="0.3">
      <c r="A135" t="s">
        <v>1975</v>
      </c>
      <c r="B135" t="s">
        <v>2177</v>
      </c>
      <c r="C135" t="s">
        <v>1977</v>
      </c>
      <c r="D135" s="22" t="s">
        <v>2178</v>
      </c>
      <c r="E135" t="s">
        <v>1979</v>
      </c>
      <c r="F135" t="s">
        <v>1980</v>
      </c>
      <c r="P135" t="s">
        <v>1830</v>
      </c>
      <c r="Q135" t="s">
        <v>1981</v>
      </c>
      <c r="R135" t="s">
        <v>2054</v>
      </c>
      <c r="S135" t="s">
        <v>1894</v>
      </c>
      <c r="T135" s="22" t="s">
        <v>1863</v>
      </c>
      <c r="V135">
        <v>1</v>
      </c>
      <c r="AE135" t="s">
        <v>56</v>
      </c>
      <c r="AF135" t="s">
        <v>57</v>
      </c>
      <c r="AH135">
        <v>31</v>
      </c>
      <c r="AI135">
        <v>31</v>
      </c>
      <c r="AM135" s="23">
        <f t="shared" si="4"/>
        <v>104.25</v>
      </c>
      <c r="AN135" s="23">
        <v>278</v>
      </c>
      <c r="AO135" s="24">
        <v>0.2</v>
      </c>
      <c r="AP135" s="23">
        <f t="shared" si="5"/>
        <v>333.59999999999997</v>
      </c>
    </row>
    <row r="136" spans="1:42" ht="15" customHeight="1" x14ac:dyDescent="0.3">
      <c r="A136" t="s">
        <v>1975</v>
      </c>
      <c r="B136" t="s">
        <v>2179</v>
      </c>
      <c r="C136" t="s">
        <v>1977</v>
      </c>
      <c r="D136" s="22" t="s">
        <v>2180</v>
      </c>
      <c r="E136" t="s">
        <v>1979</v>
      </c>
      <c r="F136" t="s">
        <v>1980</v>
      </c>
      <c r="P136" t="s">
        <v>1830</v>
      </c>
      <c r="Q136" t="s">
        <v>1981</v>
      </c>
      <c r="R136" t="s">
        <v>2057</v>
      </c>
      <c r="S136" t="s">
        <v>1894</v>
      </c>
      <c r="T136" s="22" t="s">
        <v>1863</v>
      </c>
      <c r="V136">
        <v>1</v>
      </c>
      <c r="AE136" t="s">
        <v>56</v>
      </c>
      <c r="AF136" t="s">
        <v>57</v>
      </c>
      <c r="AH136">
        <v>39</v>
      </c>
      <c r="AI136">
        <v>39</v>
      </c>
      <c r="AM136" s="23">
        <f t="shared" si="4"/>
        <v>113.625</v>
      </c>
      <c r="AN136" s="23">
        <v>303</v>
      </c>
      <c r="AO136" s="24">
        <v>0.2</v>
      </c>
      <c r="AP136" s="23">
        <f t="shared" si="5"/>
        <v>363.59999999999997</v>
      </c>
    </row>
    <row r="137" spans="1:42" ht="15" customHeight="1" x14ac:dyDescent="0.3">
      <c r="A137" t="s">
        <v>1975</v>
      </c>
      <c r="B137" t="s">
        <v>2181</v>
      </c>
      <c r="C137" t="s">
        <v>1977</v>
      </c>
      <c r="D137" s="22" t="s">
        <v>2182</v>
      </c>
      <c r="E137" t="s">
        <v>1979</v>
      </c>
      <c r="F137" t="s">
        <v>1980</v>
      </c>
      <c r="P137" t="s">
        <v>1830</v>
      </c>
      <c r="Q137" t="s">
        <v>1981</v>
      </c>
      <c r="R137" t="s">
        <v>2060</v>
      </c>
      <c r="S137" t="s">
        <v>1894</v>
      </c>
      <c r="T137" s="22" t="s">
        <v>1863</v>
      </c>
      <c r="V137">
        <v>1</v>
      </c>
      <c r="AE137" t="s">
        <v>56</v>
      </c>
      <c r="AF137" t="s">
        <v>57</v>
      </c>
      <c r="AH137">
        <v>43</v>
      </c>
      <c r="AI137">
        <v>43</v>
      </c>
      <c r="AM137" s="23">
        <f t="shared" si="4"/>
        <v>130.5</v>
      </c>
      <c r="AN137" s="23">
        <v>348</v>
      </c>
      <c r="AO137" s="24">
        <v>0.2</v>
      </c>
      <c r="AP137" s="23">
        <f t="shared" si="5"/>
        <v>417.59999999999997</v>
      </c>
    </row>
    <row r="138" spans="1:42" ht="15" customHeight="1" x14ac:dyDescent="0.3">
      <c r="A138" t="s">
        <v>1975</v>
      </c>
      <c r="B138" t="s">
        <v>2183</v>
      </c>
      <c r="C138" t="s">
        <v>1977</v>
      </c>
      <c r="D138" s="22" t="s">
        <v>2184</v>
      </c>
      <c r="E138" t="s">
        <v>1979</v>
      </c>
      <c r="F138" t="s">
        <v>1980</v>
      </c>
      <c r="P138" t="s">
        <v>1830</v>
      </c>
      <c r="Q138" t="s">
        <v>1981</v>
      </c>
      <c r="R138" t="s">
        <v>2063</v>
      </c>
      <c r="S138" t="s">
        <v>1894</v>
      </c>
      <c r="T138" s="22" t="s">
        <v>1863</v>
      </c>
      <c r="V138">
        <v>1</v>
      </c>
      <c r="AE138" t="s">
        <v>56</v>
      </c>
      <c r="AF138" t="s">
        <v>57</v>
      </c>
      <c r="AH138">
        <v>47</v>
      </c>
      <c r="AI138">
        <v>47</v>
      </c>
      <c r="AM138" s="23">
        <f t="shared" si="4"/>
        <v>136.125</v>
      </c>
      <c r="AN138" s="23">
        <v>363</v>
      </c>
      <c r="AO138" s="24">
        <v>0.2</v>
      </c>
      <c r="AP138" s="23">
        <f t="shared" si="5"/>
        <v>435.59999999999997</v>
      </c>
    </row>
    <row r="139" spans="1:42" ht="15" customHeight="1" x14ac:dyDescent="0.3">
      <c r="A139" t="s">
        <v>1975</v>
      </c>
      <c r="B139" t="s">
        <v>2185</v>
      </c>
      <c r="C139" t="s">
        <v>1977</v>
      </c>
      <c r="D139" s="22" t="s">
        <v>2186</v>
      </c>
      <c r="E139" t="s">
        <v>1979</v>
      </c>
      <c r="F139" t="s">
        <v>1980</v>
      </c>
      <c r="P139" t="s">
        <v>1830</v>
      </c>
      <c r="Q139" t="s">
        <v>1981</v>
      </c>
      <c r="R139" t="s">
        <v>2066</v>
      </c>
      <c r="S139" t="s">
        <v>1894</v>
      </c>
      <c r="T139" s="22" t="s">
        <v>1863</v>
      </c>
      <c r="V139">
        <v>1</v>
      </c>
      <c r="AE139" t="s">
        <v>56</v>
      </c>
      <c r="AF139" t="s">
        <v>57</v>
      </c>
      <c r="AH139">
        <v>50</v>
      </c>
      <c r="AI139">
        <v>50</v>
      </c>
      <c r="AM139" s="23">
        <f t="shared" si="4"/>
        <v>153.75</v>
      </c>
      <c r="AN139" s="23">
        <v>410</v>
      </c>
      <c r="AO139" s="24">
        <v>0.2</v>
      </c>
      <c r="AP139" s="23">
        <f t="shared" si="5"/>
        <v>492</v>
      </c>
    </row>
    <row r="140" spans="1:42" ht="15" customHeight="1" x14ac:dyDescent="0.3">
      <c r="A140" t="s">
        <v>1975</v>
      </c>
      <c r="B140" t="s">
        <v>2187</v>
      </c>
      <c r="C140" t="s">
        <v>1977</v>
      </c>
      <c r="D140" s="22" t="s">
        <v>2188</v>
      </c>
      <c r="E140" t="s">
        <v>1979</v>
      </c>
      <c r="F140" t="s">
        <v>1980</v>
      </c>
      <c r="P140" t="s">
        <v>1830</v>
      </c>
      <c r="Q140" t="s">
        <v>1981</v>
      </c>
      <c r="R140" t="s">
        <v>2069</v>
      </c>
      <c r="S140" t="s">
        <v>1894</v>
      </c>
      <c r="T140" s="22" t="s">
        <v>1863</v>
      </c>
      <c r="V140">
        <v>1</v>
      </c>
      <c r="AE140" t="s">
        <v>56</v>
      </c>
      <c r="AF140" t="s">
        <v>57</v>
      </c>
      <c r="AH140">
        <v>54</v>
      </c>
      <c r="AI140">
        <v>54</v>
      </c>
      <c r="AM140" s="23">
        <f t="shared" si="4"/>
        <v>156.75</v>
      </c>
      <c r="AN140" s="23">
        <v>418</v>
      </c>
      <c r="AO140" s="24">
        <v>0.2</v>
      </c>
      <c r="AP140" s="23">
        <f t="shared" si="5"/>
        <v>501.59999999999997</v>
      </c>
    </row>
    <row r="141" spans="1:42" ht="15" customHeight="1" x14ac:dyDescent="0.3">
      <c r="A141" t="s">
        <v>1975</v>
      </c>
      <c r="B141" t="s">
        <v>2189</v>
      </c>
      <c r="C141" t="s">
        <v>1977</v>
      </c>
      <c r="D141" s="22" t="s">
        <v>2190</v>
      </c>
      <c r="E141" t="s">
        <v>1979</v>
      </c>
      <c r="F141" t="s">
        <v>1980</v>
      </c>
      <c r="P141" t="s">
        <v>1830</v>
      </c>
      <c r="Q141" t="s">
        <v>1981</v>
      </c>
      <c r="R141" t="s">
        <v>2072</v>
      </c>
      <c r="S141" t="s">
        <v>1894</v>
      </c>
      <c r="T141" s="22" t="s">
        <v>1863</v>
      </c>
      <c r="V141">
        <v>1</v>
      </c>
      <c r="AE141" t="s">
        <v>56</v>
      </c>
      <c r="AF141" t="s">
        <v>57</v>
      </c>
      <c r="AH141">
        <v>58</v>
      </c>
      <c r="AI141">
        <v>58</v>
      </c>
      <c r="AM141" s="23">
        <f t="shared" si="4"/>
        <v>166.5</v>
      </c>
      <c r="AN141" s="23">
        <v>444</v>
      </c>
      <c r="AO141" s="24">
        <v>0.2</v>
      </c>
      <c r="AP141" s="23">
        <f t="shared" si="5"/>
        <v>532.79999999999995</v>
      </c>
    </row>
    <row r="142" spans="1:42" ht="15" customHeight="1" x14ac:dyDescent="0.3">
      <c r="A142" t="s">
        <v>1975</v>
      </c>
      <c r="B142" t="s">
        <v>2191</v>
      </c>
      <c r="C142" t="s">
        <v>1977</v>
      </c>
      <c r="D142" s="22" t="s">
        <v>2192</v>
      </c>
      <c r="E142" t="s">
        <v>1979</v>
      </c>
      <c r="F142" t="s">
        <v>1980</v>
      </c>
      <c r="P142" t="s">
        <v>1830</v>
      </c>
      <c r="Q142" t="s">
        <v>1981</v>
      </c>
      <c r="R142" t="s">
        <v>2075</v>
      </c>
      <c r="S142" t="s">
        <v>1894</v>
      </c>
      <c r="T142" s="22" t="s">
        <v>1863</v>
      </c>
      <c r="V142">
        <v>1</v>
      </c>
      <c r="AE142" t="s">
        <v>56</v>
      </c>
      <c r="AF142" t="s">
        <v>57</v>
      </c>
      <c r="AH142">
        <v>62</v>
      </c>
      <c r="AI142">
        <v>62</v>
      </c>
      <c r="AM142" s="23">
        <f t="shared" si="4"/>
        <v>175.875</v>
      </c>
      <c r="AN142" s="23">
        <v>469</v>
      </c>
      <c r="AO142" s="24">
        <v>0.2</v>
      </c>
      <c r="AP142" s="23">
        <f t="shared" si="5"/>
        <v>562.79999999999995</v>
      </c>
    </row>
    <row r="143" spans="1:42" ht="15" customHeight="1" x14ac:dyDescent="0.3">
      <c r="A143" t="s">
        <v>1975</v>
      </c>
      <c r="B143" t="s">
        <v>2193</v>
      </c>
      <c r="C143" t="s">
        <v>1977</v>
      </c>
      <c r="D143" s="22" t="s">
        <v>2194</v>
      </c>
      <c r="E143" t="s">
        <v>1979</v>
      </c>
      <c r="F143" t="s">
        <v>1980</v>
      </c>
      <c r="P143" t="s">
        <v>1830</v>
      </c>
      <c r="Q143" t="s">
        <v>1981</v>
      </c>
      <c r="R143" t="s">
        <v>2078</v>
      </c>
      <c r="S143" t="s">
        <v>1894</v>
      </c>
      <c r="T143" s="22" t="s">
        <v>1863</v>
      </c>
      <c r="V143">
        <v>1</v>
      </c>
      <c r="AE143" t="s">
        <v>56</v>
      </c>
      <c r="AF143" t="s">
        <v>57</v>
      </c>
      <c r="AH143">
        <v>66</v>
      </c>
      <c r="AI143">
        <v>66</v>
      </c>
      <c r="AM143" s="23">
        <f t="shared" si="4"/>
        <v>185.625</v>
      </c>
      <c r="AN143" s="23">
        <v>495</v>
      </c>
      <c r="AO143" s="24">
        <v>0.2</v>
      </c>
      <c r="AP143" s="23">
        <f t="shared" si="5"/>
        <v>594</v>
      </c>
    </row>
    <row r="144" spans="1:42" ht="15" customHeight="1" x14ac:dyDescent="0.3">
      <c r="A144" t="s">
        <v>1975</v>
      </c>
      <c r="B144" t="s">
        <v>2195</v>
      </c>
      <c r="C144" t="s">
        <v>1977</v>
      </c>
      <c r="D144" s="22" t="s">
        <v>2196</v>
      </c>
      <c r="E144" t="s">
        <v>1979</v>
      </c>
      <c r="F144" t="s">
        <v>1980</v>
      </c>
      <c r="P144" t="s">
        <v>1830</v>
      </c>
      <c r="Q144" t="s">
        <v>1981</v>
      </c>
      <c r="R144" t="s">
        <v>2081</v>
      </c>
      <c r="S144" t="s">
        <v>1894</v>
      </c>
      <c r="T144" s="22" t="s">
        <v>1863</v>
      </c>
      <c r="V144">
        <v>1</v>
      </c>
      <c r="AE144" t="s">
        <v>56</v>
      </c>
      <c r="AF144" t="s">
        <v>57</v>
      </c>
      <c r="AH144">
        <v>70</v>
      </c>
      <c r="AI144">
        <v>70</v>
      </c>
      <c r="AM144" s="23">
        <f t="shared" si="4"/>
        <v>198</v>
      </c>
      <c r="AN144" s="23">
        <v>528</v>
      </c>
      <c r="AO144" s="24">
        <v>0.2</v>
      </c>
      <c r="AP144" s="23">
        <f t="shared" si="5"/>
        <v>633.6</v>
      </c>
    </row>
    <row r="145" spans="1:42" ht="15" customHeight="1" x14ac:dyDescent="0.3">
      <c r="A145" t="s">
        <v>1975</v>
      </c>
      <c r="B145" t="s">
        <v>2197</v>
      </c>
      <c r="C145" t="s">
        <v>1977</v>
      </c>
      <c r="D145" s="22" t="s">
        <v>2198</v>
      </c>
      <c r="E145" t="s">
        <v>1979</v>
      </c>
      <c r="F145" t="s">
        <v>1980</v>
      </c>
      <c r="P145" t="s">
        <v>1830</v>
      </c>
      <c r="Q145" t="s">
        <v>1981</v>
      </c>
      <c r="R145" t="s">
        <v>2084</v>
      </c>
      <c r="S145" t="s">
        <v>1894</v>
      </c>
      <c r="T145" s="22" t="s">
        <v>1863</v>
      </c>
      <c r="V145">
        <v>1</v>
      </c>
      <c r="AE145" t="s">
        <v>56</v>
      </c>
      <c r="AF145" t="s">
        <v>57</v>
      </c>
      <c r="AH145">
        <v>73</v>
      </c>
      <c r="AI145">
        <v>73</v>
      </c>
      <c r="AM145" s="23">
        <f t="shared" si="4"/>
        <v>219.375</v>
      </c>
      <c r="AN145" s="23">
        <v>585</v>
      </c>
      <c r="AO145" s="24">
        <v>0.2</v>
      </c>
      <c r="AP145" s="23">
        <f t="shared" si="5"/>
        <v>702</v>
      </c>
    </row>
    <row r="146" spans="1:42" ht="15" customHeight="1" x14ac:dyDescent="0.3">
      <c r="A146" t="s">
        <v>1975</v>
      </c>
      <c r="B146" t="s">
        <v>2199</v>
      </c>
      <c r="C146" t="s">
        <v>1977</v>
      </c>
      <c r="D146" s="22" t="s">
        <v>2200</v>
      </c>
      <c r="E146" t="s">
        <v>1979</v>
      </c>
      <c r="F146" t="s">
        <v>1980</v>
      </c>
      <c r="P146" t="s">
        <v>1830</v>
      </c>
      <c r="Q146" t="s">
        <v>1981</v>
      </c>
      <c r="R146" t="s">
        <v>2087</v>
      </c>
      <c r="S146" t="s">
        <v>1894</v>
      </c>
      <c r="T146" s="22" t="s">
        <v>1863</v>
      </c>
      <c r="V146">
        <v>1</v>
      </c>
      <c r="AE146" t="s">
        <v>56</v>
      </c>
      <c r="AF146" t="s">
        <v>57</v>
      </c>
      <c r="AH146">
        <v>77</v>
      </c>
      <c r="AI146">
        <v>77</v>
      </c>
      <c r="AM146" s="23">
        <f t="shared" si="4"/>
        <v>223.125</v>
      </c>
      <c r="AN146" s="23">
        <v>595</v>
      </c>
      <c r="AO146" s="24">
        <v>0.2</v>
      </c>
      <c r="AP146" s="23">
        <f t="shared" si="5"/>
        <v>714</v>
      </c>
    </row>
    <row r="147" spans="1:42" ht="15" customHeight="1" x14ac:dyDescent="0.3">
      <c r="A147" t="s">
        <v>1975</v>
      </c>
      <c r="B147" t="s">
        <v>2201</v>
      </c>
      <c r="C147" t="s">
        <v>1977</v>
      </c>
      <c r="D147" s="22" t="s">
        <v>2202</v>
      </c>
      <c r="E147" t="s">
        <v>1979</v>
      </c>
      <c r="F147" t="s">
        <v>1980</v>
      </c>
      <c r="P147" t="s">
        <v>1830</v>
      </c>
      <c r="Q147" t="s">
        <v>1981</v>
      </c>
      <c r="R147" t="s">
        <v>242</v>
      </c>
      <c r="S147" t="s">
        <v>1894</v>
      </c>
      <c r="T147" s="22" t="s">
        <v>1863</v>
      </c>
      <c r="V147">
        <v>1</v>
      </c>
      <c r="AE147" t="s">
        <v>56</v>
      </c>
      <c r="AF147" t="s">
        <v>57</v>
      </c>
      <c r="AH147">
        <v>31</v>
      </c>
      <c r="AI147">
        <v>31</v>
      </c>
      <c r="AM147" s="23">
        <f t="shared" si="4"/>
        <v>103.125</v>
      </c>
      <c r="AN147" s="23">
        <v>275</v>
      </c>
      <c r="AO147" s="24">
        <v>0.2</v>
      </c>
      <c r="AP147" s="23">
        <f t="shared" si="5"/>
        <v>330</v>
      </c>
    </row>
    <row r="148" spans="1:42" ht="15" customHeight="1" x14ac:dyDescent="0.3">
      <c r="A148" t="s">
        <v>1975</v>
      </c>
      <c r="B148" t="s">
        <v>2203</v>
      </c>
      <c r="C148" t="s">
        <v>1977</v>
      </c>
      <c r="D148" s="22" t="s">
        <v>2204</v>
      </c>
      <c r="E148" t="s">
        <v>1979</v>
      </c>
      <c r="F148" t="s">
        <v>1980</v>
      </c>
      <c r="P148" t="s">
        <v>1830</v>
      </c>
      <c r="Q148" t="s">
        <v>1981</v>
      </c>
      <c r="R148" t="s">
        <v>2092</v>
      </c>
      <c r="S148" t="s">
        <v>1894</v>
      </c>
      <c r="T148" s="22" t="s">
        <v>1863</v>
      </c>
      <c r="V148">
        <v>1</v>
      </c>
      <c r="AE148" t="s">
        <v>56</v>
      </c>
      <c r="AF148" t="s">
        <v>57</v>
      </c>
      <c r="AH148">
        <v>35</v>
      </c>
      <c r="AI148">
        <v>35</v>
      </c>
      <c r="AM148" s="23">
        <f t="shared" si="4"/>
        <v>110.625</v>
      </c>
      <c r="AN148" s="23">
        <v>295</v>
      </c>
      <c r="AO148" s="24">
        <v>0.2</v>
      </c>
      <c r="AP148" s="23">
        <f t="shared" si="5"/>
        <v>354</v>
      </c>
    </row>
    <row r="149" spans="1:42" ht="15" customHeight="1" x14ac:dyDescent="0.3">
      <c r="A149" t="s">
        <v>1975</v>
      </c>
      <c r="B149" t="s">
        <v>2205</v>
      </c>
      <c r="C149" t="s">
        <v>1977</v>
      </c>
      <c r="D149" s="22" t="s">
        <v>2206</v>
      </c>
      <c r="E149" t="s">
        <v>1979</v>
      </c>
      <c r="F149" t="s">
        <v>1980</v>
      </c>
      <c r="P149" t="s">
        <v>1830</v>
      </c>
      <c r="Q149" t="s">
        <v>1981</v>
      </c>
      <c r="R149" t="s">
        <v>2095</v>
      </c>
      <c r="S149" t="s">
        <v>1894</v>
      </c>
      <c r="T149" s="22" t="s">
        <v>1863</v>
      </c>
      <c r="V149">
        <v>1</v>
      </c>
      <c r="AE149" t="s">
        <v>56</v>
      </c>
      <c r="AF149" t="s">
        <v>57</v>
      </c>
      <c r="AH149">
        <v>44</v>
      </c>
      <c r="AI149">
        <v>44</v>
      </c>
      <c r="AM149" s="23">
        <f t="shared" si="4"/>
        <v>126.75</v>
      </c>
      <c r="AN149" s="23">
        <v>338</v>
      </c>
      <c r="AO149" s="24">
        <v>0.2</v>
      </c>
      <c r="AP149" s="23">
        <f t="shared" si="5"/>
        <v>405.59999999999997</v>
      </c>
    </row>
    <row r="150" spans="1:42" ht="15" customHeight="1" x14ac:dyDescent="0.3">
      <c r="A150" t="s">
        <v>1975</v>
      </c>
      <c r="B150" t="s">
        <v>2207</v>
      </c>
      <c r="C150" t="s">
        <v>1977</v>
      </c>
      <c r="D150" s="22" t="s">
        <v>2208</v>
      </c>
      <c r="E150" t="s">
        <v>1979</v>
      </c>
      <c r="F150" t="s">
        <v>1980</v>
      </c>
      <c r="P150" t="s">
        <v>1830</v>
      </c>
      <c r="Q150" t="s">
        <v>1981</v>
      </c>
      <c r="R150" t="s">
        <v>2098</v>
      </c>
      <c r="S150" t="s">
        <v>1894</v>
      </c>
      <c r="T150" s="22" t="s">
        <v>1863</v>
      </c>
      <c r="V150">
        <v>1</v>
      </c>
      <c r="AE150" t="s">
        <v>56</v>
      </c>
      <c r="AF150" t="s">
        <v>57</v>
      </c>
      <c r="AH150">
        <v>48</v>
      </c>
      <c r="AI150">
        <v>48</v>
      </c>
      <c r="AM150" s="23">
        <f t="shared" si="4"/>
        <v>148.125</v>
      </c>
      <c r="AN150" s="23">
        <v>395</v>
      </c>
      <c r="AO150" s="24">
        <v>0.2</v>
      </c>
      <c r="AP150" s="23">
        <f t="shared" si="5"/>
        <v>474</v>
      </c>
    </row>
    <row r="151" spans="1:42" ht="15" customHeight="1" x14ac:dyDescent="0.3">
      <c r="A151" t="s">
        <v>1975</v>
      </c>
      <c r="B151" t="s">
        <v>2209</v>
      </c>
      <c r="C151" t="s">
        <v>1977</v>
      </c>
      <c r="D151" s="22" t="s">
        <v>2210</v>
      </c>
      <c r="E151" t="s">
        <v>1979</v>
      </c>
      <c r="F151" t="s">
        <v>1980</v>
      </c>
      <c r="P151" t="s">
        <v>1830</v>
      </c>
      <c r="Q151" t="s">
        <v>1981</v>
      </c>
      <c r="R151" t="s">
        <v>2101</v>
      </c>
      <c r="S151" t="s">
        <v>1894</v>
      </c>
      <c r="T151" s="22" t="s">
        <v>1863</v>
      </c>
      <c r="V151">
        <v>1</v>
      </c>
      <c r="AE151" t="s">
        <v>56</v>
      </c>
      <c r="AF151" t="s">
        <v>57</v>
      </c>
      <c r="AH151">
        <v>52</v>
      </c>
      <c r="AI151">
        <v>52</v>
      </c>
      <c r="AM151" s="23">
        <f t="shared" si="4"/>
        <v>153</v>
      </c>
      <c r="AN151" s="23">
        <v>408</v>
      </c>
      <c r="AO151" s="24">
        <v>0.2</v>
      </c>
      <c r="AP151" s="23">
        <f t="shared" si="5"/>
        <v>489.59999999999997</v>
      </c>
    </row>
    <row r="152" spans="1:42" ht="15" customHeight="1" x14ac:dyDescent="0.3">
      <c r="A152" t="s">
        <v>1975</v>
      </c>
      <c r="B152" t="s">
        <v>2211</v>
      </c>
      <c r="C152" t="s">
        <v>1977</v>
      </c>
      <c r="D152" s="22" t="s">
        <v>2212</v>
      </c>
      <c r="E152" t="s">
        <v>1979</v>
      </c>
      <c r="F152" t="s">
        <v>1980</v>
      </c>
      <c r="P152" t="s">
        <v>1830</v>
      </c>
      <c r="Q152" t="s">
        <v>1981</v>
      </c>
      <c r="R152" t="s">
        <v>2104</v>
      </c>
      <c r="S152" t="s">
        <v>1894</v>
      </c>
      <c r="T152" s="22" t="s">
        <v>1863</v>
      </c>
      <c r="V152">
        <v>1</v>
      </c>
      <c r="AE152" t="s">
        <v>56</v>
      </c>
      <c r="AF152" t="s">
        <v>57</v>
      </c>
      <c r="AH152">
        <v>57</v>
      </c>
      <c r="AI152">
        <v>57</v>
      </c>
      <c r="AM152" s="23">
        <f t="shared" si="4"/>
        <v>168</v>
      </c>
      <c r="AN152" s="23">
        <v>448</v>
      </c>
      <c r="AO152" s="24">
        <v>0.2</v>
      </c>
      <c r="AP152" s="23">
        <f t="shared" si="5"/>
        <v>537.6</v>
      </c>
    </row>
    <row r="153" spans="1:42" ht="15" customHeight="1" x14ac:dyDescent="0.3">
      <c r="A153" t="s">
        <v>1975</v>
      </c>
      <c r="B153" t="s">
        <v>2213</v>
      </c>
      <c r="C153" t="s">
        <v>1977</v>
      </c>
      <c r="D153" s="22" t="s">
        <v>2214</v>
      </c>
      <c r="E153" t="s">
        <v>1979</v>
      </c>
      <c r="F153" t="s">
        <v>1980</v>
      </c>
      <c r="P153" t="s">
        <v>1830</v>
      </c>
      <c r="Q153" t="s">
        <v>1981</v>
      </c>
      <c r="R153" t="s">
        <v>2107</v>
      </c>
      <c r="S153" t="s">
        <v>1894</v>
      </c>
      <c r="T153" s="22" t="s">
        <v>1863</v>
      </c>
      <c r="V153">
        <v>1</v>
      </c>
      <c r="AE153" t="s">
        <v>56</v>
      </c>
      <c r="AF153" t="s">
        <v>57</v>
      </c>
      <c r="AH153">
        <v>61</v>
      </c>
      <c r="AI153">
        <v>61</v>
      </c>
      <c r="AM153" s="23">
        <f t="shared" si="4"/>
        <v>173.625</v>
      </c>
      <c r="AN153" s="23">
        <v>463</v>
      </c>
      <c r="AO153" s="24">
        <v>0.2</v>
      </c>
      <c r="AP153" s="23">
        <f t="shared" si="5"/>
        <v>555.6</v>
      </c>
    </row>
    <row r="154" spans="1:42" ht="15" customHeight="1" x14ac:dyDescent="0.3">
      <c r="A154" t="s">
        <v>1975</v>
      </c>
      <c r="B154" t="s">
        <v>2215</v>
      </c>
      <c r="C154" t="s">
        <v>1977</v>
      </c>
      <c r="D154" s="22" t="s">
        <v>2216</v>
      </c>
      <c r="E154" t="s">
        <v>1979</v>
      </c>
      <c r="F154" t="s">
        <v>1980</v>
      </c>
      <c r="P154" t="s">
        <v>1830</v>
      </c>
      <c r="Q154" t="s">
        <v>1981</v>
      </c>
      <c r="R154" t="s">
        <v>2110</v>
      </c>
      <c r="S154" t="s">
        <v>1894</v>
      </c>
      <c r="T154" s="22" t="s">
        <v>1863</v>
      </c>
      <c r="V154">
        <v>1</v>
      </c>
      <c r="AE154" t="s">
        <v>56</v>
      </c>
      <c r="AF154" t="s">
        <v>57</v>
      </c>
      <c r="AH154">
        <v>65</v>
      </c>
      <c r="AI154">
        <v>65</v>
      </c>
      <c r="AM154" s="23">
        <f t="shared" si="4"/>
        <v>184.125</v>
      </c>
      <c r="AN154" s="23">
        <v>491</v>
      </c>
      <c r="AO154" s="24">
        <v>0.2</v>
      </c>
      <c r="AP154" s="23">
        <f t="shared" si="5"/>
        <v>589.19999999999993</v>
      </c>
    </row>
    <row r="155" spans="1:42" ht="15" customHeight="1" x14ac:dyDescent="0.3">
      <c r="A155" t="s">
        <v>1975</v>
      </c>
      <c r="B155" t="s">
        <v>2217</v>
      </c>
      <c r="C155" t="s">
        <v>1977</v>
      </c>
      <c r="D155" s="22" t="s">
        <v>2218</v>
      </c>
      <c r="E155" t="s">
        <v>1979</v>
      </c>
      <c r="F155" t="s">
        <v>1980</v>
      </c>
      <c r="P155" t="s">
        <v>1830</v>
      </c>
      <c r="Q155" t="s">
        <v>1981</v>
      </c>
      <c r="R155" t="s">
        <v>2113</v>
      </c>
      <c r="S155" t="s">
        <v>1894</v>
      </c>
      <c r="T155" s="22" t="s">
        <v>1863</v>
      </c>
      <c r="V155">
        <v>1</v>
      </c>
      <c r="AE155" t="s">
        <v>56</v>
      </c>
      <c r="AF155" t="s">
        <v>57</v>
      </c>
      <c r="AH155">
        <v>70</v>
      </c>
      <c r="AI155">
        <v>70</v>
      </c>
      <c r="AM155" s="23">
        <f t="shared" si="4"/>
        <v>194.625</v>
      </c>
      <c r="AN155" s="23">
        <v>519</v>
      </c>
      <c r="AO155" s="24">
        <v>0.2</v>
      </c>
      <c r="AP155" s="23">
        <f t="shared" si="5"/>
        <v>622.79999999999995</v>
      </c>
    </row>
    <row r="156" spans="1:42" ht="15" customHeight="1" x14ac:dyDescent="0.3">
      <c r="A156" t="s">
        <v>1975</v>
      </c>
      <c r="B156" t="s">
        <v>2219</v>
      </c>
      <c r="C156" t="s">
        <v>1977</v>
      </c>
      <c r="D156" s="22" t="s">
        <v>2220</v>
      </c>
      <c r="E156" t="s">
        <v>1979</v>
      </c>
      <c r="F156" t="s">
        <v>1980</v>
      </c>
      <c r="P156" t="s">
        <v>1830</v>
      </c>
      <c r="Q156" t="s">
        <v>1981</v>
      </c>
      <c r="R156" t="s">
        <v>2116</v>
      </c>
      <c r="S156" t="s">
        <v>1894</v>
      </c>
      <c r="T156" s="22" t="s">
        <v>1863</v>
      </c>
      <c r="V156">
        <v>1</v>
      </c>
      <c r="AE156" t="s">
        <v>56</v>
      </c>
      <c r="AF156" t="s">
        <v>57</v>
      </c>
      <c r="AH156">
        <v>74</v>
      </c>
      <c r="AI156">
        <v>74</v>
      </c>
      <c r="AM156" s="23">
        <f t="shared" si="4"/>
        <v>205.5</v>
      </c>
      <c r="AN156" s="23">
        <v>548</v>
      </c>
      <c r="AO156" s="24">
        <v>0.2</v>
      </c>
      <c r="AP156" s="23">
        <f t="shared" si="5"/>
        <v>657.6</v>
      </c>
    </row>
    <row r="157" spans="1:42" ht="15" customHeight="1" x14ac:dyDescent="0.3">
      <c r="A157" t="s">
        <v>1975</v>
      </c>
      <c r="B157" t="s">
        <v>2221</v>
      </c>
      <c r="C157" t="s">
        <v>1977</v>
      </c>
      <c r="D157" s="22" t="s">
        <v>2222</v>
      </c>
      <c r="E157" t="s">
        <v>1979</v>
      </c>
      <c r="F157" t="s">
        <v>1980</v>
      </c>
      <c r="P157" t="s">
        <v>1830</v>
      </c>
      <c r="Q157" t="s">
        <v>1981</v>
      </c>
      <c r="R157" t="s">
        <v>2119</v>
      </c>
      <c r="S157" t="s">
        <v>1894</v>
      </c>
      <c r="T157" s="22" t="s">
        <v>1863</v>
      </c>
      <c r="V157">
        <v>1</v>
      </c>
      <c r="AE157" t="s">
        <v>56</v>
      </c>
      <c r="AF157" t="s">
        <v>57</v>
      </c>
      <c r="AH157">
        <v>78</v>
      </c>
      <c r="AI157">
        <v>78</v>
      </c>
      <c r="AM157" s="23">
        <f t="shared" si="4"/>
        <v>219.375</v>
      </c>
      <c r="AN157" s="23">
        <v>585</v>
      </c>
      <c r="AO157" s="24">
        <v>0.2</v>
      </c>
      <c r="AP157" s="23">
        <f t="shared" si="5"/>
        <v>702</v>
      </c>
    </row>
    <row r="158" spans="1:42" ht="15" customHeight="1" x14ac:dyDescent="0.3">
      <c r="A158" t="s">
        <v>1975</v>
      </c>
      <c r="B158" t="s">
        <v>2223</v>
      </c>
      <c r="C158" t="s">
        <v>1977</v>
      </c>
      <c r="D158" s="22" t="s">
        <v>2224</v>
      </c>
      <c r="E158" t="s">
        <v>1979</v>
      </c>
      <c r="F158" t="s">
        <v>1980</v>
      </c>
      <c r="P158" t="s">
        <v>1830</v>
      </c>
      <c r="Q158" t="s">
        <v>1981</v>
      </c>
      <c r="R158" t="s">
        <v>2122</v>
      </c>
      <c r="S158" t="s">
        <v>1894</v>
      </c>
      <c r="T158" s="22" t="s">
        <v>1863</v>
      </c>
      <c r="V158">
        <v>1</v>
      </c>
      <c r="AE158" t="s">
        <v>56</v>
      </c>
      <c r="AF158" t="s">
        <v>57</v>
      </c>
      <c r="AH158">
        <v>83</v>
      </c>
      <c r="AI158">
        <v>83</v>
      </c>
      <c r="AM158" s="23">
        <f t="shared" si="4"/>
        <v>236.25</v>
      </c>
      <c r="AN158" s="23">
        <v>630</v>
      </c>
      <c r="AO158" s="24">
        <v>0.2</v>
      </c>
      <c r="AP158" s="23">
        <f t="shared" si="5"/>
        <v>756</v>
      </c>
    </row>
    <row r="159" spans="1:42" ht="15" customHeight="1" x14ac:dyDescent="0.3">
      <c r="A159" t="s">
        <v>1975</v>
      </c>
      <c r="B159" t="s">
        <v>2225</v>
      </c>
      <c r="C159" t="s">
        <v>1977</v>
      </c>
      <c r="D159" s="22" t="s">
        <v>2226</v>
      </c>
      <c r="E159" t="s">
        <v>1979</v>
      </c>
      <c r="F159" t="s">
        <v>1980</v>
      </c>
      <c r="P159" t="s">
        <v>1830</v>
      </c>
      <c r="Q159" t="s">
        <v>1981</v>
      </c>
      <c r="R159" t="s">
        <v>2125</v>
      </c>
      <c r="S159" t="s">
        <v>1894</v>
      </c>
      <c r="T159" s="22" t="s">
        <v>1863</v>
      </c>
      <c r="V159">
        <v>1</v>
      </c>
      <c r="AE159" t="s">
        <v>56</v>
      </c>
      <c r="AF159" t="s">
        <v>57</v>
      </c>
      <c r="AH159">
        <v>87</v>
      </c>
      <c r="AI159">
        <v>87</v>
      </c>
      <c r="AM159" s="23">
        <f t="shared" si="4"/>
        <v>241.125</v>
      </c>
      <c r="AN159" s="23">
        <v>643</v>
      </c>
      <c r="AO159" s="24">
        <v>0.2</v>
      </c>
      <c r="AP159" s="23">
        <f t="shared" si="5"/>
        <v>771.6</v>
      </c>
    </row>
    <row r="160" spans="1:42" ht="15" customHeight="1" x14ac:dyDescent="0.3">
      <c r="A160" t="s">
        <v>1975</v>
      </c>
      <c r="B160" t="s">
        <v>2227</v>
      </c>
      <c r="C160" t="s">
        <v>1977</v>
      </c>
      <c r="D160" s="22" t="s">
        <v>2228</v>
      </c>
      <c r="E160" t="s">
        <v>1979</v>
      </c>
      <c r="F160" t="s">
        <v>1980</v>
      </c>
      <c r="P160" t="s">
        <v>1830</v>
      </c>
      <c r="Q160" t="s">
        <v>1981</v>
      </c>
      <c r="R160" t="s">
        <v>2128</v>
      </c>
      <c r="S160" t="s">
        <v>1894</v>
      </c>
      <c r="T160" s="22" t="s">
        <v>1863</v>
      </c>
      <c r="V160">
        <v>1</v>
      </c>
      <c r="AE160" t="s">
        <v>56</v>
      </c>
      <c r="AF160" t="s">
        <v>57</v>
      </c>
      <c r="AH160">
        <v>39</v>
      </c>
      <c r="AI160">
        <v>39</v>
      </c>
      <c r="AM160" s="23">
        <f t="shared" si="4"/>
        <v>114.375</v>
      </c>
      <c r="AN160" s="23">
        <v>305</v>
      </c>
      <c r="AO160" s="24">
        <v>0.2</v>
      </c>
      <c r="AP160" s="23">
        <f t="shared" si="5"/>
        <v>366</v>
      </c>
    </row>
    <row r="161" spans="1:42" ht="15" customHeight="1" x14ac:dyDescent="0.3">
      <c r="A161" t="s">
        <v>1975</v>
      </c>
      <c r="B161" t="s">
        <v>2229</v>
      </c>
      <c r="C161" t="s">
        <v>1977</v>
      </c>
      <c r="D161" s="22" t="s">
        <v>2230</v>
      </c>
      <c r="E161" t="s">
        <v>1979</v>
      </c>
      <c r="F161" t="s">
        <v>1980</v>
      </c>
      <c r="P161" t="s">
        <v>1830</v>
      </c>
      <c r="Q161" t="s">
        <v>1981</v>
      </c>
      <c r="R161" t="s">
        <v>1982</v>
      </c>
      <c r="S161" t="s">
        <v>1894</v>
      </c>
      <c r="T161" s="22" t="s">
        <v>325</v>
      </c>
      <c r="V161">
        <v>1</v>
      </c>
      <c r="AE161" t="s">
        <v>56</v>
      </c>
      <c r="AF161" t="s">
        <v>57</v>
      </c>
      <c r="AH161">
        <v>48</v>
      </c>
      <c r="AI161">
        <v>48</v>
      </c>
      <c r="AM161" s="23">
        <f t="shared" si="4"/>
        <v>137.625</v>
      </c>
      <c r="AN161" s="23">
        <v>367</v>
      </c>
      <c r="AO161" s="24">
        <v>0.2</v>
      </c>
      <c r="AP161" s="23">
        <f t="shared" si="5"/>
        <v>440.4</v>
      </c>
    </row>
    <row r="162" spans="1:42" ht="15" customHeight="1" x14ac:dyDescent="0.3">
      <c r="A162" t="s">
        <v>1975</v>
      </c>
      <c r="B162" t="s">
        <v>2231</v>
      </c>
      <c r="C162" t="s">
        <v>1977</v>
      </c>
      <c r="D162" s="22" t="s">
        <v>2232</v>
      </c>
      <c r="E162" t="s">
        <v>1979</v>
      </c>
      <c r="F162" t="s">
        <v>1980</v>
      </c>
      <c r="P162" t="s">
        <v>1830</v>
      </c>
      <c r="Q162" t="s">
        <v>1981</v>
      </c>
      <c r="R162" t="s">
        <v>1985</v>
      </c>
      <c r="S162" t="s">
        <v>1894</v>
      </c>
      <c r="T162" s="22" t="s">
        <v>325</v>
      </c>
      <c r="V162">
        <v>1</v>
      </c>
      <c r="AE162" t="s">
        <v>56</v>
      </c>
      <c r="AF162" t="s">
        <v>57</v>
      </c>
      <c r="AH162">
        <v>53</v>
      </c>
      <c r="AI162">
        <v>53</v>
      </c>
      <c r="AM162" s="23">
        <f t="shared" si="4"/>
        <v>149.25</v>
      </c>
      <c r="AN162" s="23">
        <v>398</v>
      </c>
      <c r="AO162" s="24">
        <v>0.2</v>
      </c>
      <c r="AP162" s="23">
        <f t="shared" si="5"/>
        <v>477.59999999999997</v>
      </c>
    </row>
    <row r="163" spans="1:42" ht="15" customHeight="1" x14ac:dyDescent="0.3">
      <c r="A163" t="s">
        <v>1975</v>
      </c>
      <c r="B163" t="s">
        <v>2233</v>
      </c>
      <c r="C163" t="s">
        <v>1977</v>
      </c>
      <c r="D163" s="22" t="s">
        <v>2234</v>
      </c>
      <c r="E163" t="s">
        <v>1979</v>
      </c>
      <c r="F163" t="s">
        <v>1980</v>
      </c>
      <c r="P163" t="s">
        <v>1830</v>
      </c>
      <c r="Q163" t="s">
        <v>1981</v>
      </c>
      <c r="R163" t="s">
        <v>1988</v>
      </c>
      <c r="S163" t="s">
        <v>1894</v>
      </c>
      <c r="T163" s="22" t="s">
        <v>325</v>
      </c>
      <c r="V163">
        <v>1</v>
      </c>
      <c r="AE163" t="s">
        <v>56</v>
      </c>
      <c r="AF163" t="s">
        <v>57</v>
      </c>
      <c r="AH163">
        <v>58</v>
      </c>
      <c r="AI163">
        <v>58</v>
      </c>
      <c r="AM163" s="23">
        <f t="shared" si="4"/>
        <v>164.25</v>
      </c>
      <c r="AN163" s="23">
        <v>438</v>
      </c>
      <c r="AO163" s="24">
        <v>0.2</v>
      </c>
      <c r="AP163" s="23">
        <f t="shared" si="5"/>
        <v>525.6</v>
      </c>
    </row>
    <row r="164" spans="1:42" ht="15" customHeight="1" x14ac:dyDescent="0.3">
      <c r="A164" t="s">
        <v>1975</v>
      </c>
      <c r="B164" t="s">
        <v>2235</v>
      </c>
      <c r="C164" t="s">
        <v>1977</v>
      </c>
      <c r="D164" s="22" t="s">
        <v>2236</v>
      </c>
      <c r="E164" t="s">
        <v>1979</v>
      </c>
      <c r="F164" t="s">
        <v>1980</v>
      </c>
      <c r="P164" t="s">
        <v>1830</v>
      </c>
      <c r="Q164" t="s">
        <v>1981</v>
      </c>
      <c r="R164" t="s">
        <v>1991</v>
      </c>
      <c r="S164" t="s">
        <v>1894</v>
      </c>
      <c r="T164" s="22" t="s">
        <v>325</v>
      </c>
      <c r="V164">
        <v>1</v>
      </c>
      <c r="AE164" t="s">
        <v>56</v>
      </c>
      <c r="AF164" t="s">
        <v>57</v>
      </c>
      <c r="AH164">
        <v>63</v>
      </c>
      <c r="AI164">
        <v>63</v>
      </c>
      <c r="AM164" s="23">
        <f t="shared" si="4"/>
        <v>175.875</v>
      </c>
      <c r="AN164" s="23">
        <v>469</v>
      </c>
      <c r="AO164" s="24">
        <v>0.2</v>
      </c>
      <c r="AP164" s="23">
        <f t="shared" si="5"/>
        <v>562.79999999999995</v>
      </c>
    </row>
    <row r="165" spans="1:42" ht="15" customHeight="1" x14ac:dyDescent="0.3">
      <c r="A165" t="s">
        <v>1975</v>
      </c>
      <c r="B165" t="s">
        <v>2237</v>
      </c>
      <c r="C165" t="s">
        <v>1977</v>
      </c>
      <c r="D165" s="22" t="s">
        <v>2238</v>
      </c>
      <c r="E165" t="s">
        <v>1979</v>
      </c>
      <c r="F165" t="s">
        <v>1980</v>
      </c>
      <c r="P165" t="s">
        <v>1830</v>
      </c>
      <c r="Q165" t="s">
        <v>1981</v>
      </c>
      <c r="R165" t="s">
        <v>1994</v>
      </c>
      <c r="S165" t="s">
        <v>1894</v>
      </c>
      <c r="T165" s="22" t="s">
        <v>325</v>
      </c>
      <c r="V165">
        <v>1</v>
      </c>
      <c r="AE165" t="s">
        <v>56</v>
      </c>
      <c r="AF165" t="s">
        <v>57</v>
      </c>
      <c r="AH165">
        <v>68</v>
      </c>
      <c r="AI165">
        <v>68</v>
      </c>
      <c r="AM165" s="23">
        <f t="shared" si="4"/>
        <v>190.5</v>
      </c>
      <c r="AN165" s="23">
        <v>508</v>
      </c>
      <c r="AO165" s="24">
        <v>0.2</v>
      </c>
      <c r="AP165" s="23">
        <f t="shared" si="5"/>
        <v>609.6</v>
      </c>
    </row>
    <row r="166" spans="1:42" ht="15" customHeight="1" x14ac:dyDescent="0.3">
      <c r="A166" t="s">
        <v>1975</v>
      </c>
      <c r="B166" t="s">
        <v>2239</v>
      </c>
      <c r="C166" t="s">
        <v>1977</v>
      </c>
      <c r="D166" s="22" t="s">
        <v>2240</v>
      </c>
      <c r="E166" t="s">
        <v>1979</v>
      </c>
      <c r="F166" t="s">
        <v>1980</v>
      </c>
      <c r="P166" t="s">
        <v>1830</v>
      </c>
      <c r="Q166" t="s">
        <v>1981</v>
      </c>
      <c r="R166" t="s">
        <v>1997</v>
      </c>
      <c r="S166" t="s">
        <v>1894</v>
      </c>
      <c r="T166" s="22" t="s">
        <v>325</v>
      </c>
      <c r="V166">
        <v>1</v>
      </c>
      <c r="AE166" t="s">
        <v>56</v>
      </c>
      <c r="AF166" t="s">
        <v>57</v>
      </c>
      <c r="AH166">
        <v>72</v>
      </c>
      <c r="AI166">
        <v>72</v>
      </c>
      <c r="AM166" s="23">
        <f t="shared" si="4"/>
        <v>202.875</v>
      </c>
      <c r="AN166" s="23">
        <v>541</v>
      </c>
      <c r="AO166" s="24">
        <v>0.2</v>
      </c>
      <c r="AP166" s="23">
        <f t="shared" si="5"/>
        <v>649.19999999999993</v>
      </c>
    </row>
    <row r="167" spans="1:42" ht="15" customHeight="1" x14ac:dyDescent="0.3">
      <c r="A167" t="s">
        <v>1975</v>
      </c>
      <c r="B167" t="s">
        <v>2241</v>
      </c>
      <c r="C167" t="s">
        <v>1977</v>
      </c>
      <c r="D167" s="22" t="s">
        <v>2242</v>
      </c>
      <c r="E167" t="s">
        <v>1979</v>
      </c>
      <c r="F167" t="s">
        <v>1980</v>
      </c>
      <c r="P167" t="s">
        <v>1830</v>
      </c>
      <c r="Q167" t="s">
        <v>1981</v>
      </c>
      <c r="R167" t="s">
        <v>2000</v>
      </c>
      <c r="S167" t="s">
        <v>1894</v>
      </c>
      <c r="T167" s="22" t="s">
        <v>325</v>
      </c>
      <c r="V167">
        <v>1</v>
      </c>
      <c r="AE167" t="s">
        <v>56</v>
      </c>
      <c r="AF167" t="s">
        <v>57</v>
      </c>
      <c r="AH167">
        <v>77</v>
      </c>
      <c r="AI167">
        <v>77</v>
      </c>
      <c r="AM167" s="23">
        <f t="shared" si="4"/>
        <v>215.25</v>
      </c>
      <c r="AN167" s="23">
        <v>574</v>
      </c>
      <c r="AO167" s="24">
        <v>0.2</v>
      </c>
      <c r="AP167" s="23">
        <f t="shared" si="5"/>
        <v>688.8</v>
      </c>
    </row>
    <row r="168" spans="1:42" ht="15" customHeight="1" x14ac:dyDescent="0.3">
      <c r="A168" t="s">
        <v>1975</v>
      </c>
      <c r="B168" t="s">
        <v>2243</v>
      </c>
      <c r="C168" t="s">
        <v>1977</v>
      </c>
      <c r="D168" s="22" t="s">
        <v>2244</v>
      </c>
      <c r="E168" t="s">
        <v>1979</v>
      </c>
      <c r="F168" t="s">
        <v>1980</v>
      </c>
      <c r="P168" t="s">
        <v>1830</v>
      </c>
      <c r="Q168" t="s">
        <v>1981</v>
      </c>
      <c r="R168" t="s">
        <v>2003</v>
      </c>
      <c r="S168" t="s">
        <v>1894</v>
      </c>
      <c r="T168" s="22" t="s">
        <v>325</v>
      </c>
      <c r="V168">
        <v>1</v>
      </c>
      <c r="AE168" t="s">
        <v>56</v>
      </c>
      <c r="AF168" t="s">
        <v>57</v>
      </c>
      <c r="AH168">
        <v>82</v>
      </c>
      <c r="AI168">
        <v>82</v>
      </c>
      <c r="AM168" s="23">
        <f t="shared" si="4"/>
        <v>226.5</v>
      </c>
      <c r="AN168" s="23">
        <v>604</v>
      </c>
      <c r="AO168" s="24">
        <v>0.2</v>
      </c>
      <c r="AP168" s="23">
        <f t="shared" si="5"/>
        <v>724.8</v>
      </c>
    </row>
    <row r="169" spans="1:42" ht="15" customHeight="1" x14ac:dyDescent="0.3">
      <c r="A169" t="s">
        <v>1975</v>
      </c>
      <c r="B169" t="s">
        <v>2245</v>
      </c>
      <c r="C169" t="s">
        <v>1977</v>
      </c>
      <c r="D169" s="22" t="s">
        <v>2246</v>
      </c>
      <c r="E169" t="s">
        <v>1979</v>
      </c>
      <c r="F169" t="s">
        <v>1980</v>
      </c>
      <c r="P169" t="s">
        <v>1830</v>
      </c>
      <c r="Q169" t="s">
        <v>1981</v>
      </c>
      <c r="R169" t="s">
        <v>2006</v>
      </c>
      <c r="S169" t="s">
        <v>1894</v>
      </c>
      <c r="T169" s="22" t="s">
        <v>325</v>
      </c>
      <c r="V169">
        <v>1</v>
      </c>
      <c r="AE169" t="s">
        <v>56</v>
      </c>
      <c r="AF169" t="s">
        <v>57</v>
      </c>
      <c r="AH169">
        <v>87</v>
      </c>
      <c r="AI169">
        <v>87</v>
      </c>
      <c r="AM169" s="23">
        <f t="shared" si="4"/>
        <v>242.25</v>
      </c>
      <c r="AN169" s="23">
        <v>646</v>
      </c>
      <c r="AO169" s="24">
        <v>0.2</v>
      </c>
      <c r="AP169" s="23">
        <f t="shared" si="5"/>
        <v>775.19999999999993</v>
      </c>
    </row>
    <row r="170" spans="1:42" ht="15" customHeight="1" x14ac:dyDescent="0.3">
      <c r="A170" t="s">
        <v>1975</v>
      </c>
      <c r="B170" t="s">
        <v>2247</v>
      </c>
      <c r="C170" t="s">
        <v>1977</v>
      </c>
      <c r="D170" s="22" t="s">
        <v>2248</v>
      </c>
      <c r="E170" t="s">
        <v>1979</v>
      </c>
      <c r="F170" t="s">
        <v>1980</v>
      </c>
      <c r="P170" t="s">
        <v>1830</v>
      </c>
      <c r="Q170" t="s">
        <v>1981</v>
      </c>
      <c r="R170" t="s">
        <v>2009</v>
      </c>
      <c r="S170" t="s">
        <v>1894</v>
      </c>
      <c r="T170" s="22" t="s">
        <v>325</v>
      </c>
      <c r="V170">
        <v>1</v>
      </c>
      <c r="AE170" t="s">
        <v>56</v>
      </c>
      <c r="AF170" t="s">
        <v>57</v>
      </c>
      <c r="AH170">
        <v>92</v>
      </c>
      <c r="AI170">
        <v>92</v>
      </c>
      <c r="AM170" s="23">
        <f t="shared" si="4"/>
        <v>253.875</v>
      </c>
      <c r="AN170" s="23">
        <v>677</v>
      </c>
      <c r="AO170" s="24">
        <v>0.2</v>
      </c>
      <c r="AP170" s="23">
        <f t="shared" si="5"/>
        <v>812.4</v>
      </c>
    </row>
    <row r="171" spans="1:42" ht="15" customHeight="1" x14ac:dyDescent="0.3">
      <c r="A171" t="s">
        <v>1975</v>
      </c>
      <c r="B171" t="s">
        <v>2249</v>
      </c>
      <c r="C171" t="s">
        <v>1977</v>
      </c>
      <c r="D171" s="22" t="s">
        <v>2250</v>
      </c>
      <c r="E171" t="s">
        <v>1979</v>
      </c>
      <c r="F171" t="s">
        <v>1980</v>
      </c>
      <c r="P171" t="s">
        <v>1830</v>
      </c>
      <c r="Q171" t="s">
        <v>1981</v>
      </c>
      <c r="R171" t="s">
        <v>2012</v>
      </c>
      <c r="S171" t="s">
        <v>1894</v>
      </c>
      <c r="T171" s="22" t="s">
        <v>325</v>
      </c>
      <c r="V171">
        <v>1</v>
      </c>
      <c r="AE171" t="s">
        <v>56</v>
      </c>
      <c r="AF171" t="s">
        <v>57</v>
      </c>
      <c r="AH171">
        <v>96</v>
      </c>
      <c r="AI171">
        <v>96</v>
      </c>
      <c r="AM171" s="23">
        <f t="shared" si="4"/>
        <v>266.25</v>
      </c>
      <c r="AN171" s="23">
        <v>710</v>
      </c>
      <c r="AO171" s="24">
        <v>0.2</v>
      </c>
      <c r="AP171" s="23">
        <f t="shared" si="5"/>
        <v>852</v>
      </c>
    </row>
    <row r="172" spans="1:42" ht="15" customHeight="1" x14ac:dyDescent="0.3">
      <c r="A172" t="s">
        <v>1975</v>
      </c>
      <c r="B172" t="s">
        <v>2251</v>
      </c>
      <c r="C172" t="s">
        <v>1977</v>
      </c>
      <c r="D172" s="22" t="s">
        <v>2252</v>
      </c>
      <c r="E172" t="s">
        <v>1979</v>
      </c>
      <c r="F172" t="s">
        <v>1980</v>
      </c>
      <c r="P172" t="s">
        <v>1830</v>
      </c>
      <c r="Q172" t="s">
        <v>1981</v>
      </c>
      <c r="R172" t="s">
        <v>2015</v>
      </c>
      <c r="S172" t="s">
        <v>1894</v>
      </c>
      <c r="T172" s="22" t="s">
        <v>325</v>
      </c>
      <c r="V172">
        <v>1</v>
      </c>
      <c r="AE172" t="s">
        <v>56</v>
      </c>
      <c r="AF172" t="s">
        <v>57</v>
      </c>
      <c r="AH172">
        <v>34</v>
      </c>
      <c r="AI172">
        <v>34</v>
      </c>
      <c r="AM172" s="23">
        <f t="shared" si="4"/>
        <v>108</v>
      </c>
      <c r="AN172" s="23">
        <v>288</v>
      </c>
      <c r="AO172" s="24">
        <v>0.2</v>
      </c>
      <c r="AP172" s="23">
        <f t="shared" si="5"/>
        <v>345.59999999999997</v>
      </c>
    </row>
    <row r="173" spans="1:42" ht="15" customHeight="1" x14ac:dyDescent="0.3">
      <c r="A173" t="s">
        <v>1975</v>
      </c>
      <c r="B173" t="s">
        <v>2253</v>
      </c>
      <c r="C173" t="s">
        <v>1977</v>
      </c>
      <c r="D173" s="22" t="s">
        <v>2254</v>
      </c>
      <c r="E173" t="s">
        <v>1979</v>
      </c>
      <c r="F173" t="s">
        <v>1980</v>
      </c>
      <c r="P173" t="s">
        <v>1830</v>
      </c>
      <c r="Q173" t="s">
        <v>1981</v>
      </c>
      <c r="R173" t="s">
        <v>2018</v>
      </c>
      <c r="S173" t="s">
        <v>1894</v>
      </c>
      <c r="T173" s="22" t="s">
        <v>325</v>
      </c>
      <c r="V173">
        <v>1</v>
      </c>
      <c r="AE173" t="s">
        <v>56</v>
      </c>
      <c r="AF173" t="s">
        <v>57</v>
      </c>
      <c r="AH173">
        <v>37</v>
      </c>
      <c r="AI173">
        <v>37</v>
      </c>
      <c r="AM173" s="23">
        <f t="shared" si="4"/>
        <v>126.75</v>
      </c>
      <c r="AN173" s="23">
        <v>338</v>
      </c>
      <c r="AO173" s="24">
        <v>0.2</v>
      </c>
      <c r="AP173" s="23">
        <f t="shared" si="5"/>
        <v>405.59999999999997</v>
      </c>
    </row>
    <row r="174" spans="1:42" ht="15" customHeight="1" x14ac:dyDescent="0.3">
      <c r="A174" t="s">
        <v>1975</v>
      </c>
      <c r="B174" t="s">
        <v>2255</v>
      </c>
      <c r="C174" t="s">
        <v>1977</v>
      </c>
      <c r="D174" s="22" t="s">
        <v>2256</v>
      </c>
      <c r="E174" t="s">
        <v>1979</v>
      </c>
      <c r="F174" t="s">
        <v>1980</v>
      </c>
      <c r="P174" t="s">
        <v>1830</v>
      </c>
      <c r="Q174" t="s">
        <v>1981</v>
      </c>
      <c r="R174" t="s">
        <v>2021</v>
      </c>
      <c r="S174" t="s">
        <v>1894</v>
      </c>
      <c r="T174" s="22" t="s">
        <v>325</v>
      </c>
      <c r="V174">
        <v>1</v>
      </c>
      <c r="AE174" t="s">
        <v>56</v>
      </c>
      <c r="AF174" t="s">
        <v>57</v>
      </c>
      <c r="AH174">
        <v>41</v>
      </c>
      <c r="AI174">
        <v>41</v>
      </c>
      <c r="AM174" s="23">
        <f t="shared" si="4"/>
        <v>129.375</v>
      </c>
      <c r="AN174" s="23">
        <v>345</v>
      </c>
      <c r="AO174" s="24">
        <v>0.2</v>
      </c>
      <c r="AP174" s="23">
        <f t="shared" si="5"/>
        <v>414</v>
      </c>
    </row>
    <row r="175" spans="1:42" ht="15" customHeight="1" x14ac:dyDescent="0.3">
      <c r="A175" t="s">
        <v>1975</v>
      </c>
      <c r="B175" t="s">
        <v>2257</v>
      </c>
      <c r="C175" t="s">
        <v>1977</v>
      </c>
      <c r="D175" s="22" t="s">
        <v>2258</v>
      </c>
      <c r="E175" t="s">
        <v>1979</v>
      </c>
      <c r="F175" t="s">
        <v>1980</v>
      </c>
      <c r="P175" t="s">
        <v>1830</v>
      </c>
      <c r="Q175" t="s">
        <v>1981</v>
      </c>
      <c r="R175" t="s">
        <v>2024</v>
      </c>
      <c r="S175" t="s">
        <v>1894</v>
      </c>
      <c r="T175" s="22" t="s">
        <v>325</v>
      </c>
      <c r="V175">
        <v>1</v>
      </c>
      <c r="AE175" t="s">
        <v>56</v>
      </c>
      <c r="AF175" t="s">
        <v>57</v>
      </c>
      <c r="AH175">
        <v>44</v>
      </c>
      <c r="AI175">
        <v>44</v>
      </c>
      <c r="AM175" s="23">
        <f t="shared" si="4"/>
        <v>139.875</v>
      </c>
      <c r="AN175" s="23">
        <v>373</v>
      </c>
      <c r="AO175" s="24">
        <v>0.2</v>
      </c>
      <c r="AP175" s="23">
        <f t="shared" si="5"/>
        <v>447.59999999999997</v>
      </c>
    </row>
    <row r="176" spans="1:42" ht="15" customHeight="1" x14ac:dyDescent="0.3">
      <c r="A176" t="s">
        <v>1975</v>
      </c>
      <c r="B176" t="s">
        <v>2259</v>
      </c>
      <c r="C176" t="s">
        <v>1977</v>
      </c>
      <c r="D176" s="22" t="s">
        <v>2260</v>
      </c>
      <c r="E176" t="s">
        <v>1979</v>
      </c>
      <c r="F176" t="s">
        <v>1980</v>
      </c>
      <c r="P176" t="s">
        <v>1830</v>
      </c>
      <c r="Q176" t="s">
        <v>1981</v>
      </c>
      <c r="R176" t="s">
        <v>2027</v>
      </c>
      <c r="S176" t="s">
        <v>1894</v>
      </c>
      <c r="T176" s="22" t="s">
        <v>325</v>
      </c>
      <c r="V176">
        <v>1</v>
      </c>
      <c r="AE176" t="s">
        <v>56</v>
      </c>
      <c r="AF176" t="s">
        <v>57</v>
      </c>
      <c r="AH176">
        <v>48</v>
      </c>
      <c r="AI176">
        <v>48</v>
      </c>
      <c r="AM176" s="23">
        <f t="shared" si="4"/>
        <v>139.875</v>
      </c>
      <c r="AN176" s="23">
        <v>373</v>
      </c>
      <c r="AO176" s="24">
        <v>0.2</v>
      </c>
      <c r="AP176" s="23">
        <f t="shared" si="5"/>
        <v>447.59999999999997</v>
      </c>
    </row>
    <row r="177" spans="1:42" ht="15" customHeight="1" x14ac:dyDescent="0.3">
      <c r="A177" t="s">
        <v>1975</v>
      </c>
      <c r="B177" t="s">
        <v>2261</v>
      </c>
      <c r="C177" t="s">
        <v>1977</v>
      </c>
      <c r="D177" s="22" t="s">
        <v>2262</v>
      </c>
      <c r="E177" t="s">
        <v>1979</v>
      </c>
      <c r="F177" t="s">
        <v>1980</v>
      </c>
      <c r="P177" t="s">
        <v>1830</v>
      </c>
      <c r="Q177" t="s">
        <v>1981</v>
      </c>
      <c r="R177" t="s">
        <v>2030</v>
      </c>
      <c r="S177" t="s">
        <v>1894</v>
      </c>
      <c r="T177" s="22" t="s">
        <v>325</v>
      </c>
      <c r="V177">
        <v>1</v>
      </c>
      <c r="AE177" t="s">
        <v>56</v>
      </c>
      <c r="AF177" t="s">
        <v>57</v>
      </c>
      <c r="AH177">
        <v>51</v>
      </c>
      <c r="AI177">
        <v>51</v>
      </c>
      <c r="AM177" s="23">
        <f t="shared" si="4"/>
        <v>148.125</v>
      </c>
      <c r="AN177" s="23">
        <v>395</v>
      </c>
      <c r="AO177" s="24">
        <v>0.2</v>
      </c>
      <c r="AP177" s="23">
        <f t="shared" si="5"/>
        <v>474</v>
      </c>
    </row>
    <row r="178" spans="1:42" ht="15" customHeight="1" x14ac:dyDescent="0.3">
      <c r="A178" t="s">
        <v>1975</v>
      </c>
      <c r="B178" t="s">
        <v>2263</v>
      </c>
      <c r="C178" t="s">
        <v>1977</v>
      </c>
      <c r="D178" s="22" t="s">
        <v>2264</v>
      </c>
      <c r="E178" t="s">
        <v>1979</v>
      </c>
      <c r="F178" t="s">
        <v>1980</v>
      </c>
      <c r="P178" t="s">
        <v>1830</v>
      </c>
      <c r="Q178" t="s">
        <v>1981</v>
      </c>
      <c r="R178" t="s">
        <v>2033</v>
      </c>
      <c r="S178" t="s">
        <v>1894</v>
      </c>
      <c r="T178" s="22" t="s">
        <v>325</v>
      </c>
      <c r="V178">
        <v>1</v>
      </c>
      <c r="AE178" t="s">
        <v>56</v>
      </c>
      <c r="AF178" t="s">
        <v>57</v>
      </c>
      <c r="AH178">
        <v>54</v>
      </c>
      <c r="AI178">
        <v>54</v>
      </c>
      <c r="AM178" s="23">
        <f t="shared" si="4"/>
        <v>156.75</v>
      </c>
      <c r="AN178" s="23">
        <v>418</v>
      </c>
      <c r="AO178" s="24">
        <v>0.2</v>
      </c>
      <c r="AP178" s="23">
        <f t="shared" si="5"/>
        <v>501.59999999999997</v>
      </c>
    </row>
    <row r="179" spans="1:42" ht="15" customHeight="1" x14ac:dyDescent="0.3">
      <c r="A179" t="s">
        <v>1975</v>
      </c>
      <c r="B179" t="s">
        <v>2265</v>
      </c>
      <c r="C179" t="s">
        <v>1977</v>
      </c>
      <c r="D179" s="22" t="s">
        <v>2266</v>
      </c>
      <c r="E179" t="s">
        <v>1979</v>
      </c>
      <c r="F179" t="s">
        <v>1980</v>
      </c>
      <c r="P179" t="s">
        <v>1830</v>
      </c>
      <c r="Q179" t="s">
        <v>1981</v>
      </c>
      <c r="R179" t="s">
        <v>2036</v>
      </c>
      <c r="S179" t="s">
        <v>1894</v>
      </c>
      <c r="T179" s="22" t="s">
        <v>325</v>
      </c>
      <c r="V179">
        <v>1</v>
      </c>
      <c r="AE179" t="s">
        <v>56</v>
      </c>
      <c r="AF179" t="s">
        <v>57</v>
      </c>
      <c r="AH179">
        <v>58</v>
      </c>
      <c r="AI179">
        <v>58</v>
      </c>
      <c r="AM179" s="23">
        <f t="shared" si="4"/>
        <v>165</v>
      </c>
      <c r="AN179" s="23">
        <v>440</v>
      </c>
      <c r="AO179" s="24">
        <v>0.2</v>
      </c>
      <c r="AP179" s="23">
        <f t="shared" si="5"/>
        <v>528</v>
      </c>
    </row>
    <row r="180" spans="1:42" ht="15" customHeight="1" x14ac:dyDescent="0.3">
      <c r="A180" t="s">
        <v>1975</v>
      </c>
      <c r="B180" t="s">
        <v>2267</v>
      </c>
      <c r="C180" t="s">
        <v>1977</v>
      </c>
      <c r="D180" s="22" t="s">
        <v>2268</v>
      </c>
      <c r="E180" t="s">
        <v>1979</v>
      </c>
      <c r="F180" t="s">
        <v>1980</v>
      </c>
      <c r="P180" t="s">
        <v>1830</v>
      </c>
      <c r="Q180" t="s">
        <v>1981</v>
      </c>
      <c r="R180" t="s">
        <v>2039</v>
      </c>
      <c r="S180" t="s">
        <v>1894</v>
      </c>
      <c r="T180" s="22" t="s">
        <v>325</v>
      </c>
      <c r="V180">
        <v>1</v>
      </c>
      <c r="AE180" t="s">
        <v>56</v>
      </c>
      <c r="AF180" t="s">
        <v>57</v>
      </c>
      <c r="AH180">
        <v>61</v>
      </c>
      <c r="AI180">
        <v>61</v>
      </c>
      <c r="AM180" s="23">
        <f t="shared" si="4"/>
        <v>175.875</v>
      </c>
      <c r="AN180" s="23">
        <v>469</v>
      </c>
      <c r="AO180" s="24">
        <v>0.2</v>
      </c>
      <c r="AP180" s="23">
        <f t="shared" si="5"/>
        <v>562.79999999999995</v>
      </c>
    </row>
    <row r="181" spans="1:42" ht="15" customHeight="1" x14ac:dyDescent="0.3">
      <c r="A181" t="s">
        <v>1975</v>
      </c>
      <c r="B181" t="s">
        <v>2269</v>
      </c>
      <c r="C181" t="s">
        <v>1977</v>
      </c>
      <c r="D181" s="22" t="s">
        <v>2270</v>
      </c>
      <c r="E181" t="s">
        <v>1979</v>
      </c>
      <c r="F181" t="s">
        <v>1980</v>
      </c>
      <c r="P181" t="s">
        <v>1830</v>
      </c>
      <c r="Q181" t="s">
        <v>1981</v>
      </c>
      <c r="R181" t="s">
        <v>2042</v>
      </c>
      <c r="S181" t="s">
        <v>1894</v>
      </c>
      <c r="T181" s="22" t="s">
        <v>325</v>
      </c>
      <c r="V181">
        <v>1</v>
      </c>
      <c r="AE181" t="s">
        <v>56</v>
      </c>
      <c r="AF181" t="s">
        <v>57</v>
      </c>
      <c r="AH181">
        <v>64</v>
      </c>
      <c r="AI181">
        <v>64</v>
      </c>
      <c r="AM181" s="23">
        <f t="shared" si="4"/>
        <v>196.125</v>
      </c>
      <c r="AN181" s="23">
        <v>523</v>
      </c>
      <c r="AO181" s="24">
        <v>0.2</v>
      </c>
      <c r="AP181" s="23">
        <f t="shared" si="5"/>
        <v>627.6</v>
      </c>
    </row>
    <row r="182" spans="1:42" ht="15" customHeight="1" x14ac:dyDescent="0.3">
      <c r="A182" t="s">
        <v>1975</v>
      </c>
      <c r="B182" t="s">
        <v>2271</v>
      </c>
      <c r="C182" t="s">
        <v>1977</v>
      </c>
      <c r="D182" s="22" t="s">
        <v>2272</v>
      </c>
      <c r="E182" t="s">
        <v>1979</v>
      </c>
      <c r="F182" t="s">
        <v>1980</v>
      </c>
      <c r="P182" t="s">
        <v>1830</v>
      </c>
      <c r="Q182" t="s">
        <v>1981</v>
      </c>
      <c r="R182" t="s">
        <v>2045</v>
      </c>
      <c r="S182" t="s">
        <v>1894</v>
      </c>
      <c r="T182" s="22" t="s">
        <v>325</v>
      </c>
      <c r="V182">
        <v>1</v>
      </c>
      <c r="AE182" t="s">
        <v>56</v>
      </c>
      <c r="AF182" t="s">
        <v>57</v>
      </c>
      <c r="AH182">
        <v>68</v>
      </c>
      <c r="AI182">
        <v>68</v>
      </c>
      <c r="AM182" s="23">
        <f t="shared" si="4"/>
        <v>200.625</v>
      </c>
      <c r="AN182" s="23">
        <v>535</v>
      </c>
      <c r="AO182" s="24">
        <v>0.2</v>
      </c>
      <c r="AP182" s="23">
        <f t="shared" si="5"/>
        <v>642</v>
      </c>
    </row>
    <row r="183" spans="1:42" ht="15" customHeight="1" x14ac:dyDescent="0.3">
      <c r="A183" t="s">
        <v>1975</v>
      </c>
      <c r="B183" t="s">
        <v>2273</v>
      </c>
      <c r="C183" t="s">
        <v>1977</v>
      </c>
      <c r="D183" s="22" t="s">
        <v>2274</v>
      </c>
      <c r="E183" t="s">
        <v>1979</v>
      </c>
      <c r="F183" t="s">
        <v>1980</v>
      </c>
      <c r="P183" t="s">
        <v>1830</v>
      </c>
      <c r="Q183" t="s">
        <v>1981</v>
      </c>
      <c r="R183" t="s">
        <v>2048</v>
      </c>
      <c r="S183" t="s">
        <v>1894</v>
      </c>
      <c r="T183" s="22" t="s">
        <v>325</v>
      </c>
      <c r="V183">
        <v>1</v>
      </c>
      <c r="AE183" t="s">
        <v>56</v>
      </c>
      <c r="AF183" t="s">
        <v>57</v>
      </c>
      <c r="AH183">
        <v>24</v>
      </c>
      <c r="AI183">
        <v>24</v>
      </c>
      <c r="AM183" s="23">
        <f t="shared" si="4"/>
        <v>95.625</v>
      </c>
      <c r="AN183" s="23">
        <v>255</v>
      </c>
      <c r="AO183" s="24">
        <v>0.2</v>
      </c>
      <c r="AP183" s="23">
        <f t="shared" si="5"/>
        <v>306</v>
      </c>
    </row>
    <row r="184" spans="1:42" ht="15" customHeight="1" x14ac:dyDescent="0.3">
      <c r="A184" t="s">
        <v>1975</v>
      </c>
      <c r="B184" t="s">
        <v>2275</v>
      </c>
      <c r="C184" t="s">
        <v>1977</v>
      </c>
      <c r="D184" s="22" t="s">
        <v>2276</v>
      </c>
      <c r="E184" t="s">
        <v>1979</v>
      </c>
      <c r="F184" t="s">
        <v>1980</v>
      </c>
      <c r="P184" t="s">
        <v>1830</v>
      </c>
      <c r="Q184" t="s">
        <v>1981</v>
      </c>
      <c r="R184" t="s">
        <v>2051</v>
      </c>
      <c r="S184" t="s">
        <v>1894</v>
      </c>
      <c r="T184" s="22" t="s">
        <v>325</v>
      </c>
      <c r="V184">
        <v>1</v>
      </c>
      <c r="AE184" t="s">
        <v>56</v>
      </c>
      <c r="AF184" t="s">
        <v>57</v>
      </c>
      <c r="AH184">
        <v>27</v>
      </c>
      <c r="AI184">
        <v>27</v>
      </c>
      <c r="AM184" s="23">
        <f t="shared" si="4"/>
        <v>100.5</v>
      </c>
      <c r="AN184" s="23">
        <v>268</v>
      </c>
      <c r="AO184" s="24">
        <v>0.2</v>
      </c>
      <c r="AP184" s="23">
        <f t="shared" si="5"/>
        <v>321.59999999999997</v>
      </c>
    </row>
    <row r="185" spans="1:42" ht="15" customHeight="1" x14ac:dyDescent="0.3">
      <c r="A185" t="s">
        <v>1975</v>
      </c>
      <c r="B185" t="s">
        <v>2277</v>
      </c>
      <c r="C185" t="s">
        <v>1977</v>
      </c>
      <c r="D185" s="22" t="s">
        <v>2278</v>
      </c>
      <c r="E185" t="s">
        <v>1979</v>
      </c>
      <c r="F185" t="s">
        <v>1980</v>
      </c>
      <c r="P185" t="s">
        <v>1830</v>
      </c>
      <c r="Q185" t="s">
        <v>1981</v>
      </c>
      <c r="R185" t="s">
        <v>2054</v>
      </c>
      <c r="S185" t="s">
        <v>1894</v>
      </c>
      <c r="T185" s="22" t="s">
        <v>325</v>
      </c>
      <c r="V185">
        <v>1</v>
      </c>
      <c r="AE185" t="s">
        <v>56</v>
      </c>
      <c r="AF185" t="s">
        <v>57</v>
      </c>
      <c r="AH185">
        <v>31</v>
      </c>
      <c r="AI185">
        <v>31</v>
      </c>
      <c r="AM185" s="23">
        <f t="shared" si="4"/>
        <v>104.25</v>
      </c>
      <c r="AN185" s="23">
        <v>278</v>
      </c>
      <c r="AO185" s="24">
        <v>0.2</v>
      </c>
      <c r="AP185" s="23">
        <f t="shared" si="5"/>
        <v>333.59999999999997</v>
      </c>
    </row>
    <row r="186" spans="1:42" ht="15" customHeight="1" x14ac:dyDescent="0.3">
      <c r="A186" t="s">
        <v>1975</v>
      </c>
      <c r="B186" t="s">
        <v>2279</v>
      </c>
      <c r="C186" t="s">
        <v>1977</v>
      </c>
      <c r="D186" s="22" t="s">
        <v>2280</v>
      </c>
      <c r="E186" t="s">
        <v>1979</v>
      </c>
      <c r="F186" t="s">
        <v>1980</v>
      </c>
      <c r="P186" t="s">
        <v>1830</v>
      </c>
      <c r="Q186" t="s">
        <v>1981</v>
      </c>
      <c r="R186" t="s">
        <v>2057</v>
      </c>
      <c r="S186" t="s">
        <v>1894</v>
      </c>
      <c r="T186" s="22" t="s">
        <v>325</v>
      </c>
      <c r="V186">
        <v>1</v>
      </c>
      <c r="AE186" t="s">
        <v>56</v>
      </c>
      <c r="AF186" t="s">
        <v>57</v>
      </c>
      <c r="AH186">
        <v>39</v>
      </c>
      <c r="AI186">
        <v>39</v>
      </c>
      <c r="AM186" s="23">
        <f t="shared" si="4"/>
        <v>113.625</v>
      </c>
      <c r="AN186" s="23">
        <v>303</v>
      </c>
      <c r="AO186" s="24">
        <v>0.2</v>
      </c>
      <c r="AP186" s="23">
        <f t="shared" si="5"/>
        <v>363.59999999999997</v>
      </c>
    </row>
    <row r="187" spans="1:42" ht="15" customHeight="1" x14ac:dyDescent="0.3">
      <c r="A187" t="s">
        <v>1975</v>
      </c>
      <c r="B187" t="s">
        <v>2281</v>
      </c>
      <c r="C187" t="s">
        <v>1977</v>
      </c>
      <c r="D187" s="22" t="s">
        <v>2282</v>
      </c>
      <c r="E187" t="s">
        <v>1979</v>
      </c>
      <c r="F187" t="s">
        <v>1980</v>
      </c>
      <c r="P187" t="s">
        <v>1830</v>
      </c>
      <c r="Q187" t="s">
        <v>1981</v>
      </c>
      <c r="R187" t="s">
        <v>2060</v>
      </c>
      <c r="S187" t="s">
        <v>1894</v>
      </c>
      <c r="T187" s="22" t="s">
        <v>325</v>
      </c>
      <c r="V187">
        <v>1</v>
      </c>
      <c r="AE187" t="s">
        <v>56</v>
      </c>
      <c r="AF187" t="s">
        <v>57</v>
      </c>
      <c r="AH187">
        <v>43</v>
      </c>
      <c r="AI187">
        <v>43</v>
      </c>
      <c r="AM187" s="23">
        <f t="shared" si="4"/>
        <v>130.5</v>
      </c>
      <c r="AN187" s="23">
        <v>348</v>
      </c>
      <c r="AO187" s="24">
        <v>0.2</v>
      </c>
      <c r="AP187" s="23">
        <f t="shared" si="5"/>
        <v>417.59999999999997</v>
      </c>
    </row>
    <row r="188" spans="1:42" ht="15" customHeight="1" x14ac:dyDescent="0.3">
      <c r="A188" t="s">
        <v>1975</v>
      </c>
      <c r="B188" t="s">
        <v>2283</v>
      </c>
      <c r="C188" t="s">
        <v>1977</v>
      </c>
      <c r="D188" s="22" t="s">
        <v>2284</v>
      </c>
      <c r="E188" t="s">
        <v>1979</v>
      </c>
      <c r="F188" t="s">
        <v>1980</v>
      </c>
      <c r="P188" t="s">
        <v>1830</v>
      </c>
      <c r="Q188" t="s">
        <v>1981</v>
      </c>
      <c r="R188" t="s">
        <v>2063</v>
      </c>
      <c r="S188" t="s">
        <v>1894</v>
      </c>
      <c r="T188" s="22" t="s">
        <v>325</v>
      </c>
      <c r="V188">
        <v>1</v>
      </c>
      <c r="AE188" t="s">
        <v>56</v>
      </c>
      <c r="AF188" t="s">
        <v>57</v>
      </c>
      <c r="AH188">
        <v>47</v>
      </c>
      <c r="AI188">
        <v>47</v>
      </c>
      <c r="AM188" s="23">
        <f t="shared" si="4"/>
        <v>136.125</v>
      </c>
      <c r="AN188" s="23">
        <v>363</v>
      </c>
      <c r="AO188" s="24">
        <v>0.2</v>
      </c>
      <c r="AP188" s="23">
        <f t="shared" si="5"/>
        <v>435.59999999999997</v>
      </c>
    </row>
    <row r="189" spans="1:42" ht="15" customHeight="1" x14ac:dyDescent="0.3">
      <c r="A189" t="s">
        <v>1975</v>
      </c>
      <c r="B189" t="s">
        <v>2285</v>
      </c>
      <c r="C189" t="s">
        <v>1977</v>
      </c>
      <c r="D189" s="22" t="s">
        <v>2286</v>
      </c>
      <c r="E189" t="s">
        <v>1979</v>
      </c>
      <c r="F189" t="s">
        <v>1980</v>
      </c>
      <c r="P189" t="s">
        <v>1830</v>
      </c>
      <c r="Q189" t="s">
        <v>1981</v>
      </c>
      <c r="R189" t="s">
        <v>2066</v>
      </c>
      <c r="S189" t="s">
        <v>1894</v>
      </c>
      <c r="T189" s="22" t="s">
        <v>325</v>
      </c>
      <c r="V189">
        <v>1</v>
      </c>
      <c r="AE189" t="s">
        <v>56</v>
      </c>
      <c r="AF189" t="s">
        <v>57</v>
      </c>
      <c r="AH189">
        <v>50</v>
      </c>
      <c r="AI189">
        <v>50</v>
      </c>
      <c r="AM189" s="23">
        <f t="shared" si="4"/>
        <v>153.75</v>
      </c>
      <c r="AN189" s="23">
        <v>410</v>
      </c>
      <c r="AO189" s="24">
        <v>0.2</v>
      </c>
      <c r="AP189" s="23">
        <f t="shared" si="5"/>
        <v>492</v>
      </c>
    </row>
    <row r="190" spans="1:42" ht="15" customHeight="1" x14ac:dyDescent="0.3">
      <c r="A190" t="s">
        <v>1975</v>
      </c>
      <c r="B190" t="s">
        <v>2287</v>
      </c>
      <c r="C190" t="s">
        <v>1977</v>
      </c>
      <c r="D190" s="22" t="s">
        <v>2288</v>
      </c>
      <c r="E190" t="s">
        <v>1979</v>
      </c>
      <c r="F190" t="s">
        <v>1980</v>
      </c>
      <c r="P190" t="s">
        <v>1830</v>
      </c>
      <c r="Q190" t="s">
        <v>1981</v>
      </c>
      <c r="R190" t="s">
        <v>2069</v>
      </c>
      <c r="S190" t="s">
        <v>1894</v>
      </c>
      <c r="T190" s="22" t="s">
        <v>325</v>
      </c>
      <c r="V190">
        <v>1</v>
      </c>
      <c r="AE190" t="s">
        <v>56</v>
      </c>
      <c r="AF190" t="s">
        <v>57</v>
      </c>
      <c r="AH190">
        <v>54</v>
      </c>
      <c r="AI190">
        <v>54</v>
      </c>
      <c r="AM190" s="23">
        <f t="shared" si="4"/>
        <v>156.75</v>
      </c>
      <c r="AN190" s="23">
        <v>418</v>
      </c>
      <c r="AO190" s="24">
        <v>0.2</v>
      </c>
      <c r="AP190" s="23">
        <f t="shared" si="5"/>
        <v>501.59999999999997</v>
      </c>
    </row>
    <row r="191" spans="1:42" ht="15" customHeight="1" x14ac:dyDescent="0.3">
      <c r="A191" t="s">
        <v>1975</v>
      </c>
      <c r="B191" t="s">
        <v>2289</v>
      </c>
      <c r="C191" t="s">
        <v>1977</v>
      </c>
      <c r="D191" s="22" t="s">
        <v>2290</v>
      </c>
      <c r="E191" t="s">
        <v>1979</v>
      </c>
      <c r="F191" t="s">
        <v>1980</v>
      </c>
      <c r="P191" t="s">
        <v>1830</v>
      </c>
      <c r="Q191" t="s">
        <v>1981</v>
      </c>
      <c r="R191" t="s">
        <v>2072</v>
      </c>
      <c r="S191" t="s">
        <v>1894</v>
      </c>
      <c r="T191" s="22" t="s">
        <v>325</v>
      </c>
      <c r="V191">
        <v>1</v>
      </c>
      <c r="AE191" t="s">
        <v>56</v>
      </c>
      <c r="AF191" t="s">
        <v>57</v>
      </c>
      <c r="AH191">
        <v>58</v>
      </c>
      <c r="AI191">
        <v>58</v>
      </c>
      <c r="AM191" s="23">
        <f t="shared" si="4"/>
        <v>166.5</v>
      </c>
      <c r="AN191" s="23">
        <v>444</v>
      </c>
      <c r="AO191" s="24">
        <v>0.2</v>
      </c>
      <c r="AP191" s="23">
        <f t="shared" si="5"/>
        <v>532.79999999999995</v>
      </c>
    </row>
    <row r="192" spans="1:42" ht="15" customHeight="1" x14ac:dyDescent="0.3">
      <c r="A192" t="s">
        <v>1975</v>
      </c>
      <c r="B192" t="s">
        <v>2291</v>
      </c>
      <c r="C192" t="s">
        <v>1977</v>
      </c>
      <c r="D192" s="22" t="s">
        <v>2292</v>
      </c>
      <c r="E192" t="s">
        <v>1979</v>
      </c>
      <c r="F192" t="s">
        <v>1980</v>
      </c>
      <c r="P192" t="s">
        <v>1830</v>
      </c>
      <c r="Q192" t="s">
        <v>1981</v>
      </c>
      <c r="R192" t="s">
        <v>2075</v>
      </c>
      <c r="S192" t="s">
        <v>1894</v>
      </c>
      <c r="T192" s="22" t="s">
        <v>325</v>
      </c>
      <c r="V192">
        <v>1</v>
      </c>
      <c r="AE192" t="s">
        <v>56</v>
      </c>
      <c r="AF192" t="s">
        <v>57</v>
      </c>
      <c r="AH192">
        <v>62</v>
      </c>
      <c r="AI192">
        <v>62</v>
      </c>
      <c r="AM192" s="23">
        <f t="shared" si="4"/>
        <v>175.875</v>
      </c>
      <c r="AN192" s="23">
        <v>469</v>
      </c>
      <c r="AO192" s="24">
        <v>0.2</v>
      </c>
      <c r="AP192" s="23">
        <f t="shared" si="5"/>
        <v>562.79999999999995</v>
      </c>
    </row>
    <row r="193" spans="1:42" ht="15" customHeight="1" x14ac:dyDescent="0.3">
      <c r="A193" t="s">
        <v>1975</v>
      </c>
      <c r="B193" t="s">
        <v>2293</v>
      </c>
      <c r="C193" t="s">
        <v>1977</v>
      </c>
      <c r="D193" s="22" t="s">
        <v>2294</v>
      </c>
      <c r="E193" t="s">
        <v>1979</v>
      </c>
      <c r="F193" t="s">
        <v>1980</v>
      </c>
      <c r="P193" t="s">
        <v>1830</v>
      </c>
      <c r="Q193" t="s">
        <v>1981</v>
      </c>
      <c r="R193" t="s">
        <v>2078</v>
      </c>
      <c r="S193" t="s">
        <v>1894</v>
      </c>
      <c r="T193" s="22" t="s">
        <v>325</v>
      </c>
      <c r="V193">
        <v>1</v>
      </c>
      <c r="AE193" t="s">
        <v>56</v>
      </c>
      <c r="AF193" t="s">
        <v>57</v>
      </c>
      <c r="AH193">
        <v>66</v>
      </c>
      <c r="AI193">
        <v>66</v>
      </c>
      <c r="AM193" s="23">
        <f t="shared" si="4"/>
        <v>185.625</v>
      </c>
      <c r="AN193" s="23">
        <v>495</v>
      </c>
      <c r="AO193" s="24">
        <v>0.2</v>
      </c>
      <c r="AP193" s="23">
        <f t="shared" si="5"/>
        <v>594</v>
      </c>
    </row>
    <row r="194" spans="1:42" ht="15" customHeight="1" x14ac:dyDescent="0.3">
      <c r="A194" t="s">
        <v>1975</v>
      </c>
      <c r="B194" t="s">
        <v>2295</v>
      </c>
      <c r="C194" t="s">
        <v>1977</v>
      </c>
      <c r="D194" s="22" t="s">
        <v>2296</v>
      </c>
      <c r="E194" t="s">
        <v>1979</v>
      </c>
      <c r="F194" t="s">
        <v>1980</v>
      </c>
      <c r="P194" t="s">
        <v>1830</v>
      </c>
      <c r="Q194" t="s">
        <v>1981</v>
      </c>
      <c r="R194" t="s">
        <v>2081</v>
      </c>
      <c r="S194" t="s">
        <v>1894</v>
      </c>
      <c r="T194" s="22" t="s">
        <v>325</v>
      </c>
      <c r="V194">
        <v>1</v>
      </c>
      <c r="AE194" t="s">
        <v>56</v>
      </c>
      <c r="AF194" t="s">
        <v>57</v>
      </c>
      <c r="AH194">
        <v>70</v>
      </c>
      <c r="AI194">
        <v>70</v>
      </c>
      <c r="AM194" s="23">
        <f t="shared" ref="AM194:AM257" si="6">AN194*0.5*0.75</f>
        <v>198</v>
      </c>
      <c r="AN194" s="23">
        <v>528</v>
      </c>
      <c r="AO194" s="24">
        <v>0.2</v>
      </c>
      <c r="AP194" s="23">
        <f t="shared" ref="AP194:AP257" si="7">AN194*1.2</f>
        <v>633.6</v>
      </c>
    </row>
    <row r="195" spans="1:42" ht="15" customHeight="1" x14ac:dyDescent="0.3">
      <c r="A195" t="s">
        <v>1975</v>
      </c>
      <c r="B195" t="s">
        <v>2297</v>
      </c>
      <c r="C195" t="s">
        <v>1977</v>
      </c>
      <c r="D195" s="22" t="s">
        <v>2298</v>
      </c>
      <c r="E195" t="s">
        <v>1979</v>
      </c>
      <c r="F195" t="s">
        <v>1980</v>
      </c>
      <c r="P195" t="s">
        <v>1830</v>
      </c>
      <c r="Q195" t="s">
        <v>1981</v>
      </c>
      <c r="R195" t="s">
        <v>2084</v>
      </c>
      <c r="S195" t="s">
        <v>1894</v>
      </c>
      <c r="T195" s="22" t="s">
        <v>325</v>
      </c>
      <c r="V195">
        <v>1</v>
      </c>
      <c r="AE195" t="s">
        <v>56</v>
      </c>
      <c r="AF195" t="s">
        <v>57</v>
      </c>
      <c r="AH195">
        <v>73</v>
      </c>
      <c r="AI195">
        <v>73</v>
      </c>
      <c r="AM195" s="23">
        <f t="shared" si="6"/>
        <v>219.375</v>
      </c>
      <c r="AN195" s="23">
        <v>585</v>
      </c>
      <c r="AO195" s="24">
        <v>0.2</v>
      </c>
      <c r="AP195" s="23">
        <f t="shared" si="7"/>
        <v>702</v>
      </c>
    </row>
    <row r="196" spans="1:42" ht="15" customHeight="1" x14ac:dyDescent="0.3">
      <c r="A196" t="s">
        <v>1975</v>
      </c>
      <c r="B196" t="s">
        <v>2299</v>
      </c>
      <c r="C196" t="s">
        <v>1977</v>
      </c>
      <c r="D196" s="22" t="s">
        <v>2300</v>
      </c>
      <c r="E196" t="s">
        <v>1979</v>
      </c>
      <c r="F196" t="s">
        <v>1980</v>
      </c>
      <c r="P196" t="s">
        <v>1830</v>
      </c>
      <c r="Q196" t="s">
        <v>1981</v>
      </c>
      <c r="R196" t="s">
        <v>2087</v>
      </c>
      <c r="S196" t="s">
        <v>1894</v>
      </c>
      <c r="T196" s="22" t="s">
        <v>325</v>
      </c>
      <c r="V196">
        <v>1</v>
      </c>
      <c r="AE196" t="s">
        <v>56</v>
      </c>
      <c r="AF196" t="s">
        <v>57</v>
      </c>
      <c r="AH196">
        <v>77</v>
      </c>
      <c r="AI196">
        <v>77</v>
      </c>
      <c r="AM196" s="23">
        <f t="shared" si="6"/>
        <v>223.125</v>
      </c>
      <c r="AN196" s="23">
        <v>595</v>
      </c>
      <c r="AO196" s="24">
        <v>0.2</v>
      </c>
      <c r="AP196" s="23">
        <f t="shared" si="7"/>
        <v>714</v>
      </c>
    </row>
    <row r="197" spans="1:42" ht="15" customHeight="1" x14ac:dyDescent="0.3">
      <c r="A197" t="s">
        <v>1975</v>
      </c>
      <c r="B197" t="s">
        <v>2301</v>
      </c>
      <c r="C197" t="s">
        <v>1977</v>
      </c>
      <c r="D197" s="22" t="s">
        <v>2302</v>
      </c>
      <c r="E197" t="s">
        <v>1979</v>
      </c>
      <c r="F197" t="s">
        <v>1980</v>
      </c>
      <c r="P197" t="s">
        <v>1830</v>
      </c>
      <c r="Q197" t="s">
        <v>1981</v>
      </c>
      <c r="R197" t="s">
        <v>242</v>
      </c>
      <c r="S197" t="s">
        <v>1894</v>
      </c>
      <c r="T197" s="22" t="s">
        <v>325</v>
      </c>
      <c r="V197">
        <v>1</v>
      </c>
      <c r="AE197" t="s">
        <v>56</v>
      </c>
      <c r="AF197" t="s">
        <v>57</v>
      </c>
      <c r="AH197">
        <v>31</v>
      </c>
      <c r="AI197">
        <v>31</v>
      </c>
      <c r="AM197" s="23">
        <f t="shared" si="6"/>
        <v>103.125</v>
      </c>
      <c r="AN197" s="23">
        <v>275</v>
      </c>
      <c r="AO197" s="24">
        <v>0.2</v>
      </c>
      <c r="AP197" s="23">
        <f t="shared" si="7"/>
        <v>330</v>
      </c>
    </row>
    <row r="198" spans="1:42" ht="15" customHeight="1" x14ac:dyDescent="0.3">
      <c r="A198" t="s">
        <v>1975</v>
      </c>
      <c r="B198" t="s">
        <v>2303</v>
      </c>
      <c r="C198" t="s">
        <v>1977</v>
      </c>
      <c r="D198" s="22" t="s">
        <v>2304</v>
      </c>
      <c r="E198" t="s">
        <v>1979</v>
      </c>
      <c r="F198" t="s">
        <v>1980</v>
      </c>
      <c r="P198" t="s">
        <v>1830</v>
      </c>
      <c r="Q198" t="s">
        <v>1981</v>
      </c>
      <c r="R198" t="s">
        <v>2092</v>
      </c>
      <c r="S198" t="s">
        <v>1894</v>
      </c>
      <c r="T198" s="22" t="s">
        <v>325</v>
      </c>
      <c r="V198">
        <v>1</v>
      </c>
      <c r="AE198" t="s">
        <v>56</v>
      </c>
      <c r="AF198" t="s">
        <v>57</v>
      </c>
      <c r="AH198">
        <v>35</v>
      </c>
      <c r="AI198">
        <v>35</v>
      </c>
      <c r="AM198" s="23">
        <f t="shared" si="6"/>
        <v>110.625</v>
      </c>
      <c r="AN198" s="23">
        <v>295</v>
      </c>
      <c r="AO198" s="24">
        <v>0.2</v>
      </c>
      <c r="AP198" s="23">
        <f t="shared" si="7"/>
        <v>354</v>
      </c>
    </row>
    <row r="199" spans="1:42" ht="15" customHeight="1" x14ac:dyDescent="0.3">
      <c r="A199" t="s">
        <v>1975</v>
      </c>
      <c r="B199" t="s">
        <v>2305</v>
      </c>
      <c r="C199" t="s">
        <v>1977</v>
      </c>
      <c r="D199" s="22" t="s">
        <v>2306</v>
      </c>
      <c r="E199" t="s">
        <v>1979</v>
      </c>
      <c r="F199" t="s">
        <v>1980</v>
      </c>
      <c r="P199" t="s">
        <v>1830</v>
      </c>
      <c r="Q199" t="s">
        <v>1981</v>
      </c>
      <c r="R199" t="s">
        <v>2095</v>
      </c>
      <c r="S199" t="s">
        <v>1894</v>
      </c>
      <c r="T199" s="22" t="s">
        <v>325</v>
      </c>
      <c r="V199">
        <v>1</v>
      </c>
      <c r="AE199" t="s">
        <v>56</v>
      </c>
      <c r="AF199" t="s">
        <v>57</v>
      </c>
      <c r="AH199">
        <v>44</v>
      </c>
      <c r="AI199">
        <v>44</v>
      </c>
      <c r="AM199" s="23">
        <f t="shared" si="6"/>
        <v>126.75</v>
      </c>
      <c r="AN199" s="23">
        <v>338</v>
      </c>
      <c r="AO199" s="24">
        <v>0.2</v>
      </c>
      <c r="AP199" s="23">
        <f t="shared" si="7"/>
        <v>405.59999999999997</v>
      </c>
    </row>
    <row r="200" spans="1:42" ht="15" customHeight="1" x14ac:dyDescent="0.3">
      <c r="A200" t="s">
        <v>1975</v>
      </c>
      <c r="B200" t="s">
        <v>2307</v>
      </c>
      <c r="C200" t="s">
        <v>1977</v>
      </c>
      <c r="D200" s="22" t="s">
        <v>2308</v>
      </c>
      <c r="E200" t="s">
        <v>1979</v>
      </c>
      <c r="F200" t="s">
        <v>1980</v>
      </c>
      <c r="P200" t="s">
        <v>1830</v>
      </c>
      <c r="Q200" t="s">
        <v>1981</v>
      </c>
      <c r="R200" t="s">
        <v>2098</v>
      </c>
      <c r="S200" t="s">
        <v>1894</v>
      </c>
      <c r="T200" s="22" t="s">
        <v>325</v>
      </c>
      <c r="V200">
        <v>1</v>
      </c>
      <c r="AE200" t="s">
        <v>56</v>
      </c>
      <c r="AF200" t="s">
        <v>57</v>
      </c>
      <c r="AH200">
        <v>48</v>
      </c>
      <c r="AI200">
        <v>48</v>
      </c>
      <c r="AM200" s="23">
        <f t="shared" si="6"/>
        <v>148.125</v>
      </c>
      <c r="AN200" s="23">
        <v>395</v>
      </c>
      <c r="AO200" s="24">
        <v>0.2</v>
      </c>
      <c r="AP200" s="23">
        <f t="shared" si="7"/>
        <v>474</v>
      </c>
    </row>
    <row r="201" spans="1:42" ht="15" customHeight="1" x14ac:dyDescent="0.3">
      <c r="A201" t="s">
        <v>1975</v>
      </c>
      <c r="B201" t="s">
        <v>2309</v>
      </c>
      <c r="C201" t="s">
        <v>1977</v>
      </c>
      <c r="D201" s="22" t="s">
        <v>2310</v>
      </c>
      <c r="E201" t="s">
        <v>1979</v>
      </c>
      <c r="F201" t="s">
        <v>1980</v>
      </c>
      <c r="P201" t="s">
        <v>1830</v>
      </c>
      <c r="Q201" t="s">
        <v>1981</v>
      </c>
      <c r="R201" t="s">
        <v>2101</v>
      </c>
      <c r="S201" t="s">
        <v>1894</v>
      </c>
      <c r="T201" s="22" t="s">
        <v>325</v>
      </c>
      <c r="V201">
        <v>1</v>
      </c>
      <c r="AE201" t="s">
        <v>56</v>
      </c>
      <c r="AF201" t="s">
        <v>57</v>
      </c>
      <c r="AH201">
        <v>52</v>
      </c>
      <c r="AI201">
        <v>52</v>
      </c>
      <c r="AM201" s="23">
        <f t="shared" si="6"/>
        <v>153</v>
      </c>
      <c r="AN201" s="23">
        <v>408</v>
      </c>
      <c r="AO201" s="24">
        <v>0.2</v>
      </c>
      <c r="AP201" s="23">
        <f t="shared" si="7"/>
        <v>489.59999999999997</v>
      </c>
    </row>
    <row r="202" spans="1:42" ht="15" customHeight="1" x14ac:dyDescent="0.3">
      <c r="A202" t="s">
        <v>1975</v>
      </c>
      <c r="B202" t="s">
        <v>2311</v>
      </c>
      <c r="C202" t="s">
        <v>1977</v>
      </c>
      <c r="D202" s="22" t="s">
        <v>2312</v>
      </c>
      <c r="E202" t="s">
        <v>1979</v>
      </c>
      <c r="F202" t="s">
        <v>1980</v>
      </c>
      <c r="P202" t="s">
        <v>1830</v>
      </c>
      <c r="Q202" t="s">
        <v>1981</v>
      </c>
      <c r="R202" t="s">
        <v>2104</v>
      </c>
      <c r="S202" t="s">
        <v>1894</v>
      </c>
      <c r="T202" s="22" t="s">
        <v>325</v>
      </c>
      <c r="V202">
        <v>1</v>
      </c>
      <c r="AE202" t="s">
        <v>56</v>
      </c>
      <c r="AF202" t="s">
        <v>57</v>
      </c>
      <c r="AH202">
        <v>57</v>
      </c>
      <c r="AI202">
        <v>57</v>
      </c>
      <c r="AM202" s="23">
        <f t="shared" si="6"/>
        <v>168</v>
      </c>
      <c r="AN202" s="23">
        <v>448</v>
      </c>
      <c r="AO202" s="24">
        <v>0.2</v>
      </c>
      <c r="AP202" s="23">
        <f t="shared" si="7"/>
        <v>537.6</v>
      </c>
    </row>
    <row r="203" spans="1:42" ht="15" customHeight="1" x14ac:dyDescent="0.3">
      <c r="A203" t="s">
        <v>1975</v>
      </c>
      <c r="B203" t="s">
        <v>2313</v>
      </c>
      <c r="C203" t="s">
        <v>1977</v>
      </c>
      <c r="D203" s="22" t="s">
        <v>2314</v>
      </c>
      <c r="E203" t="s">
        <v>1979</v>
      </c>
      <c r="F203" t="s">
        <v>1980</v>
      </c>
      <c r="P203" t="s">
        <v>1830</v>
      </c>
      <c r="Q203" t="s">
        <v>1981</v>
      </c>
      <c r="R203" t="s">
        <v>2107</v>
      </c>
      <c r="S203" t="s">
        <v>1894</v>
      </c>
      <c r="T203" s="22" t="s">
        <v>325</v>
      </c>
      <c r="V203">
        <v>1</v>
      </c>
      <c r="AE203" t="s">
        <v>56</v>
      </c>
      <c r="AF203" t="s">
        <v>57</v>
      </c>
      <c r="AH203">
        <v>61</v>
      </c>
      <c r="AI203">
        <v>61</v>
      </c>
      <c r="AM203" s="23">
        <f t="shared" si="6"/>
        <v>173.625</v>
      </c>
      <c r="AN203" s="23">
        <v>463</v>
      </c>
      <c r="AO203" s="24">
        <v>0.2</v>
      </c>
      <c r="AP203" s="23">
        <f t="shared" si="7"/>
        <v>555.6</v>
      </c>
    </row>
    <row r="204" spans="1:42" ht="15" customHeight="1" x14ac:dyDescent="0.3">
      <c r="A204" t="s">
        <v>1975</v>
      </c>
      <c r="B204" t="s">
        <v>2315</v>
      </c>
      <c r="C204" t="s">
        <v>1977</v>
      </c>
      <c r="D204" s="22" t="s">
        <v>2316</v>
      </c>
      <c r="E204" t="s">
        <v>1979</v>
      </c>
      <c r="F204" t="s">
        <v>1980</v>
      </c>
      <c r="P204" t="s">
        <v>1830</v>
      </c>
      <c r="Q204" t="s">
        <v>1981</v>
      </c>
      <c r="R204" t="s">
        <v>2110</v>
      </c>
      <c r="S204" t="s">
        <v>1894</v>
      </c>
      <c r="T204" s="22" t="s">
        <v>325</v>
      </c>
      <c r="V204">
        <v>1</v>
      </c>
      <c r="AE204" t="s">
        <v>56</v>
      </c>
      <c r="AF204" t="s">
        <v>57</v>
      </c>
      <c r="AH204">
        <v>65</v>
      </c>
      <c r="AI204">
        <v>65</v>
      </c>
      <c r="AM204" s="23">
        <f t="shared" si="6"/>
        <v>184.125</v>
      </c>
      <c r="AN204" s="23">
        <v>491</v>
      </c>
      <c r="AO204" s="24">
        <v>0.2</v>
      </c>
      <c r="AP204" s="23">
        <f t="shared" si="7"/>
        <v>589.19999999999993</v>
      </c>
    </row>
    <row r="205" spans="1:42" ht="15" customHeight="1" x14ac:dyDescent="0.3">
      <c r="A205" t="s">
        <v>1975</v>
      </c>
      <c r="B205" t="s">
        <v>2317</v>
      </c>
      <c r="C205" t="s">
        <v>1977</v>
      </c>
      <c r="D205" s="22" t="s">
        <v>2318</v>
      </c>
      <c r="E205" t="s">
        <v>1979</v>
      </c>
      <c r="F205" t="s">
        <v>1980</v>
      </c>
      <c r="P205" t="s">
        <v>1830</v>
      </c>
      <c r="Q205" t="s">
        <v>1981</v>
      </c>
      <c r="R205" t="s">
        <v>2113</v>
      </c>
      <c r="S205" t="s">
        <v>1894</v>
      </c>
      <c r="T205" s="22" t="s">
        <v>325</v>
      </c>
      <c r="V205">
        <v>1</v>
      </c>
      <c r="AE205" t="s">
        <v>56</v>
      </c>
      <c r="AF205" t="s">
        <v>57</v>
      </c>
      <c r="AH205">
        <v>70</v>
      </c>
      <c r="AI205">
        <v>70</v>
      </c>
      <c r="AM205" s="23">
        <f t="shared" si="6"/>
        <v>194.625</v>
      </c>
      <c r="AN205" s="23">
        <v>519</v>
      </c>
      <c r="AO205" s="24">
        <v>0.2</v>
      </c>
      <c r="AP205" s="23">
        <f t="shared" si="7"/>
        <v>622.79999999999995</v>
      </c>
    </row>
    <row r="206" spans="1:42" ht="15" customHeight="1" x14ac:dyDescent="0.3">
      <c r="A206" t="s">
        <v>1975</v>
      </c>
      <c r="B206" t="s">
        <v>2319</v>
      </c>
      <c r="C206" t="s">
        <v>1977</v>
      </c>
      <c r="D206" s="22" t="s">
        <v>2320</v>
      </c>
      <c r="E206" t="s">
        <v>1979</v>
      </c>
      <c r="F206" t="s">
        <v>1980</v>
      </c>
      <c r="P206" t="s">
        <v>1830</v>
      </c>
      <c r="Q206" t="s">
        <v>1981</v>
      </c>
      <c r="R206" t="s">
        <v>2116</v>
      </c>
      <c r="S206" t="s">
        <v>1894</v>
      </c>
      <c r="T206" s="22" t="s">
        <v>325</v>
      </c>
      <c r="V206">
        <v>1</v>
      </c>
      <c r="AE206" t="s">
        <v>56</v>
      </c>
      <c r="AF206" t="s">
        <v>57</v>
      </c>
      <c r="AH206">
        <v>74</v>
      </c>
      <c r="AI206">
        <v>74</v>
      </c>
      <c r="AM206" s="23">
        <f t="shared" si="6"/>
        <v>205.5</v>
      </c>
      <c r="AN206" s="23">
        <v>548</v>
      </c>
      <c r="AO206" s="24">
        <v>0.2</v>
      </c>
      <c r="AP206" s="23">
        <f t="shared" si="7"/>
        <v>657.6</v>
      </c>
    </row>
    <row r="207" spans="1:42" ht="15" customHeight="1" x14ac:dyDescent="0.3">
      <c r="A207" t="s">
        <v>1975</v>
      </c>
      <c r="B207" t="s">
        <v>2321</v>
      </c>
      <c r="C207" t="s">
        <v>1977</v>
      </c>
      <c r="D207" s="22" t="s">
        <v>2322</v>
      </c>
      <c r="E207" t="s">
        <v>1979</v>
      </c>
      <c r="F207" t="s">
        <v>1980</v>
      </c>
      <c r="P207" t="s">
        <v>1830</v>
      </c>
      <c r="Q207" t="s">
        <v>1981</v>
      </c>
      <c r="R207" t="s">
        <v>2119</v>
      </c>
      <c r="S207" t="s">
        <v>1894</v>
      </c>
      <c r="T207" s="22" t="s">
        <v>325</v>
      </c>
      <c r="V207">
        <v>1</v>
      </c>
      <c r="AE207" t="s">
        <v>56</v>
      </c>
      <c r="AF207" t="s">
        <v>57</v>
      </c>
      <c r="AH207">
        <v>78</v>
      </c>
      <c r="AI207">
        <v>78</v>
      </c>
      <c r="AM207" s="23">
        <f t="shared" si="6"/>
        <v>219.375</v>
      </c>
      <c r="AN207" s="23">
        <v>585</v>
      </c>
      <c r="AO207" s="24">
        <v>0.2</v>
      </c>
      <c r="AP207" s="23">
        <f t="shared" si="7"/>
        <v>702</v>
      </c>
    </row>
    <row r="208" spans="1:42" ht="15" customHeight="1" x14ac:dyDescent="0.3">
      <c r="A208" t="s">
        <v>1975</v>
      </c>
      <c r="B208" t="s">
        <v>2323</v>
      </c>
      <c r="C208" t="s">
        <v>1977</v>
      </c>
      <c r="D208" s="22" t="s">
        <v>2324</v>
      </c>
      <c r="E208" t="s">
        <v>1979</v>
      </c>
      <c r="F208" t="s">
        <v>1980</v>
      </c>
      <c r="P208" t="s">
        <v>1830</v>
      </c>
      <c r="Q208" t="s">
        <v>1981</v>
      </c>
      <c r="R208" t="s">
        <v>2122</v>
      </c>
      <c r="S208" t="s">
        <v>1894</v>
      </c>
      <c r="T208" s="22" t="s">
        <v>325</v>
      </c>
      <c r="V208">
        <v>1</v>
      </c>
      <c r="AE208" t="s">
        <v>56</v>
      </c>
      <c r="AF208" t="s">
        <v>57</v>
      </c>
      <c r="AH208">
        <v>83</v>
      </c>
      <c r="AI208">
        <v>83</v>
      </c>
      <c r="AM208" s="23">
        <f t="shared" si="6"/>
        <v>236.25</v>
      </c>
      <c r="AN208" s="23">
        <v>630</v>
      </c>
      <c r="AO208" s="24">
        <v>0.2</v>
      </c>
      <c r="AP208" s="23">
        <f t="shared" si="7"/>
        <v>756</v>
      </c>
    </row>
    <row r="209" spans="1:42" ht="15" customHeight="1" x14ac:dyDescent="0.3">
      <c r="A209" t="s">
        <v>1975</v>
      </c>
      <c r="B209" t="s">
        <v>2325</v>
      </c>
      <c r="C209" t="s">
        <v>1977</v>
      </c>
      <c r="D209" s="22" t="s">
        <v>2326</v>
      </c>
      <c r="E209" t="s">
        <v>1979</v>
      </c>
      <c r="F209" t="s">
        <v>1980</v>
      </c>
      <c r="P209" t="s">
        <v>1830</v>
      </c>
      <c r="Q209" t="s">
        <v>1981</v>
      </c>
      <c r="R209" t="s">
        <v>2125</v>
      </c>
      <c r="S209" t="s">
        <v>1894</v>
      </c>
      <c r="T209" s="22" t="s">
        <v>325</v>
      </c>
      <c r="V209">
        <v>1</v>
      </c>
      <c r="AE209" t="s">
        <v>56</v>
      </c>
      <c r="AF209" t="s">
        <v>57</v>
      </c>
      <c r="AH209">
        <v>87</v>
      </c>
      <c r="AI209">
        <v>87</v>
      </c>
      <c r="AM209" s="23">
        <f t="shared" si="6"/>
        <v>241.125</v>
      </c>
      <c r="AN209" s="23">
        <v>643</v>
      </c>
      <c r="AO209" s="24">
        <v>0.2</v>
      </c>
      <c r="AP209" s="23">
        <f t="shared" si="7"/>
        <v>771.6</v>
      </c>
    </row>
    <row r="210" spans="1:42" ht="15" customHeight="1" x14ac:dyDescent="0.3">
      <c r="A210" t="s">
        <v>1975</v>
      </c>
      <c r="B210" t="s">
        <v>2327</v>
      </c>
      <c r="C210" t="s">
        <v>1977</v>
      </c>
      <c r="D210" s="22" t="s">
        <v>2328</v>
      </c>
      <c r="E210" t="s">
        <v>1979</v>
      </c>
      <c r="F210" t="s">
        <v>1980</v>
      </c>
      <c r="P210" t="s">
        <v>1830</v>
      </c>
      <c r="Q210" t="s">
        <v>1981</v>
      </c>
      <c r="R210" t="s">
        <v>2128</v>
      </c>
      <c r="S210" t="s">
        <v>1894</v>
      </c>
      <c r="T210" s="22" t="s">
        <v>325</v>
      </c>
      <c r="V210">
        <v>1</v>
      </c>
      <c r="AE210" t="s">
        <v>56</v>
      </c>
      <c r="AF210" t="s">
        <v>57</v>
      </c>
      <c r="AH210">
        <v>39</v>
      </c>
      <c r="AI210">
        <v>39</v>
      </c>
      <c r="AM210" s="23">
        <f t="shared" si="6"/>
        <v>114.375</v>
      </c>
      <c r="AN210" s="23">
        <v>305</v>
      </c>
      <c r="AO210" s="24">
        <v>0.2</v>
      </c>
      <c r="AP210" s="23">
        <f t="shared" si="7"/>
        <v>366</v>
      </c>
    </row>
    <row r="211" spans="1:42" ht="15" customHeight="1" x14ac:dyDescent="0.3">
      <c r="A211" t="s">
        <v>1975</v>
      </c>
      <c r="B211" t="s">
        <v>2329</v>
      </c>
      <c r="C211" t="s">
        <v>1977</v>
      </c>
      <c r="D211" s="22" t="s">
        <v>2330</v>
      </c>
      <c r="E211" t="s">
        <v>1979</v>
      </c>
      <c r="F211" t="s">
        <v>1980</v>
      </c>
      <c r="P211" t="s">
        <v>1830</v>
      </c>
      <c r="Q211" t="s">
        <v>1981</v>
      </c>
      <c r="R211" t="s">
        <v>1982</v>
      </c>
      <c r="S211" t="s">
        <v>1894</v>
      </c>
      <c r="T211" t="s">
        <v>1871</v>
      </c>
      <c r="V211">
        <v>1</v>
      </c>
      <c r="AE211" t="s">
        <v>56</v>
      </c>
      <c r="AF211" t="s">
        <v>57</v>
      </c>
      <c r="AH211">
        <v>48</v>
      </c>
      <c r="AI211">
        <v>48</v>
      </c>
      <c r="AM211" s="23">
        <f t="shared" si="6"/>
        <v>137.625</v>
      </c>
      <c r="AN211" s="23">
        <v>367</v>
      </c>
      <c r="AO211" s="24">
        <v>0.2</v>
      </c>
      <c r="AP211" s="23">
        <f t="shared" si="7"/>
        <v>440.4</v>
      </c>
    </row>
    <row r="212" spans="1:42" ht="15" customHeight="1" x14ac:dyDescent="0.3">
      <c r="A212" t="s">
        <v>1975</v>
      </c>
      <c r="B212" t="s">
        <v>2331</v>
      </c>
      <c r="C212" t="s">
        <v>1977</v>
      </c>
      <c r="D212" s="22" t="s">
        <v>2332</v>
      </c>
      <c r="E212" t="s">
        <v>1979</v>
      </c>
      <c r="F212" t="s">
        <v>1980</v>
      </c>
      <c r="P212" t="s">
        <v>1830</v>
      </c>
      <c r="Q212" t="s">
        <v>1981</v>
      </c>
      <c r="R212" t="s">
        <v>1985</v>
      </c>
      <c r="S212" t="s">
        <v>1894</v>
      </c>
      <c r="T212" t="s">
        <v>1871</v>
      </c>
      <c r="V212">
        <v>1</v>
      </c>
      <c r="AE212" t="s">
        <v>56</v>
      </c>
      <c r="AF212" t="s">
        <v>57</v>
      </c>
      <c r="AH212">
        <v>53</v>
      </c>
      <c r="AI212">
        <v>53</v>
      </c>
      <c r="AM212" s="23">
        <f t="shared" si="6"/>
        <v>149.25</v>
      </c>
      <c r="AN212" s="23">
        <v>398</v>
      </c>
      <c r="AO212" s="24">
        <v>0.2</v>
      </c>
      <c r="AP212" s="23">
        <f t="shared" si="7"/>
        <v>477.59999999999997</v>
      </c>
    </row>
    <row r="213" spans="1:42" ht="15" customHeight="1" x14ac:dyDescent="0.3">
      <c r="A213" t="s">
        <v>1975</v>
      </c>
      <c r="B213" t="s">
        <v>2333</v>
      </c>
      <c r="C213" t="s">
        <v>1977</v>
      </c>
      <c r="D213" s="22" t="s">
        <v>2334</v>
      </c>
      <c r="E213" t="s">
        <v>1979</v>
      </c>
      <c r="F213" t="s">
        <v>1980</v>
      </c>
      <c r="P213" t="s">
        <v>1830</v>
      </c>
      <c r="Q213" t="s">
        <v>1981</v>
      </c>
      <c r="R213" t="s">
        <v>1988</v>
      </c>
      <c r="S213" t="s">
        <v>1894</v>
      </c>
      <c r="T213" t="s">
        <v>1871</v>
      </c>
      <c r="V213">
        <v>1</v>
      </c>
      <c r="AE213" t="s">
        <v>56</v>
      </c>
      <c r="AF213" t="s">
        <v>57</v>
      </c>
      <c r="AH213">
        <v>58</v>
      </c>
      <c r="AI213">
        <v>58</v>
      </c>
      <c r="AM213" s="23">
        <f t="shared" si="6"/>
        <v>164.25</v>
      </c>
      <c r="AN213" s="23">
        <v>438</v>
      </c>
      <c r="AO213" s="24">
        <v>0.2</v>
      </c>
      <c r="AP213" s="23">
        <f t="shared" si="7"/>
        <v>525.6</v>
      </c>
    </row>
    <row r="214" spans="1:42" ht="15" customHeight="1" x14ac:dyDescent="0.3">
      <c r="A214" t="s">
        <v>1975</v>
      </c>
      <c r="B214" t="s">
        <v>2335</v>
      </c>
      <c r="C214" t="s">
        <v>1977</v>
      </c>
      <c r="D214" s="22" t="s">
        <v>2336</v>
      </c>
      <c r="E214" t="s">
        <v>1979</v>
      </c>
      <c r="F214" t="s">
        <v>1980</v>
      </c>
      <c r="P214" t="s">
        <v>1830</v>
      </c>
      <c r="Q214" t="s">
        <v>1981</v>
      </c>
      <c r="R214" t="s">
        <v>1991</v>
      </c>
      <c r="S214" t="s">
        <v>1894</v>
      </c>
      <c r="T214" t="s">
        <v>1871</v>
      </c>
      <c r="V214">
        <v>1</v>
      </c>
      <c r="AE214" t="s">
        <v>56</v>
      </c>
      <c r="AF214" t="s">
        <v>57</v>
      </c>
      <c r="AH214">
        <v>63</v>
      </c>
      <c r="AI214">
        <v>63</v>
      </c>
      <c r="AM214" s="23">
        <f t="shared" si="6"/>
        <v>175.875</v>
      </c>
      <c r="AN214" s="23">
        <v>469</v>
      </c>
      <c r="AO214" s="24">
        <v>0.2</v>
      </c>
      <c r="AP214" s="23">
        <f t="shared" si="7"/>
        <v>562.79999999999995</v>
      </c>
    </row>
    <row r="215" spans="1:42" ht="15" customHeight="1" x14ac:dyDescent="0.3">
      <c r="A215" t="s">
        <v>1975</v>
      </c>
      <c r="B215" t="s">
        <v>2337</v>
      </c>
      <c r="C215" t="s">
        <v>1977</v>
      </c>
      <c r="D215" s="22" t="s">
        <v>2338</v>
      </c>
      <c r="E215" t="s">
        <v>1979</v>
      </c>
      <c r="F215" t="s">
        <v>1980</v>
      </c>
      <c r="P215" t="s">
        <v>1830</v>
      </c>
      <c r="Q215" t="s">
        <v>1981</v>
      </c>
      <c r="R215" t="s">
        <v>1994</v>
      </c>
      <c r="S215" t="s">
        <v>1894</v>
      </c>
      <c r="T215" t="s">
        <v>1871</v>
      </c>
      <c r="V215">
        <v>1</v>
      </c>
      <c r="AE215" t="s">
        <v>56</v>
      </c>
      <c r="AF215" t="s">
        <v>57</v>
      </c>
      <c r="AH215">
        <v>68</v>
      </c>
      <c r="AI215">
        <v>68</v>
      </c>
      <c r="AM215" s="23">
        <f t="shared" si="6"/>
        <v>190.5</v>
      </c>
      <c r="AN215" s="23">
        <v>508</v>
      </c>
      <c r="AO215" s="24">
        <v>0.2</v>
      </c>
      <c r="AP215" s="23">
        <f t="shared" si="7"/>
        <v>609.6</v>
      </c>
    </row>
    <row r="216" spans="1:42" ht="15" customHeight="1" x14ac:dyDescent="0.3">
      <c r="A216" t="s">
        <v>1975</v>
      </c>
      <c r="B216" t="s">
        <v>2339</v>
      </c>
      <c r="C216" t="s">
        <v>1977</v>
      </c>
      <c r="D216" s="22" t="s">
        <v>2340</v>
      </c>
      <c r="E216" t="s">
        <v>1979</v>
      </c>
      <c r="F216" t="s">
        <v>1980</v>
      </c>
      <c r="P216" t="s">
        <v>1830</v>
      </c>
      <c r="Q216" t="s">
        <v>1981</v>
      </c>
      <c r="R216" t="s">
        <v>1997</v>
      </c>
      <c r="S216" t="s">
        <v>1894</v>
      </c>
      <c r="T216" t="s">
        <v>1871</v>
      </c>
      <c r="V216">
        <v>1</v>
      </c>
      <c r="AE216" t="s">
        <v>56</v>
      </c>
      <c r="AF216" t="s">
        <v>57</v>
      </c>
      <c r="AH216">
        <v>72</v>
      </c>
      <c r="AI216">
        <v>72</v>
      </c>
      <c r="AM216" s="23">
        <f t="shared" si="6"/>
        <v>202.875</v>
      </c>
      <c r="AN216" s="23">
        <v>541</v>
      </c>
      <c r="AO216" s="24">
        <v>0.2</v>
      </c>
      <c r="AP216" s="23">
        <f t="shared" si="7"/>
        <v>649.19999999999993</v>
      </c>
    </row>
    <row r="217" spans="1:42" ht="15" customHeight="1" x14ac:dyDescent="0.3">
      <c r="A217" t="s">
        <v>1975</v>
      </c>
      <c r="B217" t="s">
        <v>2341</v>
      </c>
      <c r="C217" t="s">
        <v>1977</v>
      </c>
      <c r="D217" s="22" t="s">
        <v>2342</v>
      </c>
      <c r="E217" t="s">
        <v>1979</v>
      </c>
      <c r="F217" t="s">
        <v>1980</v>
      </c>
      <c r="P217" t="s">
        <v>1830</v>
      </c>
      <c r="Q217" t="s">
        <v>1981</v>
      </c>
      <c r="R217" t="s">
        <v>2000</v>
      </c>
      <c r="S217" t="s">
        <v>1894</v>
      </c>
      <c r="T217" t="s">
        <v>1871</v>
      </c>
      <c r="V217">
        <v>1</v>
      </c>
      <c r="AE217" t="s">
        <v>56</v>
      </c>
      <c r="AF217" t="s">
        <v>57</v>
      </c>
      <c r="AH217">
        <v>77</v>
      </c>
      <c r="AI217">
        <v>77</v>
      </c>
      <c r="AM217" s="23">
        <f t="shared" si="6"/>
        <v>215.25</v>
      </c>
      <c r="AN217" s="23">
        <v>574</v>
      </c>
      <c r="AO217" s="24">
        <v>0.2</v>
      </c>
      <c r="AP217" s="23">
        <f t="shared" si="7"/>
        <v>688.8</v>
      </c>
    </row>
    <row r="218" spans="1:42" ht="15" customHeight="1" x14ac:dyDescent="0.3">
      <c r="A218" t="s">
        <v>1975</v>
      </c>
      <c r="B218" t="s">
        <v>2343</v>
      </c>
      <c r="C218" t="s">
        <v>1977</v>
      </c>
      <c r="D218" s="22" t="s">
        <v>2344</v>
      </c>
      <c r="E218" t="s">
        <v>1979</v>
      </c>
      <c r="F218" t="s">
        <v>1980</v>
      </c>
      <c r="P218" t="s">
        <v>1830</v>
      </c>
      <c r="Q218" t="s">
        <v>1981</v>
      </c>
      <c r="R218" t="s">
        <v>2003</v>
      </c>
      <c r="S218" t="s">
        <v>1894</v>
      </c>
      <c r="T218" t="s">
        <v>1871</v>
      </c>
      <c r="V218">
        <v>1</v>
      </c>
      <c r="AE218" t="s">
        <v>56</v>
      </c>
      <c r="AF218" t="s">
        <v>57</v>
      </c>
      <c r="AH218">
        <v>82</v>
      </c>
      <c r="AI218">
        <v>82</v>
      </c>
      <c r="AM218" s="23">
        <f t="shared" si="6"/>
        <v>226.5</v>
      </c>
      <c r="AN218" s="23">
        <v>604</v>
      </c>
      <c r="AO218" s="24">
        <v>0.2</v>
      </c>
      <c r="AP218" s="23">
        <f t="shared" si="7"/>
        <v>724.8</v>
      </c>
    </row>
    <row r="219" spans="1:42" ht="15" customHeight="1" x14ac:dyDescent="0.3">
      <c r="A219" t="s">
        <v>1975</v>
      </c>
      <c r="B219" t="s">
        <v>2345</v>
      </c>
      <c r="C219" t="s">
        <v>1977</v>
      </c>
      <c r="D219" s="22" t="s">
        <v>2346</v>
      </c>
      <c r="E219" t="s">
        <v>1979</v>
      </c>
      <c r="F219" t="s">
        <v>1980</v>
      </c>
      <c r="P219" t="s">
        <v>1830</v>
      </c>
      <c r="Q219" t="s">
        <v>1981</v>
      </c>
      <c r="R219" t="s">
        <v>2006</v>
      </c>
      <c r="S219" t="s">
        <v>1894</v>
      </c>
      <c r="T219" t="s">
        <v>1871</v>
      </c>
      <c r="V219">
        <v>1</v>
      </c>
      <c r="AE219" t="s">
        <v>56</v>
      </c>
      <c r="AF219" t="s">
        <v>57</v>
      </c>
      <c r="AH219">
        <v>87</v>
      </c>
      <c r="AI219">
        <v>87</v>
      </c>
      <c r="AM219" s="23">
        <f t="shared" si="6"/>
        <v>242.25</v>
      </c>
      <c r="AN219" s="23">
        <v>646</v>
      </c>
      <c r="AO219" s="24">
        <v>0.2</v>
      </c>
      <c r="AP219" s="23">
        <f t="shared" si="7"/>
        <v>775.19999999999993</v>
      </c>
    </row>
    <row r="220" spans="1:42" ht="15" customHeight="1" x14ac:dyDescent="0.3">
      <c r="A220" t="s">
        <v>1975</v>
      </c>
      <c r="B220" t="s">
        <v>2347</v>
      </c>
      <c r="C220" t="s">
        <v>1977</v>
      </c>
      <c r="D220" s="22" t="s">
        <v>2348</v>
      </c>
      <c r="E220" t="s">
        <v>1979</v>
      </c>
      <c r="F220" t="s">
        <v>1980</v>
      </c>
      <c r="P220" t="s">
        <v>1830</v>
      </c>
      <c r="Q220" t="s">
        <v>1981</v>
      </c>
      <c r="R220" t="s">
        <v>2009</v>
      </c>
      <c r="S220" t="s">
        <v>1894</v>
      </c>
      <c r="T220" t="s">
        <v>1871</v>
      </c>
      <c r="V220">
        <v>1</v>
      </c>
      <c r="AE220" t="s">
        <v>56</v>
      </c>
      <c r="AF220" t="s">
        <v>57</v>
      </c>
      <c r="AH220">
        <v>92</v>
      </c>
      <c r="AI220">
        <v>92</v>
      </c>
      <c r="AM220" s="23">
        <f t="shared" si="6"/>
        <v>253.875</v>
      </c>
      <c r="AN220" s="23">
        <v>677</v>
      </c>
      <c r="AO220" s="24">
        <v>0.2</v>
      </c>
      <c r="AP220" s="23">
        <f t="shared" si="7"/>
        <v>812.4</v>
      </c>
    </row>
    <row r="221" spans="1:42" ht="15" customHeight="1" x14ac:dyDescent="0.3">
      <c r="A221" t="s">
        <v>1975</v>
      </c>
      <c r="B221" t="s">
        <v>2349</v>
      </c>
      <c r="C221" t="s">
        <v>1977</v>
      </c>
      <c r="D221" s="22" t="s">
        <v>2350</v>
      </c>
      <c r="E221" t="s">
        <v>1979</v>
      </c>
      <c r="F221" t="s">
        <v>1980</v>
      </c>
      <c r="P221" t="s">
        <v>1830</v>
      </c>
      <c r="Q221" t="s">
        <v>1981</v>
      </c>
      <c r="R221" t="s">
        <v>2012</v>
      </c>
      <c r="S221" t="s">
        <v>1894</v>
      </c>
      <c r="T221" t="s">
        <v>1871</v>
      </c>
      <c r="V221">
        <v>1</v>
      </c>
      <c r="AE221" t="s">
        <v>56</v>
      </c>
      <c r="AF221" t="s">
        <v>57</v>
      </c>
      <c r="AH221">
        <v>96</v>
      </c>
      <c r="AI221">
        <v>96</v>
      </c>
      <c r="AM221" s="23">
        <f t="shared" si="6"/>
        <v>266.25</v>
      </c>
      <c r="AN221" s="23">
        <v>710</v>
      </c>
      <c r="AO221" s="24">
        <v>0.2</v>
      </c>
      <c r="AP221" s="23">
        <f t="shared" si="7"/>
        <v>852</v>
      </c>
    </row>
    <row r="222" spans="1:42" ht="15" customHeight="1" x14ac:dyDescent="0.3">
      <c r="A222" t="s">
        <v>1975</v>
      </c>
      <c r="B222" t="s">
        <v>2351</v>
      </c>
      <c r="C222" t="s">
        <v>1977</v>
      </c>
      <c r="D222" s="22" t="s">
        <v>2352</v>
      </c>
      <c r="E222" t="s">
        <v>1979</v>
      </c>
      <c r="F222" t="s">
        <v>1980</v>
      </c>
      <c r="P222" t="s">
        <v>1830</v>
      </c>
      <c r="Q222" t="s">
        <v>1981</v>
      </c>
      <c r="R222" t="s">
        <v>2015</v>
      </c>
      <c r="S222" t="s">
        <v>1894</v>
      </c>
      <c r="T222" t="s">
        <v>1871</v>
      </c>
      <c r="V222">
        <v>1</v>
      </c>
      <c r="AE222" t="s">
        <v>56</v>
      </c>
      <c r="AF222" t="s">
        <v>57</v>
      </c>
      <c r="AH222">
        <v>34</v>
      </c>
      <c r="AI222">
        <v>34</v>
      </c>
      <c r="AM222" s="23">
        <f t="shared" si="6"/>
        <v>108</v>
      </c>
      <c r="AN222" s="23">
        <v>288</v>
      </c>
      <c r="AO222" s="24">
        <v>0.2</v>
      </c>
      <c r="AP222" s="23">
        <f t="shared" si="7"/>
        <v>345.59999999999997</v>
      </c>
    </row>
    <row r="223" spans="1:42" ht="15" customHeight="1" x14ac:dyDescent="0.3">
      <c r="A223" t="s">
        <v>1975</v>
      </c>
      <c r="B223" t="s">
        <v>2353</v>
      </c>
      <c r="C223" t="s">
        <v>1977</v>
      </c>
      <c r="D223" s="22" t="s">
        <v>2354</v>
      </c>
      <c r="E223" t="s">
        <v>1979</v>
      </c>
      <c r="F223" t="s">
        <v>1980</v>
      </c>
      <c r="P223" t="s">
        <v>1830</v>
      </c>
      <c r="Q223" t="s">
        <v>1981</v>
      </c>
      <c r="R223" t="s">
        <v>2018</v>
      </c>
      <c r="S223" t="s">
        <v>1894</v>
      </c>
      <c r="T223" t="s">
        <v>1871</v>
      </c>
      <c r="V223">
        <v>1</v>
      </c>
      <c r="AE223" t="s">
        <v>56</v>
      </c>
      <c r="AF223" t="s">
        <v>57</v>
      </c>
      <c r="AH223">
        <v>37</v>
      </c>
      <c r="AI223">
        <v>37</v>
      </c>
      <c r="AM223" s="23">
        <f t="shared" si="6"/>
        <v>126.75</v>
      </c>
      <c r="AN223" s="23">
        <v>338</v>
      </c>
      <c r="AO223" s="24">
        <v>0.2</v>
      </c>
      <c r="AP223" s="23">
        <f t="shared" si="7"/>
        <v>405.59999999999997</v>
      </c>
    </row>
    <row r="224" spans="1:42" ht="15" customHeight="1" x14ac:dyDescent="0.3">
      <c r="A224" t="s">
        <v>1975</v>
      </c>
      <c r="B224" t="s">
        <v>2355</v>
      </c>
      <c r="C224" t="s">
        <v>1977</v>
      </c>
      <c r="D224" s="22" t="s">
        <v>2356</v>
      </c>
      <c r="E224" t="s">
        <v>1979</v>
      </c>
      <c r="F224" t="s">
        <v>1980</v>
      </c>
      <c r="P224" t="s">
        <v>1830</v>
      </c>
      <c r="Q224" t="s">
        <v>1981</v>
      </c>
      <c r="R224" t="s">
        <v>2021</v>
      </c>
      <c r="S224" t="s">
        <v>1894</v>
      </c>
      <c r="T224" t="s">
        <v>1871</v>
      </c>
      <c r="V224">
        <v>1</v>
      </c>
      <c r="AE224" t="s">
        <v>56</v>
      </c>
      <c r="AF224" t="s">
        <v>57</v>
      </c>
      <c r="AH224">
        <v>41</v>
      </c>
      <c r="AI224">
        <v>41</v>
      </c>
      <c r="AM224" s="23">
        <f t="shared" si="6"/>
        <v>129.375</v>
      </c>
      <c r="AN224" s="23">
        <v>345</v>
      </c>
      <c r="AO224" s="24">
        <v>0.2</v>
      </c>
      <c r="AP224" s="23">
        <f t="shared" si="7"/>
        <v>414</v>
      </c>
    </row>
    <row r="225" spans="1:42" ht="15" customHeight="1" x14ac:dyDescent="0.3">
      <c r="A225" t="s">
        <v>1975</v>
      </c>
      <c r="B225" t="s">
        <v>2357</v>
      </c>
      <c r="C225" t="s">
        <v>1977</v>
      </c>
      <c r="D225" s="22" t="s">
        <v>2358</v>
      </c>
      <c r="E225" t="s">
        <v>1979</v>
      </c>
      <c r="F225" t="s">
        <v>1980</v>
      </c>
      <c r="P225" t="s">
        <v>1830</v>
      </c>
      <c r="Q225" t="s">
        <v>1981</v>
      </c>
      <c r="R225" t="s">
        <v>2024</v>
      </c>
      <c r="S225" t="s">
        <v>1894</v>
      </c>
      <c r="T225" t="s">
        <v>1871</v>
      </c>
      <c r="V225">
        <v>1</v>
      </c>
      <c r="AE225" t="s">
        <v>56</v>
      </c>
      <c r="AF225" t="s">
        <v>57</v>
      </c>
      <c r="AH225">
        <v>44</v>
      </c>
      <c r="AI225">
        <v>44</v>
      </c>
      <c r="AM225" s="23">
        <f t="shared" si="6"/>
        <v>139.875</v>
      </c>
      <c r="AN225" s="23">
        <v>373</v>
      </c>
      <c r="AO225" s="24">
        <v>0.2</v>
      </c>
      <c r="AP225" s="23">
        <f t="shared" si="7"/>
        <v>447.59999999999997</v>
      </c>
    </row>
    <row r="226" spans="1:42" ht="15" customHeight="1" x14ac:dyDescent="0.3">
      <c r="A226" t="s">
        <v>1975</v>
      </c>
      <c r="B226" t="s">
        <v>2359</v>
      </c>
      <c r="C226" t="s">
        <v>1977</v>
      </c>
      <c r="D226" s="22" t="s">
        <v>2360</v>
      </c>
      <c r="E226" t="s">
        <v>1979</v>
      </c>
      <c r="F226" t="s">
        <v>1980</v>
      </c>
      <c r="P226" t="s">
        <v>1830</v>
      </c>
      <c r="Q226" t="s">
        <v>1981</v>
      </c>
      <c r="R226" t="s">
        <v>2027</v>
      </c>
      <c r="S226" t="s">
        <v>1894</v>
      </c>
      <c r="T226" t="s">
        <v>1871</v>
      </c>
      <c r="V226">
        <v>1</v>
      </c>
      <c r="AE226" t="s">
        <v>56</v>
      </c>
      <c r="AF226" t="s">
        <v>57</v>
      </c>
      <c r="AH226">
        <v>48</v>
      </c>
      <c r="AI226">
        <v>48</v>
      </c>
      <c r="AM226" s="23">
        <f t="shared" si="6"/>
        <v>139.875</v>
      </c>
      <c r="AN226" s="23">
        <v>373</v>
      </c>
      <c r="AO226" s="24">
        <v>0.2</v>
      </c>
      <c r="AP226" s="23">
        <f t="shared" si="7"/>
        <v>447.59999999999997</v>
      </c>
    </row>
    <row r="227" spans="1:42" ht="15" customHeight="1" x14ac:dyDescent="0.3">
      <c r="A227" t="s">
        <v>1975</v>
      </c>
      <c r="B227" t="s">
        <v>2361</v>
      </c>
      <c r="C227" t="s">
        <v>1977</v>
      </c>
      <c r="D227" s="22" t="s">
        <v>2362</v>
      </c>
      <c r="E227" t="s">
        <v>1979</v>
      </c>
      <c r="F227" t="s">
        <v>1980</v>
      </c>
      <c r="P227" t="s">
        <v>1830</v>
      </c>
      <c r="Q227" t="s">
        <v>1981</v>
      </c>
      <c r="R227" t="s">
        <v>2030</v>
      </c>
      <c r="S227" t="s">
        <v>1894</v>
      </c>
      <c r="T227" t="s">
        <v>1871</v>
      </c>
      <c r="V227">
        <v>1</v>
      </c>
      <c r="AE227" t="s">
        <v>56</v>
      </c>
      <c r="AF227" t="s">
        <v>57</v>
      </c>
      <c r="AH227">
        <v>51</v>
      </c>
      <c r="AI227">
        <v>51</v>
      </c>
      <c r="AM227" s="23">
        <f t="shared" si="6"/>
        <v>148.125</v>
      </c>
      <c r="AN227" s="23">
        <v>395</v>
      </c>
      <c r="AO227" s="24">
        <v>0.2</v>
      </c>
      <c r="AP227" s="23">
        <f t="shared" si="7"/>
        <v>474</v>
      </c>
    </row>
    <row r="228" spans="1:42" ht="15" customHeight="1" x14ac:dyDescent="0.3">
      <c r="A228" t="s">
        <v>1975</v>
      </c>
      <c r="B228" t="s">
        <v>2363</v>
      </c>
      <c r="C228" t="s">
        <v>1977</v>
      </c>
      <c r="D228" s="22" t="s">
        <v>2364</v>
      </c>
      <c r="E228" t="s">
        <v>1979</v>
      </c>
      <c r="F228" t="s">
        <v>1980</v>
      </c>
      <c r="P228" t="s">
        <v>1830</v>
      </c>
      <c r="Q228" t="s">
        <v>1981</v>
      </c>
      <c r="R228" t="s">
        <v>2033</v>
      </c>
      <c r="S228" t="s">
        <v>1894</v>
      </c>
      <c r="T228" t="s">
        <v>1871</v>
      </c>
      <c r="V228">
        <v>1</v>
      </c>
      <c r="AE228" t="s">
        <v>56</v>
      </c>
      <c r="AF228" t="s">
        <v>57</v>
      </c>
      <c r="AH228">
        <v>54</v>
      </c>
      <c r="AI228">
        <v>54</v>
      </c>
      <c r="AM228" s="23">
        <f t="shared" si="6"/>
        <v>156.75</v>
      </c>
      <c r="AN228" s="23">
        <v>418</v>
      </c>
      <c r="AO228" s="24">
        <v>0.2</v>
      </c>
      <c r="AP228" s="23">
        <f t="shared" si="7"/>
        <v>501.59999999999997</v>
      </c>
    </row>
    <row r="229" spans="1:42" ht="15" customHeight="1" x14ac:dyDescent="0.3">
      <c r="A229" t="s">
        <v>1975</v>
      </c>
      <c r="B229" t="s">
        <v>2365</v>
      </c>
      <c r="C229" t="s">
        <v>1977</v>
      </c>
      <c r="D229" s="22" t="s">
        <v>2366</v>
      </c>
      <c r="E229" t="s">
        <v>1979</v>
      </c>
      <c r="F229" t="s">
        <v>1980</v>
      </c>
      <c r="P229" t="s">
        <v>1830</v>
      </c>
      <c r="Q229" t="s">
        <v>1981</v>
      </c>
      <c r="R229" t="s">
        <v>2036</v>
      </c>
      <c r="S229" t="s">
        <v>1894</v>
      </c>
      <c r="T229" t="s">
        <v>1871</v>
      </c>
      <c r="V229">
        <v>1</v>
      </c>
      <c r="AE229" t="s">
        <v>56</v>
      </c>
      <c r="AF229" t="s">
        <v>57</v>
      </c>
      <c r="AH229">
        <v>58</v>
      </c>
      <c r="AI229">
        <v>58</v>
      </c>
      <c r="AM229" s="23">
        <f t="shared" si="6"/>
        <v>165</v>
      </c>
      <c r="AN229" s="23">
        <v>440</v>
      </c>
      <c r="AO229" s="24">
        <v>0.2</v>
      </c>
      <c r="AP229" s="23">
        <f t="shared" si="7"/>
        <v>528</v>
      </c>
    </row>
    <row r="230" spans="1:42" ht="15" customHeight="1" x14ac:dyDescent="0.3">
      <c r="A230" t="s">
        <v>1975</v>
      </c>
      <c r="B230" t="s">
        <v>2367</v>
      </c>
      <c r="C230" t="s">
        <v>1977</v>
      </c>
      <c r="D230" s="22" t="s">
        <v>2368</v>
      </c>
      <c r="E230" t="s">
        <v>1979</v>
      </c>
      <c r="F230" t="s">
        <v>1980</v>
      </c>
      <c r="P230" t="s">
        <v>1830</v>
      </c>
      <c r="Q230" t="s">
        <v>1981</v>
      </c>
      <c r="R230" t="s">
        <v>2039</v>
      </c>
      <c r="S230" t="s">
        <v>1894</v>
      </c>
      <c r="T230" t="s">
        <v>1871</v>
      </c>
      <c r="V230">
        <v>1</v>
      </c>
      <c r="AE230" t="s">
        <v>56</v>
      </c>
      <c r="AF230" t="s">
        <v>57</v>
      </c>
      <c r="AH230">
        <v>61</v>
      </c>
      <c r="AI230">
        <v>61</v>
      </c>
      <c r="AM230" s="23">
        <f t="shared" si="6"/>
        <v>175.875</v>
      </c>
      <c r="AN230" s="23">
        <v>469</v>
      </c>
      <c r="AO230" s="24">
        <v>0.2</v>
      </c>
      <c r="AP230" s="23">
        <f t="shared" si="7"/>
        <v>562.79999999999995</v>
      </c>
    </row>
    <row r="231" spans="1:42" ht="15" customHeight="1" x14ac:dyDescent="0.3">
      <c r="A231" t="s">
        <v>1975</v>
      </c>
      <c r="B231" t="s">
        <v>2369</v>
      </c>
      <c r="C231" t="s">
        <v>1977</v>
      </c>
      <c r="D231" s="22" t="s">
        <v>2370</v>
      </c>
      <c r="E231" t="s">
        <v>1979</v>
      </c>
      <c r="F231" t="s">
        <v>1980</v>
      </c>
      <c r="P231" t="s">
        <v>1830</v>
      </c>
      <c r="Q231" t="s">
        <v>1981</v>
      </c>
      <c r="R231" t="s">
        <v>2042</v>
      </c>
      <c r="S231" t="s">
        <v>1894</v>
      </c>
      <c r="T231" t="s">
        <v>1871</v>
      </c>
      <c r="V231">
        <v>1</v>
      </c>
      <c r="AE231" t="s">
        <v>56</v>
      </c>
      <c r="AF231" t="s">
        <v>57</v>
      </c>
      <c r="AH231">
        <v>64</v>
      </c>
      <c r="AI231">
        <v>64</v>
      </c>
      <c r="AM231" s="23">
        <f t="shared" si="6"/>
        <v>196.125</v>
      </c>
      <c r="AN231" s="23">
        <v>523</v>
      </c>
      <c r="AO231" s="24">
        <v>0.2</v>
      </c>
      <c r="AP231" s="23">
        <f t="shared" si="7"/>
        <v>627.6</v>
      </c>
    </row>
    <row r="232" spans="1:42" ht="15" customHeight="1" x14ac:dyDescent="0.3">
      <c r="A232" t="s">
        <v>1975</v>
      </c>
      <c r="B232" t="s">
        <v>2371</v>
      </c>
      <c r="C232" t="s">
        <v>1977</v>
      </c>
      <c r="D232" s="22" t="s">
        <v>2372</v>
      </c>
      <c r="E232" t="s">
        <v>1979</v>
      </c>
      <c r="F232" t="s">
        <v>1980</v>
      </c>
      <c r="P232" t="s">
        <v>1830</v>
      </c>
      <c r="Q232" t="s">
        <v>1981</v>
      </c>
      <c r="R232" t="s">
        <v>2045</v>
      </c>
      <c r="S232" t="s">
        <v>1894</v>
      </c>
      <c r="T232" t="s">
        <v>1871</v>
      </c>
      <c r="V232">
        <v>1</v>
      </c>
      <c r="AE232" t="s">
        <v>56</v>
      </c>
      <c r="AF232" t="s">
        <v>57</v>
      </c>
      <c r="AH232">
        <v>68</v>
      </c>
      <c r="AI232">
        <v>68</v>
      </c>
      <c r="AM232" s="23">
        <f t="shared" si="6"/>
        <v>200.625</v>
      </c>
      <c r="AN232" s="23">
        <v>535</v>
      </c>
      <c r="AO232" s="24">
        <v>0.2</v>
      </c>
      <c r="AP232" s="23">
        <f t="shared" si="7"/>
        <v>642</v>
      </c>
    </row>
    <row r="233" spans="1:42" ht="15" customHeight="1" x14ac:dyDescent="0.3">
      <c r="A233" t="s">
        <v>1975</v>
      </c>
      <c r="B233" t="s">
        <v>2373</v>
      </c>
      <c r="C233" t="s">
        <v>1977</v>
      </c>
      <c r="D233" s="22" t="s">
        <v>2374</v>
      </c>
      <c r="E233" t="s">
        <v>1979</v>
      </c>
      <c r="F233" t="s">
        <v>1980</v>
      </c>
      <c r="P233" t="s">
        <v>1830</v>
      </c>
      <c r="Q233" t="s">
        <v>1981</v>
      </c>
      <c r="R233" t="s">
        <v>2048</v>
      </c>
      <c r="S233" t="s">
        <v>1894</v>
      </c>
      <c r="T233" t="s">
        <v>1871</v>
      </c>
      <c r="V233">
        <v>1</v>
      </c>
      <c r="AE233" t="s">
        <v>56</v>
      </c>
      <c r="AF233" t="s">
        <v>57</v>
      </c>
      <c r="AH233">
        <v>24</v>
      </c>
      <c r="AI233">
        <v>24</v>
      </c>
      <c r="AM233" s="23">
        <f t="shared" si="6"/>
        <v>95.625</v>
      </c>
      <c r="AN233" s="23">
        <v>255</v>
      </c>
      <c r="AO233" s="24">
        <v>0.2</v>
      </c>
      <c r="AP233" s="23">
        <f t="shared" si="7"/>
        <v>306</v>
      </c>
    </row>
    <row r="234" spans="1:42" ht="15" customHeight="1" x14ac:dyDescent="0.3">
      <c r="A234" t="s">
        <v>1975</v>
      </c>
      <c r="B234" t="s">
        <v>2375</v>
      </c>
      <c r="C234" t="s">
        <v>1977</v>
      </c>
      <c r="D234" s="22" t="s">
        <v>2376</v>
      </c>
      <c r="E234" t="s">
        <v>1979</v>
      </c>
      <c r="F234" t="s">
        <v>1980</v>
      </c>
      <c r="P234" t="s">
        <v>1830</v>
      </c>
      <c r="Q234" t="s">
        <v>1981</v>
      </c>
      <c r="R234" t="s">
        <v>2051</v>
      </c>
      <c r="S234" t="s">
        <v>1894</v>
      </c>
      <c r="T234" t="s">
        <v>1871</v>
      </c>
      <c r="V234">
        <v>1</v>
      </c>
      <c r="AE234" t="s">
        <v>56</v>
      </c>
      <c r="AF234" t="s">
        <v>57</v>
      </c>
      <c r="AH234">
        <v>27</v>
      </c>
      <c r="AI234">
        <v>27</v>
      </c>
      <c r="AM234" s="23">
        <f t="shared" si="6"/>
        <v>100.5</v>
      </c>
      <c r="AN234" s="23">
        <v>268</v>
      </c>
      <c r="AO234" s="24">
        <v>0.2</v>
      </c>
      <c r="AP234" s="23">
        <f t="shared" si="7"/>
        <v>321.59999999999997</v>
      </c>
    </row>
    <row r="235" spans="1:42" ht="15" customHeight="1" x14ac:dyDescent="0.3">
      <c r="A235" t="s">
        <v>1975</v>
      </c>
      <c r="B235" t="s">
        <v>2377</v>
      </c>
      <c r="C235" t="s">
        <v>1977</v>
      </c>
      <c r="D235" s="22" t="s">
        <v>2378</v>
      </c>
      <c r="E235" t="s">
        <v>1979</v>
      </c>
      <c r="F235" t="s">
        <v>1980</v>
      </c>
      <c r="P235" t="s">
        <v>1830</v>
      </c>
      <c r="Q235" t="s">
        <v>1981</v>
      </c>
      <c r="R235" t="s">
        <v>2054</v>
      </c>
      <c r="S235" t="s">
        <v>1894</v>
      </c>
      <c r="T235" t="s">
        <v>1871</v>
      </c>
      <c r="V235">
        <v>1</v>
      </c>
      <c r="AE235" t="s">
        <v>56</v>
      </c>
      <c r="AF235" t="s">
        <v>57</v>
      </c>
      <c r="AH235">
        <v>31</v>
      </c>
      <c r="AI235">
        <v>31</v>
      </c>
      <c r="AM235" s="23">
        <f t="shared" si="6"/>
        <v>104.25</v>
      </c>
      <c r="AN235" s="23">
        <v>278</v>
      </c>
      <c r="AO235" s="24">
        <v>0.2</v>
      </c>
      <c r="AP235" s="23">
        <f t="shared" si="7"/>
        <v>333.59999999999997</v>
      </c>
    </row>
    <row r="236" spans="1:42" ht="15" customHeight="1" x14ac:dyDescent="0.3">
      <c r="A236" t="s">
        <v>1975</v>
      </c>
      <c r="B236" t="s">
        <v>2379</v>
      </c>
      <c r="C236" t="s">
        <v>1977</v>
      </c>
      <c r="D236" s="22" t="s">
        <v>2380</v>
      </c>
      <c r="E236" t="s">
        <v>1979</v>
      </c>
      <c r="F236" t="s">
        <v>1980</v>
      </c>
      <c r="P236" t="s">
        <v>1830</v>
      </c>
      <c r="Q236" t="s">
        <v>1981</v>
      </c>
      <c r="R236" t="s">
        <v>2057</v>
      </c>
      <c r="S236" t="s">
        <v>1894</v>
      </c>
      <c r="T236" t="s">
        <v>1871</v>
      </c>
      <c r="V236">
        <v>1</v>
      </c>
      <c r="AE236" t="s">
        <v>56</v>
      </c>
      <c r="AF236" t="s">
        <v>57</v>
      </c>
      <c r="AH236">
        <v>39</v>
      </c>
      <c r="AI236">
        <v>39</v>
      </c>
      <c r="AM236" s="23">
        <f t="shared" si="6"/>
        <v>113.625</v>
      </c>
      <c r="AN236" s="23">
        <v>303</v>
      </c>
      <c r="AO236" s="24">
        <v>0.2</v>
      </c>
      <c r="AP236" s="23">
        <f t="shared" si="7"/>
        <v>363.59999999999997</v>
      </c>
    </row>
    <row r="237" spans="1:42" ht="15" customHeight="1" x14ac:dyDescent="0.3">
      <c r="A237" t="s">
        <v>1975</v>
      </c>
      <c r="B237" t="s">
        <v>2381</v>
      </c>
      <c r="C237" t="s">
        <v>1977</v>
      </c>
      <c r="D237" s="22" t="s">
        <v>2382</v>
      </c>
      <c r="E237" t="s">
        <v>1979</v>
      </c>
      <c r="F237" t="s">
        <v>1980</v>
      </c>
      <c r="P237" t="s">
        <v>1830</v>
      </c>
      <c r="Q237" t="s">
        <v>1981</v>
      </c>
      <c r="R237" t="s">
        <v>2060</v>
      </c>
      <c r="S237" t="s">
        <v>1894</v>
      </c>
      <c r="T237" t="s">
        <v>1871</v>
      </c>
      <c r="V237">
        <v>1</v>
      </c>
      <c r="AE237" t="s">
        <v>56</v>
      </c>
      <c r="AF237" t="s">
        <v>57</v>
      </c>
      <c r="AH237">
        <v>43</v>
      </c>
      <c r="AI237">
        <v>43</v>
      </c>
      <c r="AM237" s="23">
        <f t="shared" si="6"/>
        <v>130.5</v>
      </c>
      <c r="AN237" s="23">
        <v>348</v>
      </c>
      <c r="AO237" s="24">
        <v>0.2</v>
      </c>
      <c r="AP237" s="23">
        <f t="shared" si="7"/>
        <v>417.59999999999997</v>
      </c>
    </row>
    <row r="238" spans="1:42" ht="15" customHeight="1" x14ac:dyDescent="0.3">
      <c r="A238" t="s">
        <v>1975</v>
      </c>
      <c r="B238" t="s">
        <v>2383</v>
      </c>
      <c r="C238" t="s">
        <v>1977</v>
      </c>
      <c r="D238" s="22" t="s">
        <v>2384</v>
      </c>
      <c r="E238" t="s">
        <v>1979</v>
      </c>
      <c r="F238" t="s">
        <v>1980</v>
      </c>
      <c r="P238" t="s">
        <v>1830</v>
      </c>
      <c r="Q238" t="s">
        <v>1981</v>
      </c>
      <c r="R238" t="s">
        <v>2063</v>
      </c>
      <c r="S238" t="s">
        <v>1894</v>
      </c>
      <c r="T238" t="s">
        <v>1871</v>
      </c>
      <c r="V238">
        <v>1</v>
      </c>
      <c r="AE238" t="s">
        <v>56</v>
      </c>
      <c r="AF238" t="s">
        <v>57</v>
      </c>
      <c r="AH238">
        <v>47</v>
      </c>
      <c r="AI238">
        <v>47</v>
      </c>
      <c r="AM238" s="23">
        <f t="shared" si="6"/>
        <v>136.125</v>
      </c>
      <c r="AN238" s="23">
        <v>363</v>
      </c>
      <c r="AO238" s="24">
        <v>0.2</v>
      </c>
      <c r="AP238" s="23">
        <f t="shared" si="7"/>
        <v>435.59999999999997</v>
      </c>
    </row>
    <row r="239" spans="1:42" ht="15" customHeight="1" x14ac:dyDescent="0.3">
      <c r="A239" t="s">
        <v>1975</v>
      </c>
      <c r="B239" t="s">
        <v>2385</v>
      </c>
      <c r="C239" t="s">
        <v>1977</v>
      </c>
      <c r="D239" s="22" t="s">
        <v>2386</v>
      </c>
      <c r="E239" t="s">
        <v>1979</v>
      </c>
      <c r="F239" t="s">
        <v>1980</v>
      </c>
      <c r="P239" t="s">
        <v>1830</v>
      </c>
      <c r="Q239" t="s">
        <v>1981</v>
      </c>
      <c r="R239" t="s">
        <v>2066</v>
      </c>
      <c r="S239" t="s">
        <v>1894</v>
      </c>
      <c r="T239" t="s">
        <v>1871</v>
      </c>
      <c r="V239">
        <v>1</v>
      </c>
      <c r="AE239" t="s">
        <v>56</v>
      </c>
      <c r="AF239" t="s">
        <v>57</v>
      </c>
      <c r="AH239">
        <v>50</v>
      </c>
      <c r="AI239">
        <v>50</v>
      </c>
      <c r="AM239" s="23">
        <f t="shared" si="6"/>
        <v>153.75</v>
      </c>
      <c r="AN239" s="23">
        <v>410</v>
      </c>
      <c r="AO239" s="24">
        <v>0.2</v>
      </c>
      <c r="AP239" s="23">
        <f t="shared" si="7"/>
        <v>492</v>
      </c>
    </row>
    <row r="240" spans="1:42" ht="15" customHeight="1" x14ac:dyDescent="0.3">
      <c r="A240" t="s">
        <v>1975</v>
      </c>
      <c r="B240" t="s">
        <v>2387</v>
      </c>
      <c r="C240" t="s">
        <v>1977</v>
      </c>
      <c r="D240" s="22" t="s">
        <v>2388</v>
      </c>
      <c r="E240" t="s">
        <v>1979</v>
      </c>
      <c r="F240" t="s">
        <v>1980</v>
      </c>
      <c r="P240" t="s">
        <v>1830</v>
      </c>
      <c r="Q240" t="s">
        <v>1981</v>
      </c>
      <c r="R240" t="s">
        <v>2069</v>
      </c>
      <c r="S240" t="s">
        <v>1894</v>
      </c>
      <c r="T240" t="s">
        <v>1871</v>
      </c>
      <c r="V240">
        <v>1</v>
      </c>
      <c r="AE240" t="s">
        <v>56</v>
      </c>
      <c r="AF240" t="s">
        <v>57</v>
      </c>
      <c r="AH240">
        <v>54</v>
      </c>
      <c r="AI240">
        <v>54</v>
      </c>
      <c r="AM240" s="23">
        <f t="shared" si="6"/>
        <v>156.75</v>
      </c>
      <c r="AN240" s="23">
        <v>418</v>
      </c>
      <c r="AO240" s="24">
        <v>0.2</v>
      </c>
      <c r="AP240" s="23">
        <f t="shared" si="7"/>
        <v>501.59999999999997</v>
      </c>
    </row>
    <row r="241" spans="1:42" ht="15" customHeight="1" x14ac:dyDescent="0.3">
      <c r="A241" t="s">
        <v>1975</v>
      </c>
      <c r="B241" t="s">
        <v>2389</v>
      </c>
      <c r="C241" t="s">
        <v>1977</v>
      </c>
      <c r="D241" s="22" t="s">
        <v>2390</v>
      </c>
      <c r="E241" t="s">
        <v>1979</v>
      </c>
      <c r="F241" t="s">
        <v>1980</v>
      </c>
      <c r="P241" t="s">
        <v>1830</v>
      </c>
      <c r="Q241" t="s">
        <v>1981</v>
      </c>
      <c r="R241" t="s">
        <v>2072</v>
      </c>
      <c r="S241" t="s">
        <v>1894</v>
      </c>
      <c r="T241" t="s">
        <v>1871</v>
      </c>
      <c r="V241">
        <v>1</v>
      </c>
      <c r="AE241" t="s">
        <v>56</v>
      </c>
      <c r="AF241" t="s">
        <v>57</v>
      </c>
      <c r="AH241">
        <v>58</v>
      </c>
      <c r="AI241">
        <v>58</v>
      </c>
      <c r="AM241" s="23">
        <f t="shared" si="6"/>
        <v>166.5</v>
      </c>
      <c r="AN241" s="23">
        <v>444</v>
      </c>
      <c r="AO241" s="24">
        <v>0.2</v>
      </c>
      <c r="AP241" s="23">
        <f t="shared" si="7"/>
        <v>532.79999999999995</v>
      </c>
    </row>
    <row r="242" spans="1:42" ht="15" customHeight="1" x14ac:dyDescent="0.3">
      <c r="A242" t="s">
        <v>1975</v>
      </c>
      <c r="B242" t="s">
        <v>2391</v>
      </c>
      <c r="C242" t="s">
        <v>1977</v>
      </c>
      <c r="D242" s="22" t="s">
        <v>2392</v>
      </c>
      <c r="E242" t="s">
        <v>1979</v>
      </c>
      <c r="F242" t="s">
        <v>1980</v>
      </c>
      <c r="P242" t="s">
        <v>1830</v>
      </c>
      <c r="Q242" t="s">
        <v>1981</v>
      </c>
      <c r="R242" t="s">
        <v>2075</v>
      </c>
      <c r="S242" t="s">
        <v>1894</v>
      </c>
      <c r="T242" t="s">
        <v>1871</v>
      </c>
      <c r="V242">
        <v>1</v>
      </c>
      <c r="AE242" t="s">
        <v>56</v>
      </c>
      <c r="AF242" t="s">
        <v>57</v>
      </c>
      <c r="AH242">
        <v>62</v>
      </c>
      <c r="AI242">
        <v>62</v>
      </c>
      <c r="AM242" s="23">
        <f t="shared" si="6"/>
        <v>175.875</v>
      </c>
      <c r="AN242" s="23">
        <v>469</v>
      </c>
      <c r="AO242" s="24">
        <v>0.2</v>
      </c>
      <c r="AP242" s="23">
        <f t="shared" si="7"/>
        <v>562.79999999999995</v>
      </c>
    </row>
    <row r="243" spans="1:42" ht="15" customHeight="1" x14ac:dyDescent="0.3">
      <c r="A243" t="s">
        <v>1975</v>
      </c>
      <c r="B243" t="s">
        <v>2393</v>
      </c>
      <c r="C243" t="s">
        <v>1977</v>
      </c>
      <c r="D243" s="22" t="s">
        <v>2394</v>
      </c>
      <c r="E243" t="s">
        <v>1979</v>
      </c>
      <c r="F243" t="s">
        <v>1980</v>
      </c>
      <c r="P243" t="s">
        <v>1830</v>
      </c>
      <c r="Q243" t="s">
        <v>1981</v>
      </c>
      <c r="R243" t="s">
        <v>2078</v>
      </c>
      <c r="S243" t="s">
        <v>1894</v>
      </c>
      <c r="T243" t="s">
        <v>1871</v>
      </c>
      <c r="V243">
        <v>1</v>
      </c>
      <c r="AE243" t="s">
        <v>56</v>
      </c>
      <c r="AF243" t="s">
        <v>57</v>
      </c>
      <c r="AH243">
        <v>66</v>
      </c>
      <c r="AI243">
        <v>66</v>
      </c>
      <c r="AM243" s="23">
        <f t="shared" si="6"/>
        <v>185.625</v>
      </c>
      <c r="AN243" s="23">
        <v>495</v>
      </c>
      <c r="AO243" s="24">
        <v>0.2</v>
      </c>
      <c r="AP243" s="23">
        <f t="shared" si="7"/>
        <v>594</v>
      </c>
    </row>
    <row r="244" spans="1:42" ht="15" customHeight="1" x14ac:dyDescent="0.3">
      <c r="A244" t="s">
        <v>1975</v>
      </c>
      <c r="B244" t="s">
        <v>2395</v>
      </c>
      <c r="C244" t="s">
        <v>1977</v>
      </c>
      <c r="D244" s="22" t="s">
        <v>2396</v>
      </c>
      <c r="E244" t="s">
        <v>1979</v>
      </c>
      <c r="F244" t="s">
        <v>1980</v>
      </c>
      <c r="P244" t="s">
        <v>1830</v>
      </c>
      <c r="Q244" t="s">
        <v>1981</v>
      </c>
      <c r="R244" t="s">
        <v>2081</v>
      </c>
      <c r="S244" t="s">
        <v>1894</v>
      </c>
      <c r="T244" t="s">
        <v>1871</v>
      </c>
      <c r="V244">
        <v>1</v>
      </c>
      <c r="AE244" t="s">
        <v>56</v>
      </c>
      <c r="AF244" t="s">
        <v>57</v>
      </c>
      <c r="AH244">
        <v>70</v>
      </c>
      <c r="AI244">
        <v>70</v>
      </c>
      <c r="AM244" s="23">
        <f t="shared" si="6"/>
        <v>198</v>
      </c>
      <c r="AN244" s="23">
        <v>528</v>
      </c>
      <c r="AO244" s="24">
        <v>0.2</v>
      </c>
      <c r="AP244" s="23">
        <f t="shared" si="7"/>
        <v>633.6</v>
      </c>
    </row>
    <row r="245" spans="1:42" ht="15" customHeight="1" x14ac:dyDescent="0.3">
      <c r="A245" t="s">
        <v>1975</v>
      </c>
      <c r="B245" t="s">
        <v>2397</v>
      </c>
      <c r="C245" t="s">
        <v>1977</v>
      </c>
      <c r="D245" s="22" t="s">
        <v>2398</v>
      </c>
      <c r="E245" t="s">
        <v>1979</v>
      </c>
      <c r="F245" t="s">
        <v>1980</v>
      </c>
      <c r="P245" t="s">
        <v>1830</v>
      </c>
      <c r="Q245" t="s">
        <v>1981</v>
      </c>
      <c r="R245" t="s">
        <v>2084</v>
      </c>
      <c r="S245" t="s">
        <v>1894</v>
      </c>
      <c r="T245" t="s">
        <v>1871</v>
      </c>
      <c r="V245">
        <v>1</v>
      </c>
      <c r="AE245" t="s">
        <v>56</v>
      </c>
      <c r="AF245" t="s">
        <v>57</v>
      </c>
      <c r="AH245">
        <v>73</v>
      </c>
      <c r="AI245">
        <v>73</v>
      </c>
      <c r="AM245" s="23">
        <f t="shared" si="6"/>
        <v>219.375</v>
      </c>
      <c r="AN245" s="23">
        <v>585</v>
      </c>
      <c r="AO245" s="24">
        <v>0.2</v>
      </c>
      <c r="AP245" s="23">
        <f t="shared" si="7"/>
        <v>702</v>
      </c>
    </row>
    <row r="246" spans="1:42" ht="15" customHeight="1" x14ac:dyDescent="0.3">
      <c r="A246" t="s">
        <v>1975</v>
      </c>
      <c r="B246" t="s">
        <v>2399</v>
      </c>
      <c r="C246" t="s">
        <v>1977</v>
      </c>
      <c r="D246" s="22" t="s">
        <v>2400</v>
      </c>
      <c r="E246" t="s">
        <v>1979</v>
      </c>
      <c r="F246" t="s">
        <v>1980</v>
      </c>
      <c r="P246" t="s">
        <v>1830</v>
      </c>
      <c r="Q246" t="s">
        <v>1981</v>
      </c>
      <c r="R246" t="s">
        <v>2087</v>
      </c>
      <c r="S246" t="s">
        <v>1894</v>
      </c>
      <c r="T246" t="s">
        <v>1871</v>
      </c>
      <c r="V246">
        <v>1</v>
      </c>
      <c r="AE246" t="s">
        <v>56</v>
      </c>
      <c r="AF246" t="s">
        <v>57</v>
      </c>
      <c r="AH246">
        <v>77</v>
      </c>
      <c r="AI246">
        <v>77</v>
      </c>
      <c r="AM246" s="23">
        <f t="shared" si="6"/>
        <v>223.125</v>
      </c>
      <c r="AN246" s="23">
        <v>595</v>
      </c>
      <c r="AO246" s="24">
        <v>0.2</v>
      </c>
      <c r="AP246" s="23">
        <f t="shared" si="7"/>
        <v>714</v>
      </c>
    </row>
    <row r="247" spans="1:42" ht="15" customHeight="1" x14ac:dyDescent="0.3">
      <c r="A247" t="s">
        <v>1975</v>
      </c>
      <c r="B247" t="s">
        <v>2401</v>
      </c>
      <c r="C247" t="s">
        <v>1977</v>
      </c>
      <c r="D247" s="22" t="s">
        <v>2402</v>
      </c>
      <c r="E247" t="s">
        <v>1979</v>
      </c>
      <c r="F247" t="s">
        <v>1980</v>
      </c>
      <c r="P247" t="s">
        <v>1830</v>
      </c>
      <c r="Q247" t="s">
        <v>1981</v>
      </c>
      <c r="R247" t="s">
        <v>242</v>
      </c>
      <c r="S247" t="s">
        <v>1894</v>
      </c>
      <c r="T247" t="s">
        <v>1871</v>
      </c>
      <c r="V247">
        <v>1</v>
      </c>
      <c r="AE247" t="s">
        <v>56</v>
      </c>
      <c r="AF247" t="s">
        <v>57</v>
      </c>
      <c r="AH247">
        <v>31</v>
      </c>
      <c r="AI247">
        <v>31</v>
      </c>
      <c r="AM247" s="23">
        <f t="shared" si="6"/>
        <v>103.125</v>
      </c>
      <c r="AN247" s="23">
        <v>275</v>
      </c>
      <c r="AO247" s="24">
        <v>0.2</v>
      </c>
      <c r="AP247" s="23">
        <f t="shared" si="7"/>
        <v>330</v>
      </c>
    </row>
    <row r="248" spans="1:42" ht="15" customHeight="1" x14ac:dyDescent="0.3">
      <c r="A248" t="s">
        <v>1975</v>
      </c>
      <c r="B248" t="s">
        <v>2403</v>
      </c>
      <c r="C248" t="s">
        <v>1977</v>
      </c>
      <c r="D248" s="22" t="s">
        <v>2404</v>
      </c>
      <c r="E248" t="s">
        <v>1979</v>
      </c>
      <c r="F248" t="s">
        <v>1980</v>
      </c>
      <c r="P248" t="s">
        <v>1830</v>
      </c>
      <c r="Q248" t="s">
        <v>1981</v>
      </c>
      <c r="R248" t="s">
        <v>2092</v>
      </c>
      <c r="S248" t="s">
        <v>1894</v>
      </c>
      <c r="T248" t="s">
        <v>1871</v>
      </c>
      <c r="V248">
        <v>1</v>
      </c>
      <c r="AE248" t="s">
        <v>56</v>
      </c>
      <c r="AF248" t="s">
        <v>57</v>
      </c>
      <c r="AH248">
        <v>35</v>
      </c>
      <c r="AI248">
        <v>35</v>
      </c>
      <c r="AM248" s="23">
        <f t="shared" si="6"/>
        <v>110.625</v>
      </c>
      <c r="AN248" s="23">
        <v>295</v>
      </c>
      <c r="AO248" s="24">
        <v>0.2</v>
      </c>
      <c r="AP248" s="23">
        <f t="shared" si="7"/>
        <v>354</v>
      </c>
    </row>
    <row r="249" spans="1:42" ht="15" customHeight="1" x14ac:dyDescent="0.3">
      <c r="A249" t="s">
        <v>1975</v>
      </c>
      <c r="B249" t="s">
        <v>2405</v>
      </c>
      <c r="C249" t="s">
        <v>1977</v>
      </c>
      <c r="D249" s="22" t="s">
        <v>2406</v>
      </c>
      <c r="E249" t="s">
        <v>1979</v>
      </c>
      <c r="F249" t="s">
        <v>1980</v>
      </c>
      <c r="P249" t="s">
        <v>1830</v>
      </c>
      <c r="Q249" t="s">
        <v>1981</v>
      </c>
      <c r="R249" t="s">
        <v>2095</v>
      </c>
      <c r="S249" t="s">
        <v>1894</v>
      </c>
      <c r="T249" t="s">
        <v>1871</v>
      </c>
      <c r="V249">
        <v>1</v>
      </c>
      <c r="AE249" t="s">
        <v>56</v>
      </c>
      <c r="AF249" t="s">
        <v>57</v>
      </c>
      <c r="AH249">
        <v>44</v>
      </c>
      <c r="AI249">
        <v>44</v>
      </c>
      <c r="AM249" s="23">
        <f t="shared" si="6"/>
        <v>126.75</v>
      </c>
      <c r="AN249" s="23">
        <v>338</v>
      </c>
      <c r="AO249" s="24">
        <v>0.2</v>
      </c>
      <c r="AP249" s="23">
        <f t="shared" si="7"/>
        <v>405.59999999999997</v>
      </c>
    </row>
    <row r="250" spans="1:42" ht="15" customHeight="1" x14ac:dyDescent="0.3">
      <c r="A250" t="s">
        <v>1975</v>
      </c>
      <c r="B250" t="s">
        <v>2407</v>
      </c>
      <c r="C250" t="s">
        <v>1977</v>
      </c>
      <c r="D250" s="22" t="s">
        <v>2408</v>
      </c>
      <c r="E250" t="s">
        <v>1979</v>
      </c>
      <c r="F250" t="s">
        <v>1980</v>
      </c>
      <c r="P250" t="s">
        <v>1830</v>
      </c>
      <c r="Q250" t="s">
        <v>1981</v>
      </c>
      <c r="R250" t="s">
        <v>2098</v>
      </c>
      <c r="S250" t="s">
        <v>1894</v>
      </c>
      <c r="T250" t="s">
        <v>1871</v>
      </c>
      <c r="V250">
        <v>1</v>
      </c>
      <c r="AE250" t="s">
        <v>56</v>
      </c>
      <c r="AF250" t="s">
        <v>57</v>
      </c>
      <c r="AH250">
        <v>48</v>
      </c>
      <c r="AI250">
        <v>48</v>
      </c>
      <c r="AM250" s="23">
        <f t="shared" si="6"/>
        <v>148.125</v>
      </c>
      <c r="AN250" s="23">
        <v>395</v>
      </c>
      <c r="AO250" s="24">
        <v>0.2</v>
      </c>
      <c r="AP250" s="23">
        <f t="shared" si="7"/>
        <v>474</v>
      </c>
    </row>
    <row r="251" spans="1:42" ht="15" customHeight="1" x14ac:dyDescent="0.3">
      <c r="A251" t="s">
        <v>1975</v>
      </c>
      <c r="B251" t="s">
        <v>2409</v>
      </c>
      <c r="C251" t="s">
        <v>1977</v>
      </c>
      <c r="D251" s="22" t="s">
        <v>2410</v>
      </c>
      <c r="E251" t="s">
        <v>1979</v>
      </c>
      <c r="F251" t="s">
        <v>1980</v>
      </c>
      <c r="P251" t="s">
        <v>1830</v>
      </c>
      <c r="Q251" t="s">
        <v>1981</v>
      </c>
      <c r="R251" t="s">
        <v>2101</v>
      </c>
      <c r="S251" t="s">
        <v>1894</v>
      </c>
      <c r="T251" t="s">
        <v>1871</v>
      </c>
      <c r="V251">
        <v>1</v>
      </c>
      <c r="AE251" t="s">
        <v>56</v>
      </c>
      <c r="AF251" t="s">
        <v>57</v>
      </c>
      <c r="AH251">
        <v>52</v>
      </c>
      <c r="AI251">
        <v>52</v>
      </c>
      <c r="AM251" s="23">
        <f t="shared" si="6"/>
        <v>153</v>
      </c>
      <c r="AN251" s="23">
        <v>408</v>
      </c>
      <c r="AO251" s="24">
        <v>0.2</v>
      </c>
      <c r="AP251" s="23">
        <f t="shared" si="7"/>
        <v>489.59999999999997</v>
      </c>
    </row>
    <row r="252" spans="1:42" ht="15" customHeight="1" x14ac:dyDescent="0.3">
      <c r="A252" t="s">
        <v>1975</v>
      </c>
      <c r="B252" t="s">
        <v>2411</v>
      </c>
      <c r="C252" t="s">
        <v>1977</v>
      </c>
      <c r="D252" s="22" t="s">
        <v>2412</v>
      </c>
      <c r="E252" t="s">
        <v>1979</v>
      </c>
      <c r="F252" t="s">
        <v>1980</v>
      </c>
      <c r="P252" t="s">
        <v>1830</v>
      </c>
      <c r="Q252" t="s">
        <v>1981</v>
      </c>
      <c r="R252" t="s">
        <v>2104</v>
      </c>
      <c r="S252" t="s">
        <v>1894</v>
      </c>
      <c r="T252" t="s">
        <v>1871</v>
      </c>
      <c r="V252">
        <v>1</v>
      </c>
      <c r="AE252" t="s">
        <v>56</v>
      </c>
      <c r="AF252" t="s">
        <v>57</v>
      </c>
      <c r="AH252">
        <v>57</v>
      </c>
      <c r="AI252">
        <v>57</v>
      </c>
      <c r="AM252" s="23">
        <f t="shared" si="6"/>
        <v>168</v>
      </c>
      <c r="AN252" s="23">
        <v>448</v>
      </c>
      <c r="AO252" s="24">
        <v>0.2</v>
      </c>
      <c r="AP252" s="23">
        <f t="shared" si="7"/>
        <v>537.6</v>
      </c>
    </row>
    <row r="253" spans="1:42" ht="15" customHeight="1" x14ac:dyDescent="0.3">
      <c r="A253" t="s">
        <v>1975</v>
      </c>
      <c r="B253" t="s">
        <v>2413</v>
      </c>
      <c r="C253" t="s">
        <v>1977</v>
      </c>
      <c r="D253" s="22" t="s">
        <v>2414</v>
      </c>
      <c r="E253" t="s">
        <v>1979</v>
      </c>
      <c r="F253" t="s">
        <v>1980</v>
      </c>
      <c r="P253" t="s">
        <v>1830</v>
      </c>
      <c r="Q253" t="s">
        <v>1981</v>
      </c>
      <c r="R253" t="s">
        <v>2107</v>
      </c>
      <c r="S253" t="s">
        <v>1894</v>
      </c>
      <c r="T253" t="s">
        <v>1871</v>
      </c>
      <c r="V253">
        <v>1</v>
      </c>
      <c r="AE253" t="s">
        <v>56</v>
      </c>
      <c r="AF253" t="s">
        <v>57</v>
      </c>
      <c r="AH253">
        <v>61</v>
      </c>
      <c r="AI253">
        <v>61</v>
      </c>
      <c r="AM253" s="23">
        <f t="shared" si="6"/>
        <v>173.625</v>
      </c>
      <c r="AN253" s="23">
        <v>463</v>
      </c>
      <c r="AO253" s="24">
        <v>0.2</v>
      </c>
      <c r="AP253" s="23">
        <f t="shared" si="7"/>
        <v>555.6</v>
      </c>
    </row>
    <row r="254" spans="1:42" ht="15" customHeight="1" x14ac:dyDescent="0.3">
      <c r="A254" t="s">
        <v>1975</v>
      </c>
      <c r="B254" t="s">
        <v>2415</v>
      </c>
      <c r="C254" t="s">
        <v>1977</v>
      </c>
      <c r="D254" s="22" t="s">
        <v>2416</v>
      </c>
      <c r="E254" t="s">
        <v>1979</v>
      </c>
      <c r="F254" t="s">
        <v>1980</v>
      </c>
      <c r="P254" t="s">
        <v>1830</v>
      </c>
      <c r="Q254" t="s">
        <v>1981</v>
      </c>
      <c r="R254" t="s">
        <v>2110</v>
      </c>
      <c r="S254" t="s">
        <v>1894</v>
      </c>
      <c r="T254" t="s">
        <v>1871</v>
      </c>
      <c r="V254">
        <v>1</v>
      </c>
      <c r="AE254" t="s">
        <v>56</v>
      </c>
      <c r="AF254" t="s">
        <v>57</v>
      </c>
      <c r="AH254">
        <v>65</v>
      </c>
      <c r="AI254">
        <v>65</v>
      </c>
      <c r="AM254" s="23">
        <f t="shared" si="6"/>
        <v>184.125</v>
      </c>
      <c r="AN254" s="23">
        <v>491</v>
      </c>
      <c r="AO254" s="24">
        <v>0.2</v>
      </c>
      <c r="AP254" s="23">
        <f t="shared" si="7"/>
        <v>589.19999999999993</v>
      </c>
    </row>
    <row r="255" spans="1:42" ht="15" customHeight="1" x14ac:dyDescent="0.3">
      <c r="A255" t="s">
        <v>1975</v>
      </c>
      <c r="B255" t="s">
        <v>2417</v>
      </c>
      <c r="C255" t="s">
        <v>1977</v>
      </c>
      <c r="D255" s="22" t="s">
        <v>2418</v>
      </c>
      <c r="E255" t="s">
        <v>1979</v>
      </c>
      <c r="F255" t="s">
        <v>1980</v>
      </c>
      <c r="P255" t="s">
        <v>1830</v>
      </c>
      <c r="Q255" t="s">
        <v>1981</v>
      </c>
      <c r="R255" t="s">
        <v>2113</v>
      </c>
      <c r="S255" t="s">
        <v>1894</v>
      </c>
      <c r="T255" t="s">
        <v>1871</v>
      </c>
      <c r="V255">
        <v>1</v>
      </c>
      <c r="AE255" t="s">
        <v>56</v>
      </c>
      <c r="AF255" t="s">
        <v>57</v>
      </c>
      <c r="AH255">
        <v>70</v>
      </c>
      <c r="AI255">
        <v>70</v>
      </c>
      <c r="AM255" s="23">
        <f t="shared" si="6"/>
        <v>194.625</v>
      </c>
      <c r="AN255" s="23">
        <v>519</v>
      </c>
      <c r="AO255" s="24">
        <v>0.2</v>
      </c>
      <c r="AP255" s="23">
        <f t="shared" si="7"/>
        <v>622.79999999999995</v>
      </c>
    </row>
    <row r="256" spans="1:42" ht="15" customHeight="1" x14ac:dyDescent="0.3">
      <c r="A256" t="s">
        <v>1975</v>
      </c>
      <c r="B256" t="s">
        <v>2419</v>
      </c>
      <c r="C256" t="s">
        <v>1977</v>
      </c>
      <c r="D256" s="22" t="s">
        <v>2420</v>
      </c>
      <c r="E256" t="s">
        <v>1979</v>
      </c>
      <c r="F256" t="s">
        <v>1980</v>
      </c>
      <c r="P256" t="s">
        <v>1830</v>
      </c>
      <c r="Q256" t="s">
        <v>1981</v>
      </c>
      <c r="R256" t="s">
        <v>2116</v>
      </c>
      <c r="S256" t="s">
        <v>1894</v>
      </c>
      <c r="T256" t="s">
        <v>1871</v>
      </c>
      <c r="V256">
        <v>1</v>
      </c>
      <c r="AE256" t="s">
        <v>56</v>
      </c>
      <c r="AF256" t="s">
        <v>57</v>
      </c>
      <c r="AH256">
        <v>74</v>
      </c>
      <c r="AI256">
        <v>74</v>
      </c>
      <c r="AM256" s="23">
        <f t="shared" si="6"/>
        <v>205.5</v>
      </c>
      <c r="AN256" s="23">
        <v>548</v>
      </c>
      <c r="AO256" s="24">
        <v>0.2</v>
      </c>
      <c r="AP256" s="23">
        <f t="shared" si="7"/>
        <v>657.6</v>
      </c>
    </row>
    <row r="257" spans="1:42" ht="15" customHeight="1" x14ac:dyDescent="0.3">
      <c r="A257" t="s">
        <v>1975</v>
      </c>
      <c r="B257" t="s">
        <v>2421</v>
      </c>
      <c r="C257" t="s">
        <v>1977</v>
      </c>
      <c r="D257" s="22" t="s">
        <v>2422</v>
      </c>
      <c r="E257" t="s">
        <v>1979</v>
      </c>
      <c r="F257" t="s">
        <v>1980</v>
      </c>
      <c r="P257" t="s">
        <v>1830</v>
      </c>
      <c r="Q257" t="s">
        <v>1981</v>
      </c>
      <c r="R257" t="s">
        <v>2119</v>
      </c>
      <c r="S257" t="s">
        <v>1894</v>
      </c>
      <c r="T257" t="s">
        <v>1871</v>
      </c>
      <c r="V257">
        <v>1</v>
      </c>
      <c r="AE257" t="s">
        <v>56</v>
      </c>
      <c r="AF257" t="s">
        <v>57</v>
      </c>
      <c r="AH257">
        <v>78</v>
      </c>
      <c r="AI257">
        <v>78</v>
      </c>
      <c r="AM257" s="23">
        <f t="shared" si="6"/>
        <v>219.375</v>
      </c>
      <c r="AN257" s="23">
        <v>585</v>
      </c>
      <c r="AO257" s="24">
        <v>0.2</v>
      </c>
      <c r="AP257" s="23">
        <f t="shared" si="7"/>
        <v>702</v>
      </c>
    </row>
    <row r="258" spans="1:42" ht="15" customHeight="1" x14ac:dyDescent="0.3">
      <c r="A258" t="s">
        <v>1975</v>
      </c>
      <c r="B258" t="s">
        <v>2423</v>
      </c>
      <c r="C258" t="s">
        <v>1977</v>
      </c>
      <c r="D258" s="22" t="s">
        <v>2424</v>
      </c>
      <c r="E258" t="s">
        <v>1979</v>
      </c>
      <c r="F258" t="s">
        <v>1980</v>
      </c>
      <c r="P258" t="s">
        <v>1830</v>
      </c>
      <c r="Q258" t="s">
        <v>1981</v>
      </c>
      <c r="R258" t="s">
        <v>2122</v>
      </c>
      <c r="S258" t="s">
        <v>1894</v>
      </c>
      <c r="T258" t="s">
        <v>1871</v>
      </c>
      <c r="V258">
        <v>1</v>
      </c>
      <c r="AE258" t="s">
        <v>56</v>
      </c>
      <c r="AF258" t="s">
        <v>57</v>
      </c>
      <c r="AH258">
        <v>83</v>
      </c>
      <c r="AI258">
        <v>83</v>
      </c>
      <c r="AM258" s="23">
        <f t="shared" ref="AM258:AM321" si="8">AN258*0.5*0.75</f>
        <v>236.25</v>
      </c>
      <c r="AN258" s="23">
        <v>630</v>
      </c>
      <c r="AO258" s="24">
        <v>0.2</v>
      </c>
      <c r="AP258" s="23">
        <f t="shared" ref="AP258:AP321" si="9">AN258*1.2</f>
        <v>756</v>
      </c>
    </row>
    <row r="259" spans="1:42" ht="15" customHeight="1" x14ac:dyDescent="0.3">
      <c r="A259" t="s">
        <v>1975</v>
      </c>
      <c r="B259" t="s">
        <v>2425</v>
      </c>
      <c r="C259" t="s">
        <v>1977</v>
      </c>
      <c r="D259" s="22" t="s">
        <v>2426</v>
      </c>
      <c r="E259" t="s">
        <v>1979</v>
      </c>
      <c r="F259" t="s">
        <v>1980</v>
      </c>
      <c r="P259" t="s">
        <v>1830</v>
      </c>
      <c r="Q259" t="s">
        <v>1981</v>
      </c>
      <c r="R259" t="s">
        <v>2125</v>
      </c>
      <c r="S259" t="s">
        <v>1894</v>
      </c>
      <c r="T259" t="s">
        <v>1871</v>
      </c>
      <c r="V259">
        <v>1</v>
      </c>
      <c r="AE259" t="s">
        <v>56</v>
      </c>
      <c r="AF259" t="s">
        <v>57</v>
      </c>
      <c r="AH259">
        <v>87</v>
      </c>
      <c r="AI259">
        <v>87</v>
      </c>
      <c r="AM259" s="23">
        <f t="shared" si="8"/>
        <v>241.125</v>
      </c>
      <c r="AN259" s="23">
        <v>643</v>
      </c>
      <c r="AO259" s="24">
        <v>0.2</v>
      </c>
      <c r="AP259" s="23">
        <f t="shared" si="9"/>
        <v>771.6</v>
      </c>
    </row>
    <row r="260" spans="1:42" ht="15" customHeight="1" x14ac:dyDescent="0.3">
      <c r="A260" t="s">
        <v>1975</v>
      </c>
      <c r="B260" t="s">
        <v>2427</v>
      </c>
      <c r="C260" t="s">
        <v>1977</v>
      </c>
      <c r="D260" s="22" t="s">
        <v>2428</v>
      </c>
      <c r="E260" t="s">
        <v>1979</v>
      </c>
      <c r="F260" t="s">
        <v>1980</v>
      </c>
      <c r="P260" t="s">
        <v>1830</v>
      </c>
      <c r="Q260" t="s">
        <v>1981</v>
      </c>
      <c r="R260" t="s">
        <v>2128</v>
      </c>
      <c r="S260" t="s">
        <v>1894</v>
      </c>
      <c r="T260" t="s">
        <v>1871</v>
      </c>
      <c r="V260">
        <v>1</v>
      </c>
      <c r="AE260" t="s">
        <v>56</v>
      </c>
      <c r="AF260" t="s">
        <v>57</v>
      </c>
      <c r="AH260">
        <v>39</v>
      </c>
      <c r="AI260">
        <v>39</v>
      </c>
      <c r="AM260" s="23">
        <f t="shared" si="8"/>
        <v>114.375</v>
      </c>
      <c r="AN260" s="23">
        <v>305</v>
      </c>
      <c r="AO260" s="24">
        <v>0.2</v>
      </c>
      <c r="AP260" s="23">
        <f t="shared" si="9"/>
        <v>366</v>
      </c>
    </row>
    <row r="261" spans="1:42" ht="15" customHeight="1" x14ac:dyDescent="0.3">
      <c r="A261" t="s">
        <v>1975</v>
      </c>
      <c r="B261" t="s">
        <v>2429</v>
      </c>
      <c r="C261" t="s">
        <v>1977</v>
      </c>
      <c r="D261" s="22" t="s">
        <v>2430</v>
      </c>
      <c r="E261" t="s">
        <v>1979</v>
      </c>
      <c r="F261" t="s">
        <v>1980</v>
      </c>
      <c r="P261" t="s">
        <v>1830</v>
      </c>
      <c r="Q261" t="s">
        <v>1981</v>
      </c>
      <c r="R261" t="s">
        <v>1982</v>
      </c>
      <c r="S261" t="s">
        <v>1894</v>
      </c>
      <c r="T261" s="22" t="s">
        <v>1874</v>
      </c>
      <c r="V261">
        <v>1</v>
      </c>
      <c r="AE261" t="s">
        <v>56</v>
      </c>
      <c r="AF261" t="s">
        <v>57</v>
      </c>
      <c r="AH261">
        <v>48</v>
      </c>
      <c r="AI261">
        <v>48</v>
      </c>
      <c r="AM261" s="23">
        <f t="shared" si="8"/>
        <v>137.625</v>
      </c>
      <c r="AN261" s="23">
        <v>367</v>
      </c>
      <c r="AO261" s="24">
        <v>0.2</v>
      </c>
      <c r="AP261" s="23">
        <f t="shared" si="9"/>
        <v>440.4</v>
      </c>
    </row>
    <row r="262" spans="1:42" ht="15" customHeight="1" x14ac:dyDescent="0.3">
      <c r="A262" t="s">
        <v>1975</v>
      </c>
      <c r="B262" t="s">
        <v>2431</v>
      </c>
      <c r="C262" t="s">
        <v>1977</v>
      </c>
      <c r="D262" s="22" t="s">
        <v>2432</v>
      </c>
      <c r="E262" t="s">
        <v>1979</v>
      </c>
      <c r="F262" t="s">
        <v>1980</v>
      </c>
      <c r="P262" t="s">
        <v>1830</v>
      </c>
      <c r="Q262" t="s">
        <v>1981</v>
      </c>
      <c r="R262" t="s">
        <v>1985</v>
      </c>
      <c r="S262" t="s">
        <v>1894</v>
      </c>
      <c r="T262" s="22" t="s">
        <v>1874</v>
      </c>
      <c r="V262">
        <v>1</v>
      </c>
      <c r="AE262" t="s">
        <v>56</v>
      </c>
      <c r="AF262" t="s">
        <v>57</v>
      </c>
      <c r="AH262">
        <v>53</v>
      </c>
      <c r="AI262">
        <v>53</v>
      </c>
      <c r="AM262" s="23">
        <f t="shared" si="8"/>
        <v>149.25</v>
      </c>
      <c r="AN262" s="23">
        <v>398</v>
      </c>
      <c r="AO262" s="24">
        <v>0.2</v>
      </c>
      <c r="AP262" s="23">
        <f t="shared" si="9"/>
        <v>477.59999999999997</v>
      </c>
    </row>
    <row r="263" spans="1:42" ht="15" customHeight="1" x14ac:dyDescent="0.3">
      <c r="A263" t="s">
        <v>1975</v>
      </c>
      <c r="B263" t="s">
        <v>2433</v>
      </c>
      <c r="C263" t="s">
        <v>1977</v>
      </c>
      <c r="D263" s="22" t="s">
        <v>2434</v>
      </c>
      <c r="E263" t="s">
        <v>1979</v>
      </c>
      <c r="F263" t="s">
        <v>1980</v>
      </c>
      <c r="P263" t="s">
        <v>1830</v>
      </c>
      <c r="Q263" t="s">
        <v>1981</v>
      </c>
      <c r="R263" t="s">
        <v>1988</v>
      </c>
      <c r="S263" t="s">
        <v>1894</v>
      </c>
      <c r="T263" s="22" t="s">
        <v>1874</v>
      </c>
      <c r="V263">
        <v>1</v>
      </c>
      <c r="AE263" t="s">
        <v>56</v>
      </c>
      <c r="AF263" t="s">
        <v>57</v>
      </c>
      <c r="AH263">
        <v>58</v>
      </c>
      <c r="AI263">
        <v>58</v>
      </c>
      <c r="AM263" s="23">
        <f t="shared" si="8"/>
        <v>164.25</v>
      </c>
      <c r="AN263" s="23">
        <v>438</v>
      </c>
      <c r="AO263" s="24">
        <v>0.2</v>
      </c>
      <c r="AP263" s="23">
        <f t="shared" si="9"/>
        <v>525.6</v>
      </c>
    </row>
    <row r="264" spans="1:42" ht="15" customHeight="1" x14ac:dyDescent="0.3">
      <c r="A264" t="s">
        <v>1975</v>
      </c>
      <c r="B264" t="s">
        <v>2435</v>
      </c>
      <c r="C264" t="s">
        <v>1977</v>
      </c>
      <c r="D264" s="22" t="s">
        <v>2436</v>
      </c>
      <c r="E264" t="s">
        <v>1979</v>
      </c>
      <c r="F264" t="s">
        <v>1980</v>
      </c>
      <c r="P264" t="s">
        <v>1830</v>
      </c>
      <c r="Q264" t="s">
        <v>1981</v>
      </c>
      <c r="R264" t="s">
        <v>1991</v>
      </c>
      <c r="S264" t="s">
        <v>1894</v>
      </c>
      <c r="T264" s="22" t="s">
        <v>1874</v>
      </c>
      <c r="V264">
        <v>1</v>
      </c>
      <c r="AE264" t="s">
        <v>56</v>
      </c>
      <c r="AF264" t="s">
        <v>57</v>
      </c>
      <c r="AH264">
        <v>63</v>
      </c>
      <c r="AI264">
        <v>63</v>
      </c>
      <c r="AM264" s="23">
        <f t="shared" si="8"/>
        <v>175.875</v>
      </c>
      <c r="AN264" s="23">
        <v>469</v>
      </c>
      <c r="AO264" s="24">
        <v>0.2</v>
      </c>
      <c r="AP264" s="23">
        <f t="shared" si="9"/>
        <v>562.79999999999995</v>
      </c>
    </row>
    <row r="265" spans="1:42" ht="15" customHeight="1" x14ac:dyDescent="0.3">
      <c r="A265" t="s">
        <v>1975</v>
      </c>
      <c r="B265" t="s">
        <v>2437</v>
      </c>
      <c r="C265" t="s">
        <v>1977</v>
      </c>
      <c r="D265" s="22" t="s">
        <v>2438</v>
      </c>
      <c r="E265" t="s">
        <v>1979</v>
      </c>
      <c r="F265" t="s">
        <v>1980</v>
      </c>
      <c r="P265" t="s">
        <v>1830</v>
      </c>
      <c r="Q265" t="s">
        <v>1981</v>
      </c>
      <c r="R265" t="s">
        <v>1994</v>
      </c>
      <c r="S265" t="s">
        <v>1894</v>
      </c>
      <c r="T265" s="22" t="s">
        <v>1874</v>
      </c>
      <c r="V265">
        <v>1</v>
      </c>
      <c r="AE265" t="s">
        <v>56</v>
      </c>
      <c r="AF265" t="s">
        <v>57</v>
      </c>
      <c r="AH265">
        <v>68</v>
      </c>
      <c r="AI265">
        <v>68</v>
      </c>
      <c r="AM265" s="23">
        <f t="shared" si="8"/>
        <v>190.5</v>
      </c>
      <c r="AN265" s="23">
        <v>508</v>
      </c>
      <c r="AO265" s="24">
        <v>0.2</v>
      </c>
      <c r="AP265" s="23">
        <f t="shared" si="9"/>
        <v>609.6</v>
      </c>
    </row>
    <row r="266" spans="1:42" ht="15" customHeight="1" x14ac:dyDescent="0.3">
      <c r="A266" t="s">
        <v>1975</v>
      </c>
      <c r="B266" t="s">
        <v>2439</v>
      </c>
      <c r="C266" t="s">
        <v>1977</v>
      </c>
      <c r="D266" s="22" t="s">
        <v>2440</v>
      </c>
      <c r="E266" t="s">
        <v>1979</v>
      </c>
      <c r="F266" t="s">
        <v>1980</v>
      </c>
      <c r="P266" t="s">
        <v>1830</v>
      </c>
      <c r="Q266" t="s">
        <v>1981</v>
      </c>
      <c r="R266" t="s">
        <v>1997</v>
      </c>
      <c r="S266" t="s">
        <v>1894</v>
      </c>
      <c r="T266" s="22" t="s">
        <v>1874</v>
      </c>
      <c r="V266">
        <v>1</v>
      </c>
      <c r="AE266" t="s">
        <v>56</v>
      </c>
      <c r="AF266" t="s">
        <v>57</v>
      </c>
      <c r="AH266">
        <v>72</v>
      </c>
      <c r="AI266">
        <v>72</v>
      </c>
      <c r="AM266" s="23">
        <f t="shared" si="8"/>
        <v>202.875</v>
      </c>
      <c r="AN266" s="23">
        <v>541</v>
      </c>
      <c r="AO266" s="24">
        <v>0.2</v>
      </c>
      <c r="AP266" s="23">
        <f t="shared" si="9"/>
        <v>649.19999999999993</v>
      </c>
    </row>
    <row r="267" spans="1:42" ht="15" customHeight="1" x14ac:dyDescent="0.3">
      <c r="A267" t="s">
        <v>1975</v>
      </c>
      <c r="B267" t="s">
        <v>2441</v>
      </c>
      <c r="C267" t="s">
        <v>1977</v>
      </c>
      <c r="D267" s="22" t="s">
        <v>2442</v>
      </c>
      <c r="E267" t="s">
        <v>1979</v>
      </c>
      <c r="F267" t="s">
        <v>1980</v>
      </c>
      <c r="P267" t="s">
        <v>1830</v>
      </c>
      <c r="Q267" t="s">
        <v>1981</v>
      </c>
      <c r="R267" t="s">
        <v>2000</v>
      </c>
      <c r="S267" t="s">
        <v>1894</v>
      </c>
      <c r="T267" s="22" t="s">
        <v>1874</v>
      </c>
      <c r="V267">
        <v>1</v>
      </c>
      <c r="AE267" t="s">
        <v>56</v>
      </c>
      <c r="AF267" t="s">
        <v>57</v>
      </c>
      <c r="AH267">
        <v>77</v>
      </c>
      <c r="AI267">
        <v>77</v>
      </c>
      <c r="AM267" s="23">
        <f t="shared" si="8"/>
        <v>215.25</v>
      </c>
      <c r="AN267" s="23">
        <v>574</v>
      </c>
      <c r="AO267" s="24">
        <v>0.2</v>
      </c>
      <c r="AP267" s="23">
        <f t="shared" si="9"/>
        <v>688.8</v>
      </c>
    </row>
    <row r="268" spans="1:42" ht="15" customHeight="1" x14ac:dyDescent="0.3">
      <c r="A268" t="s">
        <v>1975</v>
      </c>
      <c r="B268" t="s">
        <v>2443</v>
      </c>
      <c r="C268" t="s">
        <v>1977</v>
      </c>
      <c r="D268" s="22" t="s">
        <v>2444</v>
      </c>
      <c r="E268" t="s">
        <v>1979</v>
      </c>
      <c r="F268" t="s">
        <v>1980</v>
      </c>
      <c r="P268" t="s">
        <v>1830</v>
      </c>
      <c r="Q268" t="s">
        <v>1981</v>
      </c>
      <c r="R268" t="s">
        <v>2003</v>
      </c>
      <c r="S268" t="s">
        <v>1894</v>
      </c>
      <c r="T268" s="22" t="s">
        <v>1874</v>
      </c>
      <c r="V268">
        <v>1</v>
      </c>
      <c r="AE268" t="s">
        <v>56</v>
      </c>
      <c r="AF268" t="s">
        <v>57</v>
      </c>
      <c r="AH268">
        <v>82</v>
      </c>
      <c r="AI268">
        <v>82</v>
      </c>
      <c r="AM268" s="23">
        <f t="shared" si="8"/>
        <v>226.5</v>
      </c>
      <c r="AN268" s="23">
        <v>604</v>
      </c>
      <c r="AO268" s="24">
        <v>0.2</v>
      </c>
      <c r="AP268" s="23">
        <f t="shared" si="9"/>
        <v>724.8</v>
      </c>
    </row>
    <row r="269" spans="1:42" ht="15" customHeight="1" x14ac:dyDescent="0.3">
      <c r="A269" t="s">
        <v>1975</v>
      </c>
      <c r="B269" t="s">
        <v>2445</v>
      </c>
      <c r="C269" t="s">
        <v>1977</v>
      </c>
      <c r="D269" s="22" t="s">
        <v>2446</v>
      </c>
      <c r="E269" t="s">
        <v>1979</v>
      </c>
      <c r="F269" t="s">
        <v>1980</v>
      </c>
      <c r="P269" t="s">
        <v>1830</v>
      </c>
      <c r="Q269" t="s">
        <v>1981</v>
      </c>
      <c r="R269" t="s">
        <v>2006</v>
      </c>
      <c r="S269" t="s">
        <v>1894</v>
      </c>
      <c r="T269" s="22" t="s">
        <v>1874</v>
      </c>
      <c r="V269">
        <v>1</v>
      </c>
      <c r="AE269" t="s">
        <v>56</v>
      </c>
      <c r="AF269" t="s">
        <v>57</v>
      </c>
      <c r="AH269">
        <v>87</v>
      </c>
      <c r="AI269">
        <v>87</v>
      </c>
      <c r="AM269" s="23">
        <f t="shared" si="8"/>
        <v>242.25</v>
      </c>
      <c r="AN269" s="23">
        <v>646</v>
      </c>
      <c r="AO269" s="24">
        <v>0.2</v>
      </c>
      <c r="AP269" s="23">
        <f t="shared" si="9"/>
        <v>775.19999999999993</v>
      </c>
    </row>
    <row r="270" spans="1:42" ht="15" customHeight="1" x14ac:dyDescent="0.3">
      <c r="A270" t="s">
        <v>1975</v>
      </c>
      <c r="B270" t="s">
        <v>2447</v>
      </c>
      <c r="C270" t="s">
        <v>1977</v>
      </c>
      <c r="D270" s="22" t="s">
        <v>2448</v>
      </c>
      <c r="E270" t="s">
        <v>1979</v>
      </c>
      <c r="F270" t="s">
        <v>1980</v>
      </c>
      <c r="P270" t="s">
        <v>1830</v>
      </c>
      <c r="Q270" t="s">
        <v>1981</v>
      </c>
      <c r="R270" t="s">
        <v>2009</v>
      </c>
      <c r="S270" t="s">
        <v>1894</v>
      </c>
      <c r="T270" s="22" t="s">
        <v>1874</v>
      </c>
      <c r="V270">
        <v>1</v>
      </c>
      <c r="AE270" t="s">
        <v>56</v>
      </c>
      <c r="AF270" t="s">
        <v>57</v>
      </c>
      <c r="AH270">
        <v>92</v>
      </c>
      <c r="AI270">
        <v>92</v>
      </c>
      <c r="AM270" s="23">
        <f t="shared" si="8"/>
        <v>253.875</v>
      </c>
      <c r="AN270" s="23">
        <v>677</v>
      </c>
      <c r="AO270" s="24">
        <v>0.2</v>
      </c>
      <c r="AP270" s="23">
        <f t="shared" si="9"/>
        <v>812.4</v>
      </c>
    </row>
    <row r="271" spans="1:42" ht="15" customHeight="1" x14ac:dyDescent="0.3">
      <c r="A271" t="s">
        <v>1975</v>
      </c>
      <c r="B271" t="s">
        <v>2449</v>
      </c>
      <c r="C271" t="s">
        <v>1977</v>
      </c>
      <c r="D271" s="22" t="s">
        <v>2450</v>
      </c>
      <c r="E271" t="s">
        <v>1979</v>
      </c>
      <c r="F271" t="s">
        <v>1980</v>
      </c>
      <c r="P271" t="s">
        <v>1830</v>
      </c>
      <c r="Q271" t="s">
        <v>1981</v>
      </c>
      <c r="R271" t="s">
        <v>2012</v>
      </c>
      <c r="S271" t="s">
        <v>1894</v>
      </c>
      <c r="T271" s="22" t="s">
        <v>1874</v>
      </c>
      <c r="V271">
        <v>1</v>
      </c>
      <c r="AE271" t="s">
        <v>56</v>
      </c>
      <c r="AF271" t="s">
        <v>57</v>
      </c>
      <c r="AH271">
        <v>96</v>
      </c>
      <c r="AI271">
        <v>96</v>
      </c>
      <c r="AM271" s="23">
        <f t="shared" si="8"/>
        <v>266.25</v>
      </c>
      <c r="AN271" s="23">
        <v>710</v>
      </c>
      <c r="AO271" s="24">
        <v>0.2</v>
      </c>
      <c r="AP271" s="23">
        <f t="shared" si="9"/>
        <v>852</v>
      </c>
    </row>
    <row r="272" spans="1:42" ht="15" customHeight="1" x14ac:dyDescent="0.3">
      <c r="A272" t="s">
        <v>1975</v>
      </c>
      <c r="B272" t="s">
        <v>2451</v>
      </c>
      <c r="C272" t="s">
        <v>1977</v>
      </c>
      <c r="D272" s="22" t="s">
        <v>2452</v>
      </c>
      <c r="E272" t="s">
        <v>1979</v>
      </c>
      <c r="F272" t="s">
        <v>1980</v>
      </c>
      <c r="P272" t="s">
        <v>1830</v>
      </c>
      <c r="Q272" t="s">
        <v>1981</v>
      </c>
      <c r="R272" t="s">
        <v>2015</v>
      </c>
      <c r="S272" t="s">
        <v>1894</v>
      </c>
      <c r="T272" s="22" t="s">
        <v>1874</v>
      </c>
      <c r="V272">
        <v>1</v>
      </c>
      <c r="AE272" t="s">
        <v>56</v>
      </c>
      <c r="AF272" t="s">
        <v>57</v>
      </c>
      <c r="AH272">
        <v>34</v>
      </c>
      <c r="AI272">
        <v>34</v>
      </c>
      <c r="AM272" s="23">
        <f t="shared" si="8"/>
        <v>108</v>
      </c>
      <c r="AN272" s="23">
        <v>288</v>
      </c>
      <c r="AO272" s="24">
        <v>0.2</v>
      </c>
      <c r="AP272" s="23">
        <f t="shared" si="9"/>
        <v>345.59999999999997</v>
      </c>
    </row>
    <row r="273" spans="1:42" ht="15" customHeight="1" x14ac:dyDescent="0.3">
      <c r="A273" t="s">
        <v>1975</v>
      </c>
      <c r="B273" t="s">
        <v>2453</v>
      </c>
      <c r="C273" t="s">
        <v>1977</v>
      </c>
      <c r="D273" s="22" t="s">
        <v>2454</v>
      </c>
      <c r="E273" t="s">
        <v>1979</v>
      </c>
      <c r="F273" t="s">
        <v>1980</v>
      </c>
      <c r="P273" t="s">
        <v>1830</v>
      </c>
      <c r="Q273" t="s">
        <v>1981</v>
      </c>
      <c r="R273" t="s">
        <v>2018</v>
      </c>
      <c r="S273" t="s">
        <v>1894</v>
      </c>
      <c r="T273" s="22" t="s">
        <v>1874</v>
      </c>
      <c r="V273">
        <v>1</v>
      </c>
      <c r="AE273" t="s">
        <v>56</v>
      </c>
      <c r="AF273" t="s">
        <v>57</v>
      </c>
      <c r="AH273">
        <v>37</v>
      </c>
      <c r="AI273">
        <v>37</v>
      </c>
      <c r="AM273" s="23">
        <f t="shared" si="8"/>
        <v>126.75</v>
      </c>
      <c r="AN273" s="23">
        <v>338</v>
      </c>
      <c r="AO273" s="24">
        <v>0.2</v>
      </c>
      <c r="AP273" s="23">
        <f t="shared" si="9"/>
        <v>405.59999999999997</v>
      </c>
    </row>
    <row r="274" spans="1:42" ht="15" customHeight="1" x14ac:dyDescent="0.3">
      <c r="A274" t="s">
        <v>1975</v>
      </c>
      <c r="B274" t="s">
        <v>2455</v>
      </c>
      <c r="C274" t="s">
        <v>1977</v>
      </c>
      <c r="D274" s="22" t="s">
        <v>2456</v>
      </c>
      <c r="E274" t="s">
        <v>1979</v>
      </c>
      <c r="F274" t="s">
        <v>1980</v>
      </c>
      <c r="P274" t="s">
        <v>1830</v>
      </c>
      <c r="Q274" t="s">
        <v>1981</v>
      </c>
      <c r="R274" t="s">
        <v>2021</v>
      </c>
      <c r="S274" t="s">
        <v>1894</v>
      </c>
      <c r="T274" s="22" t="s">
        <v>1874</v>
      </c>
      <c r="V274">
        <v>1</v>
      </c>
      <c r="AE274" t="s">
        <v>56</v>
      </c>
      <c r="AF274" t="s">
        <v>57</v>
      </c>
      <c r="AH274">
        <v>41</v>
      </c>
      <c r="AI274">
        <v>41</v>
      </c>
      <c r="AM274" s="23">
        <f t="shared" si="8"/>
        <v>129.375</v>
      </c>
      <c r="AN274" s="23">
        <v>345</v>
      </c>
      <c r="AO274" s="24">
        <v>0.2</v>
      </c>
      <c r="AP274" s="23">
        <f t="shared" si="9"/>
        <v>414</v>
      </c>
    </row>
    <row r="275" spans="1:42" ht="15" customHeight="1" x14ac:dyDescent="0.3">
      <c r="A275" t="s">
        <v>1975</v>
      </c>
      <c r="B275" t="s">
        <v>2457</v>
      </c>
      <c r="C275" t="s">
        <v>1977</v>
      </c>
      <c r="D275" s="22" t="s">
        <v>2458</v>
      </c>
      <c r="E275" t="s">
        <v>1979</v>
      </c>
      <c r="F275" t="s">
        <v>1980</v>
      </c>
      <c r="P275" t="s">
        <v>1830</v>
      </c>
      <c r="Q275" t="s">
        <v>1981</v>
      </c>
      <c r="R275" t="s">
        <v>2024</v>
      </c>
      <c r="S275" t="s">
        <v>1894</v>
      </c>
      <c r="T275" s="22" t="s">
        <v>1874</v>
      </c>
      <c r="V275">
        <v>1</v>
      </c>
      <c r="AE275" t="s">
        <v>56</v>
      </c>
      <c r="AF275" t="s">
        <v>57</v>
      </c>
      <c r="AH275">
        <v>44</v>
      </c>
      <c r="AI275">
        <v>44</v>
      </c>
      <c r="AM275" s="23">
        <f t="shared" si="8"/>
        <v>139.875</v>
      </c>
      <c r="AN275" s="23">
        <v>373</v>
      </c>
      <c r="AO275" s="24">
        <v>0.2</v>
      </c>
      <c r="AP275" s="23">
        <f t="shared" si="9"/>
        <v>447.59999999999997</v>
      </c>
    </row>
    <row r="276" spans="1:42" ht="15" customHeight="1" x14ac:dyDescent="0.3">
      <c r="A276" t="s">
        <v>1975</v>
      </c>
      <c r="B276" t="s">
        <v>2459</v>
      </c>
      <c r="C276" t="s">
        <v>1977</v>
      </c>
      <c r="D276" s="22" t="s">
        <v>2460</v>
      </c>
      <c r="E276" t="s">
        <v>1979</v>
      </c>
      <c r="F276" t="s">
        <v>1980</v>
      </c>
      <c r="P276" t="s">
        <v>1830</v>
      </c>
      <c r="Q276" t="s">
        <v>1981</v>
      </c>
      <c r="R276" t="s">
        <v>2027</v>
      </c>
      <c r="S276" t="s">
        <v>1894</v>
      </c>
      <c r="T276" s="22" t="s">
        <v>1874</v>
      </c>
      <c r="V276">
        <v>1</v>
      </c>
      <c r="AE276" t="s">
        <v>56</v>
      </c>
      <c r="AF276" t="s">
        <v>57</v>
      </c>
      <c r="AH276">
        <v>48</v>
      </c>
      <c r="AI276">
        <v>48</v>
      </c>
      <c r="AM276" s="23">
        <f t="shared" si="8"/>
        <v>139.875</v>
      </c>
      <c r="AN276" s="23">
        <v>373</v>
      </c>
      <c r="AO276" s="24">
        <v>0.2</v>
      </c>
      <c r="AP276" s="23">
        <f t="shared" si="9"/>
        <v>447.59999999999997</v>
      </c>
    </row>
    <row r="277" spans="1:42" ht="15" customHeight="1" x14ac:dyDescent="0.3">
      <c r="A277" t="s">
        <v>1975</v>
      </c>
      <c r="B277" t="s">
        <v>2461</v>
      </c>
      <c r="C277" t="s">
        <v>1977</v>
      </c>
      <c r="D277" s="22" t="s">
        <v>2462</v>
      </c>
      <c r="E277" t="s">
        <v>1979</v>
      </c>
      <c r="F277" t="s">
        <v>1980</v>
      </c>
      <c r="P277" t="s">
        <v>1830</v>
      </c>
      <c r="Q277" t="s">
        <v>1981</v>
      </c>
      <c r="R277" t="s">
        <v>2030</v>
      </c>
      <c r="S277" t="s">
        <v>1894</v>
      </c>
      <c r="T277" s="22" t="s">
        <v>1874</v>
      </c>
      <c r="V277">
        <v>1</v>
      </c>
      <c r="AE277" t="s">
        <v>56</v>
      </c>
      <c r="AF277" t="s">
        <v>57</v>
      </c>
      <c r="AH277">
        <v>51</v>
      </c>
      <c r="AI277">
        <v>51</v>
      </c>
      <c r="AM277" s="23">
        <f t="shared" si="8"/>
        <v>148.125</v>
      </c>
      <c r="AN277" s="23">
        <v>395</v>
      </c>
      <c r="AO277" s="24">
        <v>0.2</v>
      </c>
      <c r="AP277" s="23">
        <f t="shared" si="9"/>
        <v>474</v>
      </c>
    </row>
    <row r="278" spans="1:42" ht="15" customHeight="1" x14ac:dyDescent="0.3">
      <c r="A278" t="s">
        <v>1975</v>
      </c>
      <c r="B278" t="s">
        <v>2463</v>
      </c>
      <c r="C278" t="s">
        <v>1977</v>
      </c>
      <c r="D278" s="22" t="s">
        <v>2464</v>
      </c>
      <c r="E278" t="s">
        <v>1979</v>
      </c>
      <c r="F278" t="s">
        <v>1980</v>
      </c>
      <c r="P278" t="s">
        <v>1830</v>
      </c>
      <c r="Q278" t="s">
        <v>1981</v>
      </c>
      <c r="R278" t="s">
        <v>2033</v>
      </c>
      <c r="S278" t="s">
        <v>1894</v>
      </c>
      <c r="T278" s="22" t="s">
        <v>1874</v>
      </c>
      <c r="V278">
        <v>1</v>
      </c>
      <c r="AE278" t="s">
        <v>56</v>
      </c>
      <c r="AF278" t="s">
        <v>57</v>
      </c>
      <c r="AH278">
        <v>54</v>
      </c>
      <c r="AI278">
        <v>54</v>
      </c>
      <c r="AM278" s="23">
        <f t="shared" si="8"/>
        <v>156.75</v>
      </c>
      <c r="AN278" s="23">
        <v>418</v>
      </c>
      <c r="AO278" s="24">
        <v>0.2</v>
      </c>
      <c r="AP278" s="23">
        <f t="shared" si="9"/>
        <v>501.59999999999997</v>
      </c>
    </row>
    <row r="279" spans="1:42" ht="15" customHeight="1" x14ac:dyDescent="0.3">
      <c r="A279" t="s">
        <v>1975</v>
      </c>
      <c r="B279" t="s">
        <v>2465</v>
      </c>
      <c r="C279" t="s">
        <v>1977</v>
      </c>
      <c r="D279" s="22" t="s">
        <v>2466</v>
      </c>
      <c r="E279" t="s">
        <v>1979</v>
      </c>
      <c r="F279" t="s">
        <v>1980</v>
      </c>
      <c r="P279" t="s">
        <v>1830</v>
      </c>
      <c r="Q279" t="s">
        <v>1981</v>
      </c>
      <c r="R279" t="s">
        <v>2036</v>
      </c>
      <c r="S279" t="s">
        <v>1894</v>
      </c>
      <c r="T279" s="22" t="s">
        <v>1874</v>
      </c>
      <c r="V279">
        <v>1</v>
      </c>
      <c r="AE279" t="s">
        <v>56</v>
      </c>
      <c r="AF279" t="s">
        <v>57</v>
      </c>
      <c r="AH279">
        <v>58</v>
      </c>
      <c r="AI279">
        <v>58</v>
      </c>
      <c r="AM279" s="23">
        <f t="shared" si="8"/>
        <v>165</v>
      </c>
      <c r="AN279" s="23">
        <v>440</v>
      </c>
      <c r="AO279" s="24">
        <v>0.2</v>
      </c>
      <c r="AP279" s="23">
        <f t="shared" si="9"/>
        <v>528</v>
      </c>
    </row>
    <row r="280" spans="1:42" ht="15" customHeight="1" x14ac:dyDescent="0.3">
      <c r="A280" t="s">
        <v>1975</v>
      </c>
      <c r="B280" t="s">
        <v>2467</v>
      </c>
      <c r="C280" t="s">
        <v>1977</v>
      </c>
      <c r="D280" s="22" t="s">
        <v>2468</v>
      </c>
      <c r="E280" t="s">
        <v>1979</v>
      </c>
      <c r="F280" t="s">
        <v>1980</v>
      </c>
      <c r="P280" t="s">
        <v>1830</v>
      </c>
      <c r="Q280" t="s">
        <v>1981</v>
      </c>
      <c r="R280" t="s">
        <v>2039</v>
      </c>
      <c r="S280" t="s">
        <v>1894</v>
      </c>
      <c r="T280" s="22" t="s">
        <v>1874</v>
      </c>
      <c r="V280">
        <v>1</v>
      </c>
      <c r="AE280" t="s">
        <v>56</v>
      </c>
      <c r="AF280" t="s">
        <v>57</v>
      </c>
      <c r="AH280">
        <v>61</v>
      </c>
      <c r="AI280">
        <v>61</v>
      </c>
      <c r="AM280" s="23">
        <f t="shared" si="8"/>
        <v>175.875</v>
      </c>
      <c r="AN280" s="23">
        <v>469</v>
      </c>
      <c r="AO280" s="24">
        <v>0.2</v>
      </c>
      <c r="AP280" s="23">
        <f t="shared" si="9"/>
        <v>562.79999999999995</v>
      </c>
    </row>
    <row r="281" spans="1:42" ht="15" customHeight="1" x14ac:dyDescent="0.3">
      <c r="A281" t="s">
        <v>1975</v>
      </c>
      <c r="B281" t="s">
        <v>2469</v>
      </c>
      <c r="C281" t="s">
        <v>1977</v>
      </c>
      <c r="D281" s="22" t="s">
        <v>2470</v>
      </c>
      <c r="E281" t="s">
        <v>1979</v>
      </c>
      <c r="F281" t="s">
        <v>1980</v>
      </c>
      <c r="P281" t="s">
        <v>1830</v>
      </c>
      <c r="Q281" t="s">
        <v>1981</v>
      </c>
      <c r="R281" t="s">
        <v>2042</v>
      </c>
      <c r="S281" t="s">
        <v>1894</v>
      </c>
      <c r="T281" s="22" t="s">
        <v>1874</v>
      </c>
      <c r="V281">
        <v>1</v>
      </c>
      <c r="AE281" t="s">
        <v>56</v>
      </c>
      <c r="AF281" t="s">
        <v>57</v>
      </c>
      <c r="AH281">
        <v>64</v>
      </c>
      <c r="AI281">
        <v>64</v>
      </c>
      <c r="AM281" s="23">
        <f t="shared" si="8"/>
        <v>196.125</v>
      </c>
      <c r="AN281" s="23">
        <v>523</v>
      </c>
      <c r="AO281" s="24">
        <v>0.2</v>
      </c>
      <c r="AP281" s="23">
        <f t="shared" si="9"/>
        <v>627.6</v>
      </c>
    </row>
    <row r="282" spans="1:42" ht="15" customHeight="1" x14ac:dyDescent="0.3">
      <c r="A282" t="s">
        <v>1975</v>
      </c>
      <c r="B282" t="s">
        <v>2471</v>
      </c>
      <c r="C282" t="s">
        <v>1977</v>
      </c>
      <c r="D282" s="22" t="s">
        <v>2472</v>
      </c>
      <c r="E282" t="s">
        <v>1979</v>
      </c>
      <c r="F282" t="s">
        <v>1980</v>
      </c>
      <c r="P282" t="s">
        <v>1830</v>
      </c>
      <c r="Q282" t="s">
        <v>1981</v>
      </c>
      <c r="R282" t="s">
        <v>2045</v>
      </c>
      <c r="S282" t="s">
        <v>1894</v>
      </c>
      <c r="T282" s="22" t="s">
        <v>1874</v>
      </c>
      <c r="V282">
        <v>1</v>
      </c>
      <c r="AE282" t="s">
        <v>56</v>
      </c>
      <c r="AF282" t="s">
        <v>57</v>
      </c>
      <c r="AH282">
        <v>68</v>
      </c>
      <c r="AI282">
        <v>68</v>
      </c>
      <c r="AM282" s="23">
        <f t="shared" si="8"/>
        <v>200.625</v>
      </c>
      <c r="AN282" s="23">
        <v>535</v>
      </c>
      <c r="AO282" s="24">
        <v>0.2</v>
      </c>
      <c r="AP282" s="23">
        <f t="shared" si="9"/>
        <v>642</v>
      </c>
    </row>
    <row r="283" spans="1:42" ht="15" customHeight="1" x14ac:dyDescent="0.3">
      <c r="A283" t="s">
        <v>1975</v>
      </c>
      <c r="B283" t="s">
        <v>2473</v>
      </c>
      <c r="C283" t="s">
        <v>1977</v>
      </c>
      <c r="D283" s="22" t="s">
        <v>2474</v>
      </c>
      <c r="E283" t="s">
        <v>1979</v>
      </c>
      <c r="F283" t="s">
        <v>1980</v>
      </c>
      <c r="P283" t="s">
        <v>1830</v>
      </c>
      <c r="Q283" t="s">
        <v>1981</v>
      </c>
      <c r="R283" t="s">
        <v>2048</v>
      </c>
      <c r="S283" t="s">
        <v>1894</v>
      </c>
      <c r="T283" s="22" t="s">
        <v>1874</v>
      </c>
      <c r="V283">
        <v>1</v>
      </c>
      <c r="AE283" t="s">
        <v>56</v>
      </c>
      <c r="AF283" t="s">
        <v>57</v>
      </c>
      <c r="AH283">
        <v>24</v>
      </c>
      <c r="AI283">
        <v>24</v>
      </c>
      <c r="AM283" s="23">
        <f t="shared" si="8"/>
        <v>95.625</v>
      </c>
      <c r="AN283" s="23">
        <v>255</v>
      </c>
      <c r="AO283" s="24">
        <v>0.2</v>
      </c>
      <c r="AP283" s="23">
        <f t="shared" si="9"/>
        <v>306</v>
      </c>
    </row>
    <row r="284" spans="1:42" ht="15" customHeight="1" x14ac:dyDescent="0.3">
      <c r="A284" t="s">
        <v>1975</v>
      </c>
      <c r="B284" t="s">
        <v>2475</v>
      </c>
      <c r="C284" t="s">
        <v>1977</v>
      </c>
      <c r="D284" s="22" t="s">
        <v>2476</v>
      </c>
      <c r="E284" t="s">
        <v>1979</v>
      </c>
      <c r="F284" t="s">
        <v>1980</v>
      </c>
      <c r="P284" t="s">
        <v>1830</v>
      </c>
      <c r="Q284" t="s">
        <v>1981</v>
      </c>
      <c r="R284" t="s">
        <v>2051</v>
      </c>
      <c r="S284" t="s">
        <v>1894</v>
      </c>
      <c r="T284" s="22" t="s">
        <v>1874</v>
      </c>
      <c r="V284">
        <v>1</v>
      </c>
      <c r="AE284" t="s">
        <v>56</v>
      </c>
      <c r="AF284" t="s">
        <v>57</v>
      </c>
      <c r="AH284">
        <v>27</v>
      </c>
      <c r="AI284">
        <v>27</v>
      </c>
      <c r="AM284" s="23">
        <f t="shared" si="8"/>
        <v>100.5</v>
      </c>
      <c r="AN284" s="23">
        <v>268</v>
      </c>
      <c r="AO284" s="24">
        <v>0.2</v>
      </c>
      <c r="AP284" s="23">
        <f t="shared" si="9"/>
        <v>321.59999999999997</v>
      </c>
    </row>
    <row r="285" spans="1:42" ht="15" customHeight="1" x14ac:dyDescent="0.3">
      <c r="A285" t="s">
        <v>1975</v>
      </c>
      <c r="B285" t="s">
        <v>2477</v>
      </c>
      <c r="C285" t="s">
        <v>1977</v>
      </c>
      <c r="D285" s="22" t="s">
        <v>2478</v>
      </c>
      <c r="E285" t="s">
        <v>1979</v>
      </c>
      <c r="F285" t="s">
        <v>1980</v>
      </c>
      <c r="P285" t="s">
        <v>1830</v>
      </c>
      <c r="Q285" t="s">
        <v>1981</v>
      </c>
      <c r="R285" t="s">
        <v>2054</v>
      </c>
      <c r="S285" t="s">
        <v>1894</v>
      </c>
      <c r="T285" s="22" t="s">
        <v>1874</v>
      </c>
      <c r="V285">
        <v>1</v>
      </c>
      <c r="AE285" t="s">
        <v>56</v>
      </c>
      <c r="AF285" t="s">
        <v>57</v>
      </c>
      <c r="AH285">
        <v>31</v>
      </c>
      <c r="AI285">
        <v>31</v>
      </c>
      <c r="AM285" s="23">
        <f t="shared" si="8"/>
        <v>104.25</v>
      </c>
      <c r="AN285" s="23">
        <v>278</v>
      </c>
      <c r="AO285" s="24">
        <v>0.2</v>
      </c>
      <c r="AP285" s="23">
        <f t="shared" si="9"/>
        <v>333.59999999999997</v>
      </c>
    </row>
    <row r="286" spans="1:42" ht="15" customHeight="1" x14ac:dyDescent="0.3">
      <c r="A286" t="s">
        <v>1975</v>
      </c>
      <c r="B286" t="s">
        <v>2479</v>
      </c>
      <c r="C286" t="s">
        <v>1977</v>
      </c>
      <c r="D286" s="22" t="s">
        <v>2480</v>
      </c>
      <c r="E286" t="s">
        <v>1979</v>
      </c>
      <c r="F286" t="s">
        <v>1980</v>
      </c>
      <c r="P286" t="s">
        <v>1830</v>
      </c>
      <c r="Q286" t="s">
        <v>1981</v>
      </c>
      <c r="R286" t="s">
        <v>2057</v>
      </c>
      <c r="S286" t="s">
        <v>1894</v>
      </c>
      <c r="T286" s="22" t="s">
        <v>1874</v>
      </c>
      <c r="V286">
        <v>1</v>
      </c>
      <c r="AE286" t="s">
        <v>56</v>
      </c>
      <c r="AF286" t="s">
        <v>57</v>
      </c>
      <c r="AH286">
        <v>39</v>
      </c>
      <c r="AI286">
        <v>39</v>
      </c>
      <c r="AM286" s="23">
        <f t="shared" si="8"/>
        <v>113.625</v>
      </c>
      <c r="AN286" s="23">
        <v>303</v>
      </c>
      <c r="AO286" s="24">
        <v>0.2</v>
      </c>
      <c r="AP286" s="23">
        <f t="shared" si="9"/>
        <v>363.59999999999997</v>
      </c>
    </row>
    <row r="287" spans="1:42" ht="15" customHeight="1" x14ac:dyDescent="0.3">
      <c r="A287" t="s">
        <v>1975</v>
      </c>
      <c r="B287" t="s">
        <v>2481</v>
      </c>
      <c r="C287" t="s">
        <v>1977</v>
      </c>
      <c r="D287" s="22" t="s">
        <v>2482</v>
      </c>
      <c r="E287" t="s">
        <v>1979</v>
      </c>
      <c r="F287" t="s">
        <v>1980</v>
      </c>
      <c r="P287" t="s">
        <v>1830</v>
      </c>
      <c r="Q287" t="s">
        <v>1981</v>
      </c>
      <c r="R287" t="s">
        <v>2060</v>
      </c>
      <c r="S287" t="s">
        <v>1894</v>
      </c>
      <c r="T287" s="22" t="s">
        <v>1874</v>
      </c>
      <c r="V287">
        <v>1</v>
      </c>
      <c r="AE287" t="s">
        <v>56</v>
      </c>
      <c r="AF287" t="s">
        <v>57</v>
      </c>
      <c r="AH287">
        <v>43</v>
      </c>
      <c r="AI287">
        <v>43</v>
      </c>
      <c r="AM287" s="23">
        <f t="shared" si="8"/>
        <v>130.5</v>
      </c>
      <c r="AN287" s="23">
        <v>348</v>
      </c>
      <c r="AO287" s="24">
        <v>0.2</v>
      </c>
      <c r="AP287" s="23">
        <f t="shared" si="9"/>
        <v>417.59999999999997</v>
      </c>
    </row>
    <row r="288" spans="1:42" ht="15" customHeight="1" x14ac:dyDescent="0.3">
      <c r="A288" t="s">
        <v>1975</v>
      </c>
      <c r="B288" t="s">
        <v>2483</v>
      </c>
      <c r="C288" t="s">
        <v>1977</v>
      </c>
      <c r="D288" s="22" t="s">
        <v>2484</v>
      </c>
      <c r="E288" t="s">
        <v>1979</v>
      </c>
      <c r="F288" t="s">
        <v>1980</v>
      </c>
      <c r="P288" t="s">
        <v>1830</v>
      </c>
      <c r="Q288" t="s">
        <v>1981</v>
      </c>
      <c r="R288" t="s">
        <v>2063</v>
      </c>
      <c r="S288" t="s">
        <v>1894</v>
      </c>
      <c r="T288" s="22" t="s">
        <v>1874</v>
      </c>
      <c r="V288">
        <v>1</v>
      </c>
      <c r="AE288" t="s">
        <v>56</v>
      </c>
      <c r="AF288" t="s">
        <v>57</v>
      </c>
      <c r="AH288">
        <v>47</v>
      </c>
      <c r="AI288">
        <v>47</v>
      </c>
      <c r="AM288" s="23">
        <f t="shared" si="8"/>
        <v>136.125</v>
      </c>
      <c r="AN288" s="23">
        <v>363</v>
      </c>
      <c r="AO288" s="24">
        <v>0.2</v>
      </c>
      <c r="AP288" s="23">
        <f t="shared" si="9"/>
        <v>435.59999999999997</v>
      </c>
    </row>
    <row r="289" spans="1:42" ht="15" customHeight="1" x14ac:dyDescent="0.3">
      <c r="A289" t="s">
        <v>1975</v>
      </c>
      <c r="B289" t="s">
        <v>2485</v>
      </c>
      <c r="C289" t="s">
        <v>1977</v>
      </c>
      <c r="D289" s="22" t="s">
        <v>2486</v>
      </c>
      <c r="E289" t="s">
        <v>1979</v>
      </c>
      <c r="F289" t="s">
        <v>1980</v>
      </c>
      <c r="P289" t="s">
        <v>1830</v>
      </c>
      <c r="Q289" t="s">
        <v>1981</v>
      </c>
      <c r="R289" t="s">
        <v>2066</v>
      </c>
      <c r="S289" t="s">
        <v>1894</v>
      </c>
      <c r="T289" s="22" t="s">
        <v>1874</v>
      </c>
      <c r="V289">
        <v>1</v>
      </c>
      <c r="AE289" t="s">
        <v>56</v>
      </c>
      <c r="AF289" t="s">
        <v>57</v>
      </c>
      <c r="AH289">
        <v>50</v>
      </c>
      <c r="AI289">
        <v>50</v>
      </c>
      <c r="AM289" s="23">
        <f t="shared" si="8"/>
        <v>153.75</v>
      </c>
      <c r="AN289" s="23">
        <v>410</v>
      </c>
      <c r="AO289" s="24">
        <v>0.2</v>
      </c>
      <c r="AP289" s="23">
        <f t="shared" si="9"/>
        <v>492</v>
      </c>
    </row>
    <row r="290" spans="1:42" ht="15" customHeight="1" x14ac:dyDescent="0.3">
      <c r="A290" t="s">
        <v>1975</v>
      </c>
      <c r="B290" t="s">
        <v>2487</v>
      </c>
      <c r="C290" t="s">
        <v>1977</v>
      </c>
      <c r="D290" s="22" t="s">
        <v>2488</v>
      </c>
      <c r="E290" t="s">
        <v>1979</v>
      </c>
      <c r="F290" t="s">
        <v>1980</v>
      </c>
      <c r="P290" t="s">
        <v>1830</v>
      </c>
      <c r="Q290" t="s">
        <v>1981</v>
      </c>
      <c r="R290" t="s">
        <v>2069</v>
      </c>
      <c r="S290" t="s">
        <v>1894</v>
      </c>
      <c r="T290" s="22" t="s">
        <v>1874</v>
      </c>
      <c r="V290">
        <v>1</v>
      </c>
      <c r="AE290" t="s">
        <v>56</v>
      </c>
      <c r="AF290" t="s">
        <v>57</v>
      </c>
      <c r="AH290">
        <v>54</v>
      </c>
      <c r="AI290">
        <v>54</v>
      </c>
      <c r="AM290" s="23">
        <f t="shared" si="8"/>
        <v>156.75</v>
      </c>
      <c r="AN290" s="23">
        <v>418</v>
      </c>
      <c r="AO290" s="24">
        <v>0.2</v>
      </c>
      <c r="AP290" s="23">
        <f t="shared" si="9"/>
        <v>501.59999999999997</v>
      </c>
    </row>
    <row r="291" spans="1:42" ht="15" customHeight="1" x14ac:dyDescent="0.3">
      <c r="A291" t="s">
        <v>1975</v>
      </c>
      <c r="B291" t="s">
        <v>2489</v>
      </c>
      <c r="C291" t="s">
        <v>1977</v>
      </c>
      <c r="D291" s="22" t="s">
        <v>2490</v>
      </c>
      <c r="E291" t="s">
        <v>1979</v>
      </c>
      <c r="F291" t="s">
        <v>1980</v>
      </c>
      <c r="P291" t="s">
        <v>1830</v>
      </c>
      <c r="Q291" t="s">
        <v>1981</v>
      </c>
      <c r="R291" t="s">
        <v>2072</v>
      </c>
      <c r="S291" t="s">
        <v>1894</v>
      </c>
      <c r="T291" s="22" t="s">
        <v>1874</v>
      </c>
      <c r="V291">
        <v>1</v>
      </c>
      <c r="AE291" t="s">
        <v>56</v>
      </c>
      <c r="AF291" t="s">
        <v>57</v>
      </c>
      <c r="AH291">
        <v>58</v>
      </c>
      <c r="AI291">
        <v>58</v>
      </c>
      <c r="AM291" s="23">
        <f t="shared" si="8"/>
        <v>166.5</v>
      </c>
      <c r="AN291" s="23">
        <v>444</v>
      </c>
      <c r="AO291" s="24">
        <v>0.2</v>
      </c>
      <c r="AP291" s="23">
        <f t="shared" si="9"/>
        <v>532.79999999999995</v>
      </c>
    </row>
    <row r="292" spans="1:42" ht="15" customHeight="1" x14ac:dyDescent="0.3">
      <c r="A292" t="s">
        <v>1975</v>
      </c>
      <c r="B292" t="s">
        <v>2491</v>
      </c>
      <c r="C292" t="s">
        <v>1977</v>
      </c>
      <c r="D292" s="22" t="s">
        <v>2492</v>
      </c>
      <c r="E292" t="s">
        <v>1979</v>
      </c>
      <c r="F292" t="s">
        <v>1980</v>
      </c>
      <c r="P292" t="s">
        <v>1830</v>
      </c>
      <c r="Q292" t="s">
        <v>1981</v>
      </c>
      <c r="R292" t="s">
        <v>2075</v>
      </c>
      <c r="S292" t="s">
        <v>1894</v>
      </c>
      <c r="T292" s="22" t="s">
        <v>1874</v>
      </c>
      <c r="V292">
        <v>1</v>
      </c>
      <c r="AE292" t="s">
        <v>56</v>
      </c>
      <c r="AF292" t="s">
        <v>57</v>
      </c>
      <c r="AH292">
        <v>62</v>
      </c>
      <c r="AI292">
        <v>62</v>
      </c>
      <c r="AM292" s="23">
        <f t="shared" si="8"/>
        <v>175.875</v>
      </c>
      <c r="AN292" s="23">
        <v>469</v>
      </c>
      <c r="AO292" s="24">
        <v>0.2</v>
      </c>
      <c r="AP292" s="23">
        <f t="shared" si="9"/>
        <v>562.79999999999995</v>
      </c>
    </row>
    <row r="293" spans="1:42" ht="15" customHeight="1" x14ac:dyDescent="0.3">
      <c r="A293" t="s">
        <v>1975</v>
      </c>
      <c r="B293" t="s">
        <v>2493</v>
      </c>
      <c r="C293" t="s">
        <v>1977</v>
      </c>
      <c r="D293" s="22" t="s">
        <v>2494</v>
      </c>
      <c r="E293" t="s">
        <v>1979</v>
      </c>
      <c r="F293" t="s">
        <v>1980</v>
      </c>
      <c r="P293" t="s">
        <v>1830</v>
      </c>
      <c r="Q293" t="s">
        <v>1981</v>
      </c>
      <c r="R293" t="s">
        <v>2078</v>
      </c>
      <c r="S293" t="s">
        <v>1894</v>
      </c>
      <c r="T293" s="22" t="s">
        <v>1874</v>
      </c>
      <c r="V293">
        <v>1</v>
      </c>
      <c r="AE293" t="s">
        <v>56</v>
      </c>
      <c r="AF293" t="s">
        <v>57</v>
      </c>
      <c r="AH293">
        <v>66</v>
      </c>
      <c r="AI293">
        <v>66</v>
      </c>
      <c r="AM293" s="23">
        <f t="shared" si="8"/>
        <v>185.625</v>
      </c>
      <c r="AN293" s="23">
        <v>495</v>
      </c>
      <c r="AO293" s="24">
        <v>0.2</v>
      </c>
      <c r="AP293" s="23">
        <f t="shared" si="9"/>
        <v>594</v>
      </c>
    </row>
    <row r="294" spans="1:42" ht="15" customHeight="1" x14ac:dyDescent="0.3">
      <c r="A294" t="s">
        <v>1975</v>
      </c>
      <c r="B294" t="s">
        <v>2495</v>
      </c>
      <c r="C294" t="s">
        <v>1977</v>
      </c>
      <c r="D294" s="22" t="s">
        <v>2496</v>
      </c>
      <c r="E294" t="s">
        <v>1979</v>
      </c>
      <c r="F294" t="s">
        <v>1980</v>
      </c>
      <c r="P294" t="s">
        <v>1830</v>
      </c>
      <c r="Q294" t="s">
        <v>1981</v>
      </c>
      <c r="R294" t="s">
        <v>2081</v>
      </c>
      <c r="S294" t="s">
        <v>1894</v>
      </c>
      <c r="T294" s="22" t="s">
        <v>1874</v>
      </c>
      <c r="V294">
        <v>1</v>
      </c>
      <c r="AE294" t="s">
        <v>56</v>
      </c>
      <c r="AF294" t="s">
        <v>57</v>
      </c>
      <c r="AH294">
        <v>70</v>
      </c>
      <c r="AI294">
        <v>70</v>
      </c>
      <c r="AM294" s="23">
        <f t="shared" si="8"/>
        <v>198</v>
      </c>
      <c r="AN294" s="23">
        <v>528</v>
      </c>
      <c r="AO294" s="24">
        <v>0.2</v>
      </c>
      <c r="AP294" s="23">
        <f t="shared" si="9"/>
        <v>633.6</v>
      </c>
    </row>
    <row r="295" spans="1:42" ht="15" customHeight="1" x14ac:dyDescent="0.3">
      <c r="A295" t="s">
        <v>1975</v>
      </c>
      <c r="B295" t="s">
        <v>2497</v>
      </c>
      <c r="C295" t="s">
        <v>1977</v>
      </c>
      <c r="D295" s="22" t="s">
        <v>2498</v>
      </c>
      <c r="E295" t="s">
        <v>1979</v>
      </c>
      <c r="F295" t="s">
        <v>1980</v>
      </c>
      <c r="P295" t="s">
        <v>1830</v>
      </c>
      <c r="Q295" t="s">
        <v>1981</v>
      </c>
      <c r="R295" t="s">
        <v>2084</v>
      </c>
      <c r="S295" t="s">
        <v>1894</v>
      </c>
      <c r="T295" s="22" t="s">
        <v>1874</v>
      </c>
      <c r="V295">
        <v>1</v>
      </c>
      <c r="AE295" t="s">
        <v>56</v>
      </c>
      <c r="AF295" t="s">
        <v>57</v>
      </c>
      <c r="AH295">
        <v>73</v>
      </c>
      <c r="AI295">
        <v>73</v>
      </c>
      <c r="AM295" s="23">
        <f t="shared" si="8"/>
        <v>219.375</v>
      </c>
      <c r="AN295" s="23">
        <v>585</v>
      </c>
      <c r="AO295" s="24">
        <v>0.2</v>
      </c>
      <c r="AP295" s="23">
        <f t="shared" si="9"/>
        <v>702</v>
      </c>
    </row>
    <row r="296" spans="1:42" ht="15" customHeight="1" x14ac:dyDescent="0.3">
      <c r="A296" t="s">
        <v>1975</v>
      </c>
      <c r="B296" t="s">
        <v>2499</v>
      </c>
      <c r="C296" t="s">
        <v>1977</v>
      </c>
      <c r="D296" s="22" t="s">
        <v>2500</v>
      </c>
      <c r="E296" t="s">
        <v>1979</v>
      </c>
      <c r="F296" t="s">
        <v>1980</v>
      </c>
      <c r="P296" t="s">
        <v>1830</v>
      </c>
      <c r="Q296" t="s">
        <v>1981</v>
      </c>
      <c r="R296" t="s">
        <v>2087</v>
      </c>
      <c r="S296" t="s">
        <v>1894</v>
      </c>
      <c r="T296" s="22" t="s">
        <v>1874</v>
      </c>
      <c r="V296">
        <v>1</v>
      </c>
      <c r="AE296" t="s">
        <v>56</v>
      </c>
      <c r="AF296" t="s">
        <v>57</v>
      </c>
      <c r="AH296">
        <v>77</v>
      </c>
      <c r="AI296">
        <v>77</v>
      </c>
      <c r="AM296" s="23">
        <f t="shared" si="8"/>
        <v>223.125</v>
      </c>
      <c r="AN296" s="23">
        <v>595</v>
      </c>
      <c r="AO296" s="24">
        <v>0.2</v>
      </c>
      <c r="AP296" s="23">
        <f t="shared" si="9"/>
        <v>714</v>
      </c>
    </row>
    <row r="297" spans="1:42" ht="15" customHeight="1" x14ac:dyDescent="0.3">
      <c r="A297" t="s">
        <v>1975</v>
      </c>
      <c r="B297" t="s">
        <v>2501</v>
      </c>
      <c r="C297" t="s">
        <v>1977</v>
      </c>
      <c r="D297" s="22" t="s">
        <v>2502</v>
      </c>
      <c r="E297" t="s">
        <v>1979</v>
      </c>
      <c r="F297" t="s">
        <v>1980</v>
      </c>
      <c r="P297" t="s">
        <v>1830</v>
      </c>
      <c r="Q297" t="s">
        <v>1981</v>
      </c>
      <c r="R297" t="s">
        <v>242</v>
      </c>
      <c r="S297" t="s">
        <v>1894</v>
      </c>
      <c r="T297" s="22" t="s">
        <v>1874</v>
      </c>
      <c r="V297">
        <v>1</v>
      </c>
      <c r="AE297" t="s">
        <v>56</v>
      </c>
      <c r="AF297" t="s">
        <v>57</v>
      </c>
      <c r="AH297">
        <v>31</v>
      </c>
      <c r="AI297">
        <v>31</v>
      </c>
      <c r="AM297" s="23">
        <f t="shared" si="8"/>
        <v>103.125</v>
      </c>
      <c r="AN297" s="23">
        <v>275</v>
      </c>
      <c r="AO297" s="24">
        <v>0.2</v>
      </c>
      <c r="AP297" s="23">
        <f t="shared" si="9"/>
        <v>330</v>
      </c>
    </row>
    <row r="298" spans="1:42" ht="15" customHeight="1" x14ac:dyDescent="0.3">
      <c r="A298" t="s">
        <v>1975</v>
      </c>
      <c r="B298" t="s">
        <v>2503</v>
      </c>
      <c r="C298" t="s">
        <v>1977</v>
      </c>
      <c r="D298" s="22" t="s">
        <v>2504</v>
      </c>
      <c r="E298" t="s">
        <v>1979</v>
      </c>
      <c r="F298" t="s">
        <v>1980</v>
      </c>
      <c r="P298" t="s">
        <v>1830</v>
      </c>
      <c r="Q298" t="s">
        <v>1981</v>
      </c>
      <c r="R298" t="s">
        <v>2092</v>
      </c>
      <c r="S298" t="s">
        <v>1894</v>
      </c>
      <c r="T298" s="22" t="s">
        <v>1874</v>
      </c>
      <c r="V298">
        <v>1</v>
      </c>
      <c r="AE298" t="s">
        <v>56</v>
      </c>
      <c r="AF298" t="s">
        <v>57</v>
      </c>
      <c r="AH298">
        <v>35</v>
      </c>
      <c r="AI298">
        <v>35</v>
      </c>
      <c r="AM298" s="23">
        <f t="shared" si="8"/>
        <v>110.625</v>
      </c>
      <c r="AN298" s="23">
        <v>295</v>
      </c>
      <c r="AO298" s="24">
        <v>0.2</v>
      </c>
      <c r="AP298" s="23">
        <f t="shared" si="9"/>
        <v>354</v>
      </c>
    </row>
    <row r="299" spans="1:42" ht="15" customHeight="1" x14ac:dyDescent="0.3">
      <c r="A299" t="s">
        <v>1975</v>
      </c>
      <c r="B299" t="s">
        <v>2505</v>
      </c>
      <c r="C299" t="s">
        <v>1977</v>
      </c>
      <c r="D299" s="22" t="s">
        <v>2506</v>
      </c>
      <c r="E299" t="s">
        <v>1979</v>
      </c>
      <c r="F299" t="s">
        <v>1980</v>
      </c>
      <c r="P299" t="s">
        <v>1830</v>
      </c>
      <c r="Q299" t="s">
        <v>1981</v>
      </c>
      <c r="R299" t="s">
        <v>2095</v>
      </c>
      <c r="S299" t="s">
        <v>1894</v>
      </c>
      <c r="T299" s="22" t="s">
        <v>1874</v>
      </c>
      <c r="V299">
        <v>1</v>
      </c>
      <c r="AE299" t="s">
        <v>56</v>
      </c>
      <c r="AF299" t="s">
        <v>57</v>
      </c>
      <c r="AH299">
        <v>44</v>
      </c>
      <c r="AI299">
        <v>44</v>
      </c>
      <c r="AM299" s="23">
        <f t="shared" si="8"/>
        <v>126.75</v>
      </c>
      <c r="AN299" s="23">
        <v>338</v>
      </c>
      <c r="AO299" s="24">
        <v>0.2</v>
      </c>
      <c r="AP299" s="23">
        <f t="shared" si="9"/>
        <v>405.59999999999997</v>
      </c>
    </row>
    <row r="300" spans="1:42" ht="15" customHeight="1" x14ac:dyDescent="0.3">
      <c r="A300" t="s">
        <v>1975</v>
      </c>
      <c r="B300" t="s">
        <v>2507</v>
      </c>
      <c r="C300" t="s">
        <v>1977</v>
      </c>
      <c r="D300" s="22" t="s">
        <v>2508</v>
      </c>
      <c r="E300" t="s">
        <v>1979</v>
      </c>
      <c r="F300" t="s">
        <v>1980</v>
      </c>
      <c r="P300" t="s">
        <v>1830</v>
      </c>
      <c r="Q300" t="s">
        <v>1981</v>
      </c>
      <c r="R300" t="s">
        <v>2098</v>
      </c>
      <c r="S300" t="s">
        <v>1894</v>
      </c>
      <c r="T300" s="22" t="s">
        <v>1874</v>
      </c>
      <c r="V300">
        <v>1</v>
      </c>
      <c r="AE300" t="s">
        <v>56</v>
      </c>
      <c r="AF300" t="s">
        <v>57</v>
      </c>
      <c r="AH300">
        <v>48</v>
      </c>
      <c r="AI300">
        <v>48</v>
      </c>
      <c r="AM300" s="23">
        <f t="shared" si="8"/>
        <v>148.125</v>
      </c>
      <c r="AN300" s="23">
        <v>395</v>
      </c>
      <c r="AO300" s="24">
        <v>0.2</v>
      </c>
      <c r="AP300" s="23">
        <f t="shared" si="9"/>
        <v>474</v>
      </c>
    </row>
    <row r="301" spans="1:42" ht="15" customHeight="1" x14ac:dyDescent="0.3">
      <c r="A301" t="s">
        <v>1975</v>
      </c>
      <c r="B301" t="s">
        <v>2509</v>
      </c>
      <c r="C301" t="s">
        <v>1977</v>
      </c>
      <c r="D301" s="22" t="s">
        <v>2510</v>
      </c>
      <c r="E301" t="s">
        <v>1979</v>
      </c>
      <c r="F301" t="s">
        <v>1980</v>
      </c>
      <c r="P301" t="s">
        <v>1830</v>
      </c>
      <c r="Q301" t="s">
        <v>1981</v>
      </c>
      <c r="R301" t="s">
        <v>2101</v>
      </c>
      <c r="S301" t="s">
        <v>1894</v>
      </c>
      <c r="T301" s="22" t="s">
        <v>1874</v>
      </c>
      <c r="V301">
        <v>1</v>
      </c>
      <c r="AE301" t="s">
        <v>56</v>
      </c>
      <c r="AF301" t="s">
        <v>57</v>
      </c>
      <c r="AH301">
        <v>52</v>
      </c>
      <c r="AI301">
        <v>52</v>
      </c>
      <c r="AM301" s="23">
        <f t="shared" si="8"/>
        <v>153</v>
      </c>
      <c r="AN301" s="23">
        <v>408</v>
      </c>
      <c r="AO301" s="24">
        <v>0.2</v>
      </c>
      <c r="AP301" s="23">
        <f t="shared" si="9"/>
        <v>489.59999999999997</v>
      </c>
    </row>
    <row r="302" spans="1:42" ht="15" customHeight="1" x14ac:dyDescent="0.3">
      <c r="A302" t="s">
        <v>1975</v>
      </c>
      <c r="B302" t="s">
        <v>2511</v>
      </c>
      <c r="C302" t="s">
        <v>1977</v>
      </c>
      <c r="D302" s="22" t="s">
        <v>2512</v>
      </c>
      <c r="E302" t="s">
        <v>1979</v>
      </c>
      <c r="F302" t="s">
        <v>1980</v>
      </c>
      <c r="P302" t="s">
        <v>1830</v>
      </c>
      <c r="Q302" t="s">
        <v>1981</v>
      </c>
      <c r="R302" t="s">
        <v>2104</v>
      </c>
      <c r="S302" t="s">
        <v>1894</v>
      </c>
      <c r="T302" s="22" t="s">
        <v>1874</v>
      </c>
      <c r="V302">
        <v>1</v>
      </c>
      <c r="AE302" t="s">
        <v>56</v>
      </c>
      <c r="AF302" t="s">
        <v>57</v>
      </c>
      <c r="AH302">
        <v>57</v>
      </c>
      <c r="AI302">
        <v>57</v>
      </c>
      <c r="AM302" s="23">
        <f t="shared" si="8"/>
        <v>168</v>
      </c>
      <c r="AN302" s="23">
        <v>448</v>
      </c>
      <c r="AO302" s="24">
        <v>0.2</v>
      </c>
      <c r="AP302" s="23">
        <f t="shared" si="9"/>
        <v>537.6</v>
      </c>
    </row>
    <row r="303" spans="1:42" ht="15" customHeight="1" x14ac:dyDescent="0.3">
      <c r="A303" t="s">
        <v>1975</v>
      </c>
      <c r="B303" t="s">
        <v>2513</v>
      </c>
      <c r="C303" t="s">
        <v>1977</v>
      </c>
      <c r="D303" s="22" t="s">
        <v>2514</v>
      </c>
      <c r="E303" t="s">
        <v>1979</v>
      </c>
      <c r="F303" t="s">
        <v>1980</v>
      </c>
      <c r="P303" t="s">
        <v>1830</v>
      </c>
      <c r="Q303" t="s">
        <v>1981</v>
      </c>
      <c r="R303" t="s">
        <v>2107</v>
      </c>
      <c r="S303" t="s">
        <v>1894</v>
      </c>
      <c r="T303" s="22" t="s">
        <v>1874</v>
      </c>
      <c r="V303">
        <v>1</v>
      </c>
      <c r="AE303" t="s">
        <v>56</v>
      </c>
      <c r="AF303" t="s">
        <v>57</v>
      </c>
      <c r="AH303">
        <v>61</v>
      </c>
      <c r="AI303">
        <v>61</v>
      </c>
      <c r="AM303" s="23">
        <f t="shared" si="8"/>
        <v>173.625</v>
      </c>
      <c r="AN303" s="23">
        <v>463</v>
      </c>
      <c r="AO303" s="24">
        <v>0.2</v>
      </c>
      <c r="AP303" s="23">
        <f t="shared" si="9"/>
        <v>555.6</v>
      </c>
    </row>
    <row r="304" spans="1:42" ht="15" customHeight="1" x14ac:dyDescent="0.3">
      <c r="A304" t="s">
        <v>1975</v>
      </c>
      <c r="B304" t="s">
        <v>2515</v>
      </c>
      <c r="C304" t="s">
        <v>1977</v>
      </c>
      <c r="D304" s="22" t="s">
        <v>2516</v>
      </c>
      <c r="E304" t="s">
        <v>1979</v>
      </c>
      <c r="F304" t="s">
        <v>1980</v>
      </c>
      <c r="P304" t="s">
        <v>1830</v>
      </c>
      <c r="Q304" t="s">
        <v>1981</v>
      </c>
      <c r="R304" t="s">
        <v>2110</v>
      </c>
      <c r="S304" t="s">
        <v>1894</v>
      </c>
      <c r="T304" s="22" t="s">
        <v>1874</v>
      </c>
      <c r="V304">
        <v>1</v>
      </c>
      <c r="AE304" t="s">
        <v>56</v>
      </c>
      <c r="AF304" t="s">
        <v>57</v>
      </c>
      <c r="AH304">
        <v>65</v>
      </c>
      <c r="AI304">
        <v>65</v>
      </c>
      <c r="AM304" s="23">
        <f t="shared" si="8"/>
        <v>184.125</v>
      </c>
      <c r="AN304" s="23">
        <v>491</v>
      </c>
      <c r="AO304" s="24">
        <v>0.2</v>
      </c>
      <c r="AP304" s="23">
        <f t="shared" si="9"/>
        <v>589.19999999999993</v>
      </c>
    </row>
    <row r="305" spans="1:42" ht="15" customHeight="1" x14ac:dyDescent="0.3">
      <c r="A305" t="s">
        <v>1975</v>
      </c>
      <c r="B305" t="s">
        <v>2517</v>
      </c>
      <c r="C305" t="s">
        <v>1977</v>
      </c>
      <c r="D305" s="22" t="s">
        <v>2518</v>
      </c>
      <c r="E305" t="s">
        <v>1979</v>
      </c>
      <c r="F305" t="s">
        <v>1980</v>
      </c>
      <c r="P305" t="s">
        <v>1830</v>
      </c>
      <c r="Q305" t="s">
        <v>1981</v>
      </c>
      <c r="R305" t="s">
        <v>2113</v>
      </c>
      <c r="S305" t="s">
        <v>1894</v>
      </c>
      <c r="T305" s="22" t="s">
        <v>1874</v>
      </c>
      <c r="V305">
        <v>1</v>
      </c>
      <c r="AE305" t="s">
        <v>56</v>
      </c>
      <c r="AF305" t="s">
        <v>57</v>
      </c>
      <c r="AH305">
        <v>70</v>
      </c>
      <c r="AI305">
        <v>70</v>
      </c>
      <c r="AM305" s="23">
        <f t="shared" si="8"/>
        <v>194.625</v>
      </c>
      <c r="AN305" s="23">
        <v>519</v>
      </c>
      <c r="AO305" s="24">
        <v>0.2</v>
      </c>
      <c r="AP305" s="23">
        <f t="shared" si="9"/>
        <v>622.79999999999995</v>
      </c>
    </row>
    <row r="306" spans="1:42" ht="15" customHeight="1" x14ac:dyDescent="0.3">
      <c r="A306" t="s">
        <v>1975</v>
      </c>
      <c r="B306" t="s">
        <v>2519</v>
      </c>
      <c r="C306" t="s">
        <v>1977</v>
      </c>
      <c r="D306" s="22" t="s">
        <v>2520</v>
      </c>
      <c r="E306" t="s">
        <v>1979</v>
      </c>
      <c r="F306" t="s">
        <v>1980</v>
      </c>
      <c r="P306" t="s">
        <v>1830</v>
      </c>
      <c r="Q306" t="s">
        <v>1981</v>
      </c>
      <c r="R306" t="s">
        <v>2116</v>
      </c>
      <c r="S306" t="s">
        <v>1894</v>
      </c>
      <c r="T306" s="22" t="s">
        <v>1874</v>
      </c>
      <c r="V306">
        <v>1</v>
      </c>
      <c r="AE306" t="s">
        <v>56</v>
      </c>
      <c r="AF306" t="s">
        <v>57</v>
      </c>
      <c r="AH306">
        <v>74</v>
      </c>
      <c r="AI306">
        <v>74</v>
      </c>
      <c r="AM306" s="23">
        <f t="shared" si="8"/>
        <v>205.5</v>
      </c>
      <c r="AN306" s="23">
        <v>548</v>
      </c>
      <c r="AO306" s="24">
        <v>0.2</v>
      </c>
      <c r="AP306" s="23">
        <f t="shared" si="9"/>
        <v>657.6</v>
      </c>
    </row>
    <row r="307" spans="1:42" ht="15" customHeight="1" x14ac:dyDescent="0.3">
      <c r="A307" t="s">
        <v>1975</v>
      </c>
      <c r="B307" t="s">
        <v>2521</v>
      </c>
      <c r="C307" t="s">
        <v>1977</v>
      </c>
      <c r="D307" s="22" t="s">
        <v>2522</v>
      </c>
      <c r="E307" t="s">
        <v>1979</v>
      </c>
      <c r="F307" t="s">
        <v>1980</v>
      </c>
      <c r="P307" t="s">
        <v>1830</v>
      </c>
      <c r="Q307" t="s">
        <v>1981</v>
      </c>
      <c r="R307" t="s">
        <v>2119</v>
      </c>
      <c r="S307" t="s">
        <v>1894</v>
      </c>
      <c r="T307" s="22" t="s">
        <v>1874</v>
      </c>
      <c r="V307">
        <v>1</v>
      </c>
      <c r="AE307" t="s">
        <v>56</v>
      </c>
      <c r="AF307" t="s">
        <v>57</v>
      </c>
      <c r="AH307">
        <v>78</v>
      </c>
      <c r="AI307">
        <v>78</v>
      </c>
      <c r="AM307" s="23">
        <f t="shared" si="8"/>
        <v>219.375</v>
      </c>
      <c r="AN307" s="23">
        <v>585</v>
      </c>
      <c r="AO307" s="24">
        <v>0.2</v>
      </c>
      <c r="AP307" s="23">
        <f t="shared" si="9"/>
        <v>702</v>
      </c>
    </row>
    <row r="308" spans="1:42" ht="15" customHeight="1" x14ac:dyDescent="0.3">
      <c r="A308" t="s">
        <v>1975</v>
      </c>
      <c r="B308" t="s">
        <v>2523</v>
      </c>
      <c r="C308" t="s">
        <v>1977</v>
      </c>
      <c r="D308" s="22" t="s">
        <v>2524</v>
      </c>
      <c r="E308" t="s">
        <v>1979</v>
      </c>
      <c r="F308" t="s">
        <v>1980</v>
      </c>
      <c r="P308" t="s">
        <v>1830</v>
      </c>
      <c r="Q308" t="s">
        <v>1981</v>
      </c>
      <c r="R308" t="s">
        <v>2122</v>
      </c>
      <c r="S308" t="s">
        <v>1894</v>
      </c>
      <c r="T308" s="22" t="s">
        <v>1874</v>
      </c>
      <c r="V308">
        <v>1</v>
      </c>
      <c r="AE308" t="s">
        <v>56</v>
      </c>
      <c r="AF308" t="s">
        <v>57</v>
      </c>
      <c r="AH308">
        <v>83</v>
      </c>
      <c r="AI308">
        <v>83</v>
      </c>
      <c r="AM308" s="23">
        <f t="shared" si="8"/>
        <v>236.25</v>
      </c>
      <c r="AN308" s="23">
        <v>630</v>
      </c>
      <c r="AO308" s="24">
        <v>0.2</v>
      </c>
      <c r="AP308" s="23">
        <f t="shared" si="9"/>
        <v>756</v>
      </c>
    </row>
    <row r="309" spans="1:42" ht="15" customHeight="1" x14ac:dyDescent="0.3">
      <c r="A309" t="s">
        <v>1975</v>
      </c>
      <c r="B309" t="s">
        <v>2525</v>
      </c>
      <c r="C309" t="s">
        <v>1977</v>
      </c>
      <c r="D309" s="22" t="s">
        <v>2526</v>
      </c>
      <c r="E309" t="s">
        <v>1979</v>
      </c>
      <c r="F309" t="s">
        <v>1980</v>
      </c>
      <c r="P309" t="s">
        <v>1830</v>
      </c>
      <c r="Q309" t="s">
        <v>1981</v>
      </c>
      <c r="R309" t="s">
        <v>2125</v>
      </c>
      <c r="S309" t="s">
        <v>1894</v>
      </c>
      <c r="T309" s="22" t="s">
        <v>1874</v>
      </c>
      <c r="V309">
        <v>1</v>
      </c>
      <c r="AE309" t="s">
        <v>56</v>
      </c>
      <c r="AF309" t="s">
        <v>57</v>
      </c>
      <c r="AH309">
        <v>87</v>
      </c>
      <c r="AI309">
        <v>87</v>
      </c>
      <c r="AM309" s="23">
        <f t="shared" si="8"/>
        <v>241.125</v>
      </c>
      <c r="AN309" s="23">
        <v>643</v>
      </c>
      <c r="AO309" s="24">
        <v>0.2</v>
      </c>
      <c r="AP309" s="23">
        <f t="shared" si="9"/>
        <v>771.6</v>
      </c>
    </row>
    <row r="310" spans="1:42" ht="15" customHeight="1" x14ac:dyDescent="0.3">
      <c r="A310" t="s">
        <v>1975</v>
      </c>
      <c r="B310" t="s">
        <v>2527</v>
      </c>
      <c r="C310" t="s">
        <v>1977</v>
      </c>
      <c r="D310" s="22" t="s">
        <v>2528</v>
      </c>
      <c r="E310" t="s">
        <v>1979</v>
      </c>
      <c r="F310" t="s">
        <v>1980</v>
      </c>
      <c r="P310" t="s">
        <v>1830</v>
      </c>
      <c r="Q310" t="s">
        <v>1981</v>
      </c>
      <c r="R310" t="s">
        <v>2128</v>
      </c>
      <c r="S310" t="s">
        <v>1894</v>
      </c>
      <c r="T310" s="22" t="s">
        <v>1874</v>
      </c>
      <c r="V310">
        <v>1</v>
      </c>
      <c r="AE310" t="s">
        <v>56</v>
      </c>
      <c r="AF310" t="s">
        <v>57</v>
      </c>
      <c r="AH310">
        <v>39</v>
      </c>
      <c r="AI310">
        <v>39</v>
      </c>
      <c r="AM310" s="23">
        <f t="shared" si="8"/>
        <v>114.375</v>
      </c>
      <c r="AN310" s="23">
        <v>305</v>
      </c>
      <c r="AO310" s="24">
        <v>0.2</v>
      </c>
      <c r="AP310" s="23">
        <f t="shared" si="9"/>
        <v>366</v>
      </c>
    </row>
    <row r="311" spans="1:42" ht="15" customHeight="1" x14ac:dyDescent="0.3">
      <c r="A311" t="s">
        <v>1975</v>
      </c>
      <c r="B311" t="s">
        <v>2529</v>
      </c>
      <c r="C311" t="s">
        <v>1977</v>
      </c>
      <c r="D311" s="22" t="s">
        <v>2530</v>
      </c>
      <c r="E311" t="s">
        <v>1979</v>
      </c>
      <c r="F311" t="s">
        <v>1980</v>
      </c>
      <c r="P311" t="s">
        <v>1830</v>
      </c>
      <c r="Q311" t="s">
        <v>1981</v>
      </c>
      <c r="R311" t="s">
        <v>1982</v>
      </c>
      <c r="S311" t="s">
        <v>1894</v>
      </c>
      <c r="T311" s="22" t="s">
        <v>279</v>
      </c>
      <c r="V311">
        <v>1</v>
      </c>
      <c r="AE311" t="s">
        <v>56</v>
      </c>
      <c r="AF311" t="s">
        <v>57</v>
      </c>
      <c r="AH311">
        <v>48</v>
      </c>
      <c r="AI311">
        <v>48</v>
      </c>
      <c r="AM311" s="23">
        <f t="shared" si="8"/>
        <v>137.625</v>
      </c>
      <c r="AN311" s="23">
        <v>367</v>
      </c>
      <c r="AO311" s="24">
        <v>0.2</v>
      </c>
      <c r="AP311" s="23">
        <f t="shared" si="9"/>
        <v>440.4</v>
      </c>
    </row>
    <row r="312" spans="1:42" ht="15" customHeight="1" x14ac:dyDescent="0.3">
      <c r="A312" t="s">
        <v>1975</v>
      </c>
      <c r="B312" t="s">
        <v>2531</v>
      </c>
      <c r="C312" t="s">
        <v>1977</v>
      </c>
      <c r="D312" s="22" t="s">
        <v>2532</v>
      </c>
      <c r="E312" t="s">
        <v>1979</v>
      </c>
      <c r="F312" t="s">
        <v>1980</v>
      </c>
      <c r="P312" t="s">
        <v>1830</v>
      </c>
      <c r="Q312" t="s">
        <v>1981</v>
      </c>
      <c r="R312" t="s">
        <v>1985</v>
      </c>
      <c r="S312" t="s">
        <v>1894</v>
      </c>
      <c r="T312" s="22" t="s">
        <v>279</v>
      </c>
      <c r="V312">
        <v>1</v>
      </c>
      <c r="AE312" t="s">
        <v>56</v>
      </c>
      <c r="AF312" t="s">
        <v>57</v>
      </c>
      <c r="AH312">
        <v>53</v>
      </c>
      <c r="AI312">
        <v>53</v>
      </c>
      <c r="AM312" s="23">
        <f t="shared" si="8"/>
        <v>149.25</v>
      </c>
      <c r="AN312" s="23">
        <v>398</v>
      </c>
      <c r="AO312" s="24">
        <v>0.2</v>
      </c>
      <c r="AP312" s="23">
        <f t="shared" si="9"/>
        <v>477.59999999999997</v>
      </c>
    </row>
    <row r="313" spans="1:42" ht="15" customHeight="1" x14ac:dyDescent="0.3">
      <c r="A313" t="s">
        <v>1975</v>
      </c>
      <c r="B313" t="s">
        <v>2533</v>
      </c>
      <c r="C313" t="s">
        <v>1977</v>
      </c>
      <c r="D313" s="22" t="s">
        <v>2534</v>
      </c>
      <c r="E313" t="s">
        <v>1979</v>
      </c>
      <c r="F313" t="s">
        <v>1980</v>
      </c>
      <c r="P313" t="s">
        <v>1830</v>
      </c>
      <c r="Q313" t="s">
        <v>1981</v>
      </c>
      <c r="R313" t="s">
        <v>1988</v>
      </c>
      <c r="S313" t="s">
        <v>1894</v>
      </c>
      <c r="T313" s="22" t="s">
        <v>279</v>
      </c>
      <c r="V313">
        <v>1</v>
      </c>
      <c r="AE313" t="s">
        <v>56</v>
      </c>
      <c r="AF313" t="s">
        <v>57</v>
      </c>
      <c r="AH313">
        <v>58</v>
      </c>
      <c r="AI313">
        <v>58</v>
      </c>
      <c r="AM313" s="23">
        <f t="shared" si="8"/>
        <v>164.25</v>
      </c>
      <c r="AN313" s="23">
        <v>438</v>
      </c>
      <c r="AO313" s="24">
        <v>0.2</v>
      </c>
      <c r="AP313" s="23">
        <f t="shared" si="9"/>
        <v>525.6</v>
      </c>
    </row>
    <row r="314" spans="1:42" ht="15" customHeight="1" x14ac:dyDescent="0.3">
      <c r="A314" t="s">
        <v>1975</v>
      </c>
      <c r="B314" t="s">
        <v>2535</v>
      </c>
      <c r="C314" t="s">
        <v>1977</v>
      </c>
      <c r="D314" s="22" t="s">
        <v>2536</v>
      </c>
      <c r="E314" t="s">
        <v>1979</v>
      </c>
      <c r="F314" t="s">
        <v>1980</v>
      </c>
      <c r="P314" t="s">
        <v>1830</v>
      </c>
      <c r="Q314" t="s">
        <v>1981</v>
      </c>
      <c r="R314" t="s">
        <v>1991</v>
      </c>
      <c r="S314" t="s">
        <v>1894</v>
      </c>
      <c r="T314" s="22" t="s">
        <v>279</v>
      </c>
      <c r="V314">
        <v>1</v>
      </c>
      <c r="AE314" t="s">
        <v>56</v>
      </c>
      <c r="AF314" t="s">
        <v>57</v>
      </c>
      <c r="AH314">
        <v>63</v>
      </c>
      <c r="AI314">
        <v>63</v>
      </c>
      <c r="AM314" s="23">
        <f t="shared" si="8"/>
        <v>175.875</v>
      </c>
      <c r="AN314" s="23">
        <v>469</v>
      </c>
      <c r="AO314" s="24">
        <v>0.2</v>
      </c>
      <c r="AP314" s="23">
        <f t="shared" si="9"/>
        <v>562.79999999999995</v>
      </c>
    </row>
    <row r="315" spans="1:42" ht="15" customHeight="1" x14ac:dyDescent="0.3">
      <c r="A315" t="s">
        <v>1975</v>
      </c>
      <c r="B315" t="s">
        <v>2537</v>
      </c>
      <c r="C315" t="s">
        <v>1977</v>
      </c>
      <c r="D315" s="22" t="s">
        <v>2538</v>
      </c>
      <c r="E315" t="s">
        <v>1979</v>
      </c>
      <c r="F315" t="s">
        <v>1980</v>
      </c>
      <c r="P315" t="s">
        <v>1830</v>
      </c>
      <c r="Q315" t="s">
        <v>1981</v>
      </c>
      <c r="R315" t="s">
        <v>1994</v>
      </c>
      <c r="S315" t="s">
        <v>1894</v>
      </c>
      <c r="T315" s="22" t="s">
        <v>279</v>
      </c>
      <c r="V315">
        <v>1</v>
      </c>
      <c r="AE315" t="s">
        <v>56</v>
      </c>
      <c r="AF315" t="s">
        <v>57</v>
      </c>
      <c r="AH315">
        <v>68</v>
      </c>
      <c r="AI315">
        <v>68</v>
      </c>
      <c r="AM315" s="23">
        <f t="shared" si="8"/>
        <v>190.5</v>
      </c>
      <c r="AN315" s="23">
        <v>508</v>
      </c>
      <c r="AO315" s="24">
        <v>0.2</v>
      </c>
      <c r="AP315" s="23">
        <f t="shared" si="9"/>
        <v>609.6</v>
      </c>
    </row>
    <row r="316" spans="1:42" ht="15" customHeight="1" x14ac:dyDescent="0.3">
      <c r="A316" t="s">
        <v>1975</v>
      </c>
      <c r="B316" t="s">
        <v>2539</v>
      </c>
      <c r="C316" t="s">
        <v>1977</v>
      </c>
      <c r="D316" s="22" t="s">
        <v>2540</v>
      </c>
      <c r="E316" t="s">
        <v>1979</v>
      </c>
      <c r="F316" t="s">
        <v>1980</v>
      </c>
      <c r="P316" t="s">
        <v>1830</v>
      </c>
      <c r="Q316" t="s">
        <v>1981</v>
      </c>
      <c r="R316" t="s">
        <v>1997</v>
      </c>
      <c r="S316" t="s">
        <v>1894</v>
      </c>
      <c r="T316" s="22" t="s">
        <v>279</v>
      </c>
      <c r="V316">
        <v>1</v>
      </c>
      <c r="AE316" t="s">
        <v>56</v>
      </c>
      <c r="AF316" t="s">
        <v>57</v>
      </c>
      <c r="AH316">
        <v>72</v>
      </c>
      <c r="AI316">
        <v>72</v>
      </c>
      <c r="AM316" s="23">
        <f t="shared" si="8"/>
        <v>202.875</v>
      </c>
      <c r="AN316" s="23">
        <v>541</v>
      </c>
      <c r="AO316" s="24">
        <v>0.2</v>
      </c>
      <c r="AP316" s="23">
        <f t="shared" si="9"/>
        <v>649.19999999999993</v>
      </c>
    </row>
    <row r="317" spans="1:42" ht="15" customHeight="1" x14ac:dyDescent="0.3">
      <c r="A317" t="s">
        <v>1975</v>
      </c>
      <c r="B317" t="s">
        <v>2541</v>
      </c>
      <c r="C317" t="s">
        <v>1977</v>
      </c>
      <c r="D317" s="22" t="s">
        <v>2542</v>
      </c>
      <c r="E317" t="s">
        <v>1979</v>
      </c>
      <c r="F317" t="s">
        <v>1980</v>
      </c>
      <c r="P317" t="s">
        <v>1830</v>
      </c>
      <c r="Q317" t="s">
        <v>1981</v>
      </c>
      <c r="R317" t="s">
        <v>2000</v>
      </c>
      <c r="S317" t="s">
        <v>1894</v>
      </c>
      <c r="T317" s="22" t="s">
        <v>279</v>
      </c>
      <c r="V317">
        <v>1</v>
      </c>
      <c r="AE317" t="s">
        <v>56</v>
      </c>
      <c r="AF317" t="s">
        <v>57</v>
      </c>
      <c r="AH317">
        <v>77</v>
      </c>
      <c r="AI317">
        <v>77</v>
      </c>
      <c r="AM317" s="23">
        <f t="shared" si="8"/>
        <v>215.25</v>
      </c>
      <c r="AN317" s="23">
        <v>574</v>
      </c>
      <c r="AO317" s="24">
        <v>0.2</v>
      </c>
      <c r="AP317" s="23">
        <f t="shared" si="9"/>
        <v>688.8</v>
      </c>
    </row>
    <row r="318" spans="1:42" ht="15" customHeight="1" x14ac:dyDescent="0.3">
      <c r="A318" t="s">
        <v>1975</v>
      </c>
      <c r="B318" t="s">
        <v>2543</v>
      </c>
      <c r="C318" t="s">
        <v>1977</v>
      </c>
      <c r="D318" s="22" t="s">
        <v>2544</v>
      </c>
      <c r="E318" t="s">
        <v>1979</v>
      </c>
      <c r="F318" t="s">
        <v>1980</v>
      </c>
      <c r="P318" t="s">
        <v>1830</v>
      </c>
      <c r="Q318" t="s">
        <v>1981</v>
      </c>
      <c r="R318" t="s">
        <v>2003</v>
      </c>
      <c r="S318" t="s">
        <v>1894</v>
      </c>
      <c r="T318" s="22" t="s">
        <v>279</v>
      </c>
      <c r="V318">
        <v>1</v>
      </c>
      <c r="AE318" t="s">
        <v>56</v>
      </c>
      <c r="AF318" t="s">
        <v>57</v>
      </c>
      <c r="AH318">
        <v>82</v>
      </c>
      <c r="AI318">
        <v>82</v>
      </c>
      <c r="AM318" s="23">
        <f t="shared" si="8"/>
        <v>226.5</v>
      </c>
      <c r="AN318" s="23">
        <v>604</v>
      </c>
      <c r="AO318" s="24">
        <v>0.2</v>
      </c>
      <c r="AP318" s="23">
        <f t="shared" si="9"/>
        <v>724.8</v>
      </c>
    </row>
    <row r="319" spans="1:42" ht="15" customHeight="1" x14ac:dyDescent="0.3">
      <c r="A319" t="s">
        <v>1975</v>
      </c>
      <c r="B319" t="s">
        <v>2545</v>
      </c>
      <c r="C319" t="s">
        <v>1977</v>
      </c>
      <c r="D319" s="22" t="s">
        <v>2546</v>
      </c>
      <c r="E319" t="s">
        <v>1979</v>
      </c>
      <c r="F319" t="s">
        <v>1980</v>
      </c>
      <c r="P319" t="s">
        <v>1830</v>
      </c>
      <c r="Q319" t="s">
        <v>1981</v>
      </c>
      <c r="R319" t="s">
        <v>2006</v>
      </c>
      <c r="S319" t="s">
        <v>1894</v>
      </c>
      <c r="T319" s="22" t="s">
        <v>279</v>
      </c>
      <c r="V319">
        <v>1</v>
      </c>
      <c r="AE319" t="s">
        <v>56</v>
      </c>
      <c r="AF319" t="s">
        <v>57</v>
      </c>
      <c r="AH319">
        <v>87</v>
      </c>
      <c r="AI319">
        <v>87</v>
      </c>
      <c r="AM319" s="23">
        <f t="shared" si="8"/>
        <v>242.25</v>
      </c>
      <c r="AN319" s="23">
        <v>646</v>
      </c>
      <c r="AO319" s="24">
        <v>0.2</v>
      </c>
      <c r="AP319" s="23">
        <f t="shared" si="9"/>
        <v>775.19999999999993</v>
      </c>
    </row>
    <row r="320" spans="1:42" ht="15" customHeight="1" x14ac:dyDescent="0.3">
      <c r="A320" t="s">
        <v>1975</v>
      </c>
      <c r="B320" t="s">
        <v>2547</v>
      </c>
      <c r="C320" t="s">
        <v>1977</v>
      </c>
      <c r="D320" s="22" t="s">
        <v>2548</v>
      </c>
      <c r="E320" t="s">
        <v>1979</v>
      </c>
      <c r="F320" t="s">
        <v>1980</v>
      </c>
      <c r="P320" t="s">
        <v>1830</v>
      </c>
      <c r="Q320" t="s">
        <v>1981</v>
      </c>
      <c r="R320" t="s">
        <v>2009</v>
      </c>
      <c r="S320" t="s">
        <v>1894</v>
      </c>
      <c r="T320" s="22" t="s">
        <v>279</v>
      </c>
      <c r="V320">
        <v>1</v>
      </c>
      <c r="AE320" t="s">
        <v>56</v>
      </c>
      <c r="AF320" t="s">
        <v>57</v>
      </c>
      <c r="AH320">
        <v>92</v>
      </c>
      <c r="AI320">
        <v>92</v>
      </c>
      <c r="AM320" s="23">
        <f t="shared" si="8"/>
        <v>253.875</v>
      </c>
      <c r="AN320" s="23">
        <v>677</v>
      </c>
      <c r="AO320" s="24">
        <v>0.2</v>
      </c>
      <c r="AP320" s="23">
        <f t="shared" si="9"/>
        <v>812.4</v>
      </c>
    </row>
    <row r="321" spans="1:42" ht="15" customHeight="1" x14ac:dyDescent="0.3">
      <c r="A321" t="s">
        <v>1975</v>
      </c>
      <c r="B321" t="s">
        <v>2549</v>
      </c>
      <c r="C321" t="s">
        <v>1977</v>
      </c>
      <c r="D321" s="22" t="s">
        <v>2550</v>
      </c>
      <c r="E321" t="s">
        <v>1979</v>
      </c>
      <c r="F321" t="s">
        <v>1980</v>
      </c>
      <c r="P321" t="s">
        <v>1830</v>
      </c>
      <c r="Q321" t="s">
        <v>1981</v>
      </c>
      <c r="R321" t="s">
        <v>2012</v>
      </c>
      <c r="S321" t="s">
        <v>1894</v>
      </c>
      <c r="T321" s="22" t="s">
        <v>279</v>
      </c>
      <c r="V321">
        <v>1</v>
      </c>
      <c r="AE321" t="s">
        <v>56</v>
      </c>
      <c r="AF321" t="s">
        <v>57</v>
      </c>
      <c r="AH321">
        <v>96</v>
      </c>
      <c r="AI321">
        <v>96</v>
      </c>
      <c r="AM321" s="23">
        <f t="shared" si="8"/>
        <v>266.25</v>
      </c>
      <c r="AN321" s="23">
        <v>710</v>
      </c>
      <c r="AO321" s="24">
        <v>0.2</v>
      </c>
      <c r="AP321" s="23">
        <f t="shared" si="9"/>
        <v>852</v>
      </c>
    </row>
    <row r="322" spans="1:42" ht="15" customHeight="1" x14ac:dyDescent="0.3">
      <c r="A322" t="s">
        <v>1975</v>
      </c>
      <c r="B322" t="s">
        <v>2551</v>
      </c>
      <c r="C322" t="s">
        <v>1977</v>
      </c>
      <c r="D322" s="22" t="s">
        <v>2552</v>
      </c>
      <c r="E322" t="s">
        <v>1979</v>
      </c>
      <c r="F322" t="s">
        <v>1980</v>
      </c>
      <c r="P322" t="s">
        <v>1830</v>
      </c>
      <c r="Q322" t="s">
        <v>1981</v>
      </c>
      <c r="R322" t="s">
        <v>2015</v>
      </c>
      <c r="S322" t="s">
        <v>1894</v>
      </c>
      <c r="T322" s="22" t="s">
        <v>279</v>
      </c>
      <c r="V322">
        <v>1</v>
      </c>
      <c r="AE322" t="s">
        <v>56</v>
      </c>
      <c r="AF322" t="s">
        <v>57</v>
      </c>
      <c r="AH322">
        <v>34</v>
      </c>
      <c r="AI322">
        <v>34</v>
      </c>
      <c r="AM322" s="23">
        <f t="shared" ref="AM322:AM385" si="10">AN322*0.5*0.75</f>
        <v>108</v>
      </c>
      <c r="AN322" s="23">
        <v>288</v>
      </c>
      <c r="AO322" s="24">
        <v>0.2</v>
      </c>
      <c r="AP322" s="23">
        <f t="shared" ref="AP322:AP385" si="11">AN322*1.2</f>
        <v>345.59999999999997</v>
      </c>
    </row>
    <row r="323" spans="1:42" ht="15" customHeight="1" x14ac:dyDescent="0.3">
      <c r="A323" t="s">
        <v>1975</v>
      </c>
      <c r="B323" t="s">
        <v>2553</v>
      </c>
      <c r="C323" t="s">
        <v>1977</v>
      </c>
      <c r="D323" s="22" t="s">
        <v>2554</v>
      </c>
      <c r="E323" t="s">
        <v>1979</v>
      </c>
      <c r="F323" t="s">
        <v>1980</v>
      </c>
      <c r="P323" t="s">
        <v>1830</v>
      </c>
      <c r="Q323" t="s">
        <v>1981</v>
      </c>
      <c r="R323" t="s">
        <v>2018</v>
      </c>
      <c r="S323" t="s">
        <v>1894</v>
      </c>
      <c r="T323" s="22" t="s">
        <v>279</v>
      </c>
      <c r="V323">
        <v>1</v>
      </c>
      <c r="AE323" t="s">
        <v>56</v>
      </c>
      <c r="AF323" t="s">
        <v>57</v>
      </c>
      <c r="AH323">
        <v>37</v>
      </c>
      <c r="AI323">
        <v>37</v>
      </c>
      <c r="AM323" s="23">
        <f t="shared" si="10"/>
        <v>126.75</v>
      </c>
      <c r="AN323" s="23">
        <v>338</v>
      </c>
      <c r="AO323" s="24">
        <v>0.2</v>
      </c>
      <c r="AP323" s="23">
        <f t="shared" si="11"/>
        <v>405.59999999999997</v>
      </c>
    </row>
    <row r="324" spans="1:42" ht="15" customHeight="1" x14ac:dyDescent="0.3">
      <c r="A324" t="s">
        <v>1975</v>
      </c>
      <c r="B324" t="s">
        <v>2555</v>
      </c>
      <c r="C324" t="s">
        <v>1977</v>
      </c>
      <c r="D324" s="22" t="s">
        <v>2556</v>
      </c>
      <c r="E324" t="s">
        <v>1979</v>
      </c>
      <c r="F324" t="s">
        <v>1980</v>
      </c>
      <c r="P324" t="s">
        <v>1830</v>
      </c>
      <c r="Q324" t="s">
        <v>1981</v>
      </c>
      <c r="R324" t="s">
        <v>2021</v>
      </c>
      <c r="S324" t="s">
        <v>1894</v>
      </c>
      <c r="T324" s="22" t="s">
        <v>279</v>
      </c>
      <c r="V324">
        <v>1</v>
      </c>
      <c r="AE324" t="s">
        <v>56</v>
      </c>
      <c r="AF324" t="s">
        <v>57</v>
      </c>
      <c r="AH324">
        <v>41</v>
      </c>
      <c r="AI324">
        <v>41</v>
      </c>
      <c r="AM324" s="23">
        <f t="shared" si="10"/>
        <v>129.375</v>
      </c>
      <c r="AN324" s="23">
        <v>345</v>
      </c>
      <c r="AO324" s="24">
        <v>0.2</v>
      </c>
      <c r="AP324" s="23">
        <f t="shared" si="11"/>
        <v>414</v>
      </c>
    </row>
    <row r="325" spans="1:42" ht="15" customHeight="1" x14ac:dyDescent="0.3">
      <c r="A325" t="s">
        <v>1975</v>
      </c>
      <c r="B325" t="s">
        <v>2557</v>
      </c>
      <c r="C325" t="s">
        <v>1977</v>
      </c>
      <c r="D325" s="22" t="s">
        <v>2558</v>
      </c>
      <c r="E325" t="s">
        <v>1979</v>
      </c>
      <c r="F325" t="s">
        <v>1980</v>
      </c>
      <c r="P325" t="s">
        <v>1830</v>
      </c>
      <c r="Q325" t="s">
        <v>1981</v>
      </c>
      <c r="R325" t="s">
        <v>2024</v>
      </c>
      <c r="S325" t="s">
        <v>1894</v>
      </c>
      <c r="T325" s="22" t="s">
        <v>279</v>
      </c>
      <c r="V325">
        <v>1</v>
      </c>
      <c r="AE325" t="s">
        <v>56</v>
      </c>
      <c r="AF325" t="s">
        <v>57</v>
      </c>
      <c r="AH325">
        <v>44</v>
      </c>
      <c r="AI325">
        <v>44</v>
      </c>
      <c r="AM325" s="23">
        <f t="shared" si="10"/>
        <v>139.875</v>
      </c>
      <c r="AN325" s="23">
        <v>373</v>
      </c>
      <c r="AO325" s="24">
        <v>0.2</v>
      </c>
      <c r="AP325" s="23">
        <f t="shared" si="11"/>
        <v>447.59999999999997</v>
      </c>
    </row>
    <row r="326" spans="1:42" ht="15" customHeight="1" x14ac:dyDescent="0.3">
      <c r="A326" t="s">
        <v>1975</v>
      </c>
      <c r="B326" t="s">
        <v>2559</v>
      </c>
      <c r="C326" t="s">
        <v>1977</v>
      </c>
      <c r="D326" s="22" t="s">
        <v>2560</v>
      </c>
      <c r="E326" t="s">
        <v>1979</v>
      </c>
      <c r="F326" t="s">
        <v>1980</v>
      </c>
      <c r="P326" t="s">
        <v>1830</v>
      </c>
      <c r="Q326" t="s">
        <v>1981</v>
      </c>
      <c r="R326" t="s">
        <v>2027</v>
      </c>
      <c r="S326" t="s">
        <v>1894</v>
      </c>
      <c r="T326" s="22" t="s">
        <v>279</v>
      </c>
      <c r="V326">
        <v>1</v>
      </c>
      <c r="AE326" t="s">
        <v>56</v>
      </c>
      <c r="AF326" t="s">
        <v>57</v>
      </c>
      <c r="AH326">
        <v>48</v>
      </c>
      <c r="AI326">
        <v>48</v>
      </c>
      <c r="AM326" s="23">
        <f t="shared" si="10"/>
        <v>139.875</v>
      </c>
      <c r="AN326" s="23">
        <v>373</v>
      </c>
      <c r="AO326" s="24">
        <v>0.2</v>
      </c>
      <c r="AP326" s="23">
        <f t="shared" si="11"/>
        <v>447.59999999999997</v>
      </c>
    </row>
    <row r="327" spans="1:42" ht="15" customHeight="1" x14ac:dyDescent="0.3">
      <c r="A327" t="s">
        <v>1975</v>
      </c>
      <c r="B327" t="s">
        <v>2561</v>
      </c>
      <c r="C327" t="s">
        <v>1977</v>
      </c>
      <c r="D327" s="22" t="s">
        <v>2562</v>
      </c>
      <c r="E327" t="s">
        <v>1979</v>
      </c>
      <c r="F327" t="s">
        <v>1980</v>
      </c>
      <c r="P327" t="s">
        <v>1830</v>
      </c>
      <c r="Q327" t="s">
        <v>1981</v>
      </c>
      <c r="R327" t="s">
        <v>2030</v>
      </c>
      <c r="S327" t="s">
        <v>1894</v>
      </c>
      <c r="T327" s="22" t="s">
        <v>279</v>
      </c>
      <c r="V327">
        <v>1</v>
      </c>
      <c r="AE327" t="s">
        <v>56</v>
      </c>
      <c r="AF327" t="s">
        <v>57</v>
      </c>
      <c r="AH327">
        <v>51</v>
      </c>
      <c r="AI327">
        <v>51</v>
      </c>
      <c r="AM327" s="23">
        <f t="shared" si="10"/>
        <v>148.125</v>
      </c>
      <c r="AN327" s="23">
        <v>395</v>
      </c>
      <c r="AO327" s="24">
        <v>0.2</v>
      </c>
      <c r="AP327" s="23">
        <f t="shared" si="11"/>
        <v>474</v>
      </c>
    </row>
    <row r="328" spans="1:42" ht="15" customHeight="1" x14ac:dyDescent="0.3">
      <c r="A328" t="s">
        <v>1975</v>
      </c>
      <c r="B328" t="s">
        <v>2563</v>
      </c>
      <c r="C328" t="s">
        <v>1977</v>
      </c>
      <c r="D328" s="22" t="s">
        <v>2564</v>
      </c>
      <c r="E328" t="s">
        <v>1979</v>
      </c>
      <c r="F328" t="s">
        <v>1980</v>
      </c>
      <c r="P328" t="s">
        <v>1830</v>
      </c>
      <c r="Q328" t="s">
        <v>1981</v>
      </c>
      <c r="R328" t="s">
        <v>2033</v>
      </c>
      <c r="S328" t="s">
        <v>1894</v>
      </c>
      <c r="T328" s="22" t="s">
        <v>279</v>
      </c>
      <c r="V328">
        <v>1</v>
      </c>
      <c r="AE328" t="s">
        <v>56</v>
      </c>
      <c r="AF328" t="s">
        <v>57</v>
      </c>
      <c r="AH328">
        <v>54</v>
      </c>
      <c r="AI328">
        <v>54</v>
      </c>
      <c r="AM328" s="23">
        <f t="shared" si="10"/>
        <v>156.75</v>
      </c>
      <c r="AN328" s="23">
        <v>418</v>
      </c>
      <c r="AO328" s="24">
        <v>0.2</v>
      </c>
      <c r="AP328" s="23">
        <f t="shared" si="11"/>
        <v>501.59999999999997</v>
      </c>
    </row>
    <row r="329" spans="1:42" ht="15" customHeight="1" x14ac:dyDescent="0.3">
      <c r="A329" t="s">
        <v>1975</v>
      </c>
      <c r="B329" t="s">
        <v>2565</v>
      </c>
      <c r="C329" t="s">
        <v>1977</v>
      </c>
      <c r="D329" s="22" t="s">
        <v>2566</v>
      </c>
      <c r="E329" t="s">
        <v>1979</v>
      </c>
      <c r="F329" t="s">
        <v>1980</v>
      </c>
      <c r="P329" t="s">
        <v>1830</v>
      </c>
      <c r="Q329" t="s">
        <v>1981</v>
      </c>
      <c r="R329" t="s">
        <v>2036</v>
      </c>
      <c r="S329" t="s">
        <v>1894</v>
      </c>
      <c r="T329" s="22" t="s">
        <v>279</v>
      </c>
      <c r="V329">
        <v>1</v>
      </c>
      <c r="AE329" t="s">
        <v>56</v>
      </c>
      <c r="AF329" t="s">
        <v>57</v>
      </c>
      <c r="AH329">
        <v>58</v>
      </c>
      <c r="AI329">
        <v>58</v>
      </c>
      <c r="AM329" s="23">
        <f t="shared" si="10"/>
        <v>165</v>
      </c>
      <c r="AN329" s="23">
        <v>440</v>
      </c>
      <c r="AO329" s="24">
        <v>0.2</v>
      </c>
      <c r="AP329" s="23">
        <f t="shared" si="11"/>
        <v>528</v>
      </c>
    </row>
    <row r="330" spans="1:42" ht="15" customHeight="1" x14ac:dyDescent="0.3">
      <c r="A330" t="s">
        <v>1975</v>
      </c>
      <c r="B330" t="s">
        <v>2567</v>
      </c>
      <c r="C330" t="s">
        <v>1977</v>
      </c>
      <c r="D330" s="22" t="s">
        <v>2568</v>
      </c>
      <c r="E330" t="s">
        <v>1979</v>
      </c>
      <c r="F330" t="s">
        <v>1980</v>
      </c>
      <c r="P330" t="s">
        <v>1830</v>
      </c>
      <c r="Q330" t="s">
        <v>1981</v>
      </c>
      <c r="R330" t="s">
        <v>2039</v>
      </c>
      <c r="S330" t="s">
        <v>1894</v>
      </c>
      <c r="T330" s="22" t="s">
        <v>279</v>
      </c>
      <c r="V330">
        <v>1</v>
      </c>
      <c r="AE330" t="s">
        <v>56</v>
      </c>
      <c r="AF330" t="s">
        <v>57</v>
      </c>
      <c r="AH330">
        <v>61</v>
      </c>
      <c r="AI330">
        <v>61</v>
      </c>
      <c r="AM330" s="23">
        <f t="shared" si="10"/>
        <v>175.875</v>
      </c>
      <c r="AN330" s="23">
        <v>469</v>
      </c>
      <c r="AO330" s="24">
        <v>0.2</v>
      </c>
      <c r="AP330" s="23">
        <f t="shared" si="11"/>
        <v>562.79999999999995</v>
      </c>
    </row>
    <row r="331" spans="1:42" ht="15" customHeight="1" x14ac:dyDescent="0.3">
      <c r="A331" t="s">
        <v>1975</v>
      </c>
      <c r="B331" t="s">
        <v>2569</v>
      </c>
      <c r="C331" t="s">
        <v>1977</v>
      </c>
      <c r="D331" s="22" t="s">
        <v>2570</v>
      </c>
      <c r="E331" t="s">
        <v>1979</v>
      </c>
      <c r="F331" t="s">
        <v>1980</v>
      </c>
      <c r="P331" t="s">
        <v>1830</v>
      </c>
      <c r="Q331" t="s">
        <v>1981</v>
      </c>
      <c r="R331" t="s">
        <v>2042</v>
      </c>
      <c r="S331" t="s">
        <v>1894</v>
      </c>
      <c r="T331" s="22" t="s">
        <v>279</v>
      </c>
      <c r="V331">
        <v>1</v>
      </c>
      <c r="AE331" t="s">
        <v>56</v>
      </c>
      <c r="AF331" t="s">
        <v>57</v>
      </c>
      <c r="AH331">
        <v>64</v>
      </c>
      <c r="AI331">
        <v>64</v>
      </c>
      <c r="AM331" s="23">
        <f t="shared" si="10"/>
        <v>196.125</v>
      </c>
      <c r="AN331" s="23">
        <v>523</v>
      </c>
      <c r="AO331" s="24">
        <v>0.2</v>
      </c>
      <c r="AP331" s="23">
        <f t="shared" si="11"/>
        <v>627.6</v>
      </c>
    </row>
    <row r="332" spans="1:42" ht="15" customHeight="1" x14ac:dyDescent="0.3">
      <c r="A332" t="s">
        <v>1975</v>
      </c>
      <c r="B332" t="s">
        <v>2571</v>
      </c>
      <c r="C332" t="s">
        <v>1977</v>
      </c>
      <c r="D332" s="22" t="s">
        <v>2572</v>
      </c>
      <c r="E332" t="s">
        <v>1979</v>
      </c>
      <c r="F332" t="s">
        <v>1980</v>
      </c>
      <c r="P332" t="s">
        <v>1830</v>
      </c>
      <c r="Q332" t="s">
        <v>1981</v>
      </c>
      <c r="R332" t="s">
        <v>2045</v>
      </c>
      <c r="S332" t="s">
        <v>1894</v>
      </c>
      <c r="T332" s="22" t="s">
        <v>279</v>
      </c>
      <c r="V332">
        <v>1</v>
      </c>
      <c r="AE332" t="s">
        <v>56</v>
      </c>
      <c r="AF332" t="s">
        <v>57</v>
      </c>
      <c r="AH332">
        <v>68</v>
      </c>
      <c r="AI332">
        <v>68</v>
      </c>
      <c r="AM332" s="23">
        <f t="shared" si="10"/>
        <v>200.625</v>
      </c>
      <c r="AN332" s="23">
        <v>535</v>
      </c>
      <c r="AO332" s="24">
        <v>0.2</v>
      </c>
      <c r="AP332" s="23">
        <f t="shared" si="11"/>
        <v>642</v>
      </c>
    </row>
    <row r="333" spans="1:42" ht="15" customHeight="1" x14ac:dyDescent="0.3">
      <c r="A333" t="s">
        <v>1975</v>
      </c>
      <c r="B333" t="s">
        <v>2573</v>
      </c>
      <c r="C333" t="s">
        <v>1977</v>
      </c>
      <c r="D333" s="22" t="s">
        <v>2574</v>
      </c>
      <c r="E333" t="s">
        <v>1979</v>
      </c>
      <c r="F333" t="s">
        <v>1980</v>
      </c>
      <c r="P333" t="s">
        <v>1830</v>
      </c>
      <c r="Q333" t="s">
        <v>1981</v>
      </c>
      <c r="R333" t="s">
        <v>2048</v>
      </c>
      <c r="S333" t="s">
        <v>1894</v>
      </c>
      <c r="T333" s="22" t="s">
        <v>279</v>
      </c>
      <c r="V333">
        <v>1</v>
      </c>
      <c r="AE333" t="s">
        <v>56</v>
      </c>
      <c r="AF333" t="s">
        <v>57</v>
      </c>
      <c r="AH333">
        <v>24</v>
      </c>
      <c r="AI333">
        <v>24</v>
      </c>
      <c r="AM333" s="23">
        <f t="shared" si="10"/>
        <v>95.625</v>
      </c>
      <c r="AN333" s="23">
        <v>255</v>
      </c>
      <c r="AO333" s="24">
        <v>0.2</v>
      </c>
      <c r="AP333" s="23">
        <f t="shared" si="11"/>
        <v>306</v>
      </c>
    </row>
    <row r="334" spans="1:42" ht="15" customHeight="1" x14ac:dyDescent="0.3">
      <c r="A334" t="s">
        <v>1975</v>
      </c>
      <c r="B334" t="s">
        <v>2575</v>
      </c>
      <c r="C334" t="s">
        <v>1977</v>
      </c>
      <c r="D334" s="22" t="s">
        <v>2576</v>
      </c>
      <c r="E334" t="s">
        <v>1979</v>
      </c>
      <c r="F334" t="s">
        <v>1980</v>
      </c>
      <c r="P334" t="s">
        <v>1830</v>
      </c>
      <c r="Q334" t="s">
        <v>1981</v>
      </c>
      <c r="R334" t="s">
        <v>2051</v>
      </c>
      <c r="S334" t="s">
        <v>1894</v>
      </c>
      <c r="T334" s="22" t="s">
        <v>279</v>
      </c>
      <c r="V334">
        <v>1</v>
      </c>
      <c r="AE334" t="s">
        <v>56</v>
      </c>
      <c r="AF334" t="s">
        <v>57</v>
      </c>
      <c r="AH334">
        <v>27</v>
      </c>
      <c r="AI334">
        <v>27</v>
      </c>
      <c r="AM334" s="23">
        <f t="shared" si="10"/>
        <v>100.5</v>
      </c>
      <c r="AN334" s="23">
        <v>268</v>
      </c>
      <c r="AO334" s="24">
        <v>0.2</v>
      </c>
      <c r="AP334" s="23">
        <f t="shared" si="11"/>
        <v>321.59999999999997</v>
      </c>
    </row>
    <row r="335" spans="1:42" ht="15" customHeight="1" x14ac:dyDescent="0.3">
      <c r="A335" t="s">
        <v>1975</v>
      </c>
      <c r="B335" t="s">
        <v>2577</v>
      </c>
      <c r="C335" t="s">
        <v>1977</v>
      </c>
      <c r="D335" s="22" t="s">
        <v>2578</v>
      </c>
      <c r="E335" t="s">
        <v>1979</v>
      </c>
      <c r="F335" t="s">
        <v>1980</v>
      </c>
      <c r="P335" t="s">
        <v>1830</v>
      </c>
      <c r="Q335" t="s">
        <v>1981</v>
      </c>
      <c r="R335" t="s">
        <v>2054</v>
      </c>
      <c r="S335" t="s">
        <v>1894</v>
      </c>
      <c r="T335" s="22" t="s">
        <v>279</v>
      </c>
      <c r="V335">
        <v>1</v>
      </c>
      <c r="AE335" t="s">
        <v>56</v>
      </c>
      <c r="AF335" t="s">
        <v>57</v>
      </c>
      <c r="AH335">
        <v>31</v>
      </c>
      <c r="AI335">
        <v>31</v>
      </c>
      <c r="AM335" s="23">
        <f t="shared" si="10"/>
        <v>104.25</v>
      </c>
      <c r="AN335" s="23">
        <v>278</v>
      </c>
      <c r="AO335" s="24">
        <v>0.2</v>
      </c>
      <c r="AP335" s="23">
        <f t="shared" si="11"/>
        <v>333.59999999999997</v>
      </c>
    </row>
    <row r="336" spans="1:42" ht="15" customHeight="1" x14ac:dyDescent="0.3">
      <c r="A336" t="s">
        <v>1975</v>
      </c>
      <c r="B336" t="s">
        <v>2579</v>
      </c>
      <c r="C336" t="s">
        <v>1977</v>
      </c>
      <c r="D336" s="22" t="s">
        <v>2580</v>
      </c>
      <c r="E336" t="s">
        <v>1979</v>
      </c>
      <c r="F336" t="s">
        <v>1980</v>
      </c>
      <c r="P336" t="s">
        <v>1830</v>
      </c>
      <c r="Q336" t="s">
        <v>1981</v>
      </c>
      <c r="R336" t="s">
        <v>2057</v>
      </c>
      <c r="S336" t="s">
        <v>1894</v>
      </c>
      <c r="T336" s="22" t="s">
        <v>279</v>
      </c>
      <c r="V336">
        <v>1</v>
      </c>
      <c r="AE336" t="s">
        <v>56</v>
      </c>
      <c r="AF336" t="s">
        <v>57</v>
      </c>
      <c r="AH336">
        <v>39</v>
      </c>
      <c r="AI336">
        <v>39</v>
      </c>
      <c r="AM336" s="23">
        <f t="shared" si="10"/>
        <v>113.625</v>
      </c>
      <c r="AN336" s="23">
        <v>303</v>
      </c>
      <c r="AO336" s="24">
        <v>0.2</v>
      </c>
      <c r="AP336" s="23">
        <f t="shared" si="11"/>
        <v>363.59999999999997</v>
      </c>
    </row>
    <row r="337" spans="1:42" ht="15" customHeight="1" x14ac:dyDescent="0.3">
      <c r="A337" t="s">
        <v>1975</v>
      </c>
      <c r="B337" t="s">
        <v>2581</v>
      </c>
      <c r="C337" t="s">
        <v>1977</v>
      </c>
      <c r="D337" s="22" t="s">
        <v>2582</v>
      </c>
      <c r="E337" t="s">
        <v>1979</v>
      </c>
      <c r="F337" t="s">
        <v>1980</v>
      </c>
      <c r="P337" t="s">
        <v>1830</v>
      </c>
      <c r="Q337" t="s">
        <v>1981</v>
      </c>
      <c r="R337" t="s">
        <v>2060</v>
      </c>
      <c r="S337" t="s">
        <v>1894</v>
      </c>
      <c r="T337" s="22" t="s">
        <v>279</v>
      </c>
      <c r="V337">
        <v>1</v>
      </c>
      <c r="AE337" t="s">
        <v>56</v>
      </c>
      <c r="AF337" t="s">
        <v>57</v>
      </c>
      <c r="AH337">
        <v>43</v>
      </c>
      <c r="AI337">
        <v>43</v>
      </c>
      <c r="AM337" s="23">
        <f t="shared" si="10"/>
        <v>130.5</v>
      </c>
      <c r="AN337" s="23">
        <v>348</v>
      </c>
      <c r="AO337" s="24">
        <v>0.2</v>
      </c>
      <c r="AP337" s="23">
        <f t="shared" si="11"/>
        <v>417.59999999999997</v>
      </c>
    </row>
    <row r="338" spans="1:42" ht="15" customHeight="1" x14ac:dyDescent="0.3">
      <c r="A338" t="s">
        <v>1975</v>
      </c>
      <c r="B338" t="s">
        <v>2583</v>
      </c>
      <c r="C338" t="s">
        <v>1977</v>
      </c>
      <c r="D338" s="22" t="s">
        <v>2584</v>
      </c>
      <c r="E338" t="s">
        <v>1979</v>
      </c>
      <c r="F338" t="s">
        <v>1980</v>
      </c>
      <c r="P338" t="s">
        <v>1830</v>
      </c>
      <c r="Q338" t="s">
        <v>1981</v>
      </c>
      <c r="R338" t="s">
        <v>2063</v>
      </c>
      <c r="S338" t="s">
        <v>1894</v>
      </c>
      <c r="T338" s="22" t="s">
        <v>279</v>
      </c>
      <c r="V338">
        <v>1</v>
      </c>
      <c r="AE338" t="s">
        <v>56</v>
      </c>
      <c r="AF338" t="s">
        <v>57</v>
      </c>
      <c r="AH338">
        <v>47</v>
      </c>
      <c r="AI338">
        <v>47</v>
      </c>
      <c r="AM338" s="23">
        <f t="shared" si="10"/>
        <v>136.125</v>
      </c>
      <c r="AN338" s="23">
        <v>363</v>
      </c>
      <c r="AO338" s="24">
        <v>0.2</v>
      </c>
      <c r="AP338" s="23">
        <f t="shared" si="11"/>
        <v>435.59999999999997</v>
      </c>
    </row>
    <row r="339" spans="1:42" ht="15" customHeight="1" x14ac:dyDescent="0.3">
      <c r="A339" t="s">
        <v>1975</v>
      </c>
      <c r="B339" t="s">
        <v>2585</v>
      </c>
      <c r="C339" t="s">
        <v>1977</v>
      </c>
      <c r="D339" s="22" t="s">
        <v>2586</v>
      </c>
      <c r="E339" t="s">
        <v>1979</v>
      </c>
      <c r="F339" t="s">
        <v>1980</v>
      </c>
      <c r="P339" t="s">
        <v>1830</v>
      </c>
      <c r="Q339" t="s">
        <v>1981</v>
      </c>
      <c r="R339" t="s">
        <v>2066</v>
      </c>
      <c r="S339" t="s">
        <v>1894</v>
      </c>
      <c r="T339" s="22" t="s">
        <v>279</v>
      </c>
      <c r="V339">
        <v>1</v>
      </c>
      <c r="AE339" t="s">
        <v>56</v>
      </c>
      <c r="AF339" t="s">
        <v>57</v>
      </c>
      <c r="AH339">
        <v>50</v>
      </c>
      <c r="AI339">
        <v>50</v>
      </c>
      <c r="AM339" s="23">
        <f t="shared" si="10"/>
        <v>153.75</v>
      </c>
      <c r="AN339" s="23">
        <v>410</v>
      </c>
      <c r="AO339" s="24">
        <v>0.2</v>
      </c>
      <c r="AP339" s="23">
        <f t="shared" si="11"/>
        <v>492</v>
      </c>
    </row>
    <row r="340" spans="1:42" ht="15" customHeight="1" x14ac:dyDescent="0.3">
      <c r="A340" t="s">
        <v>1975</v>
      </c>
      <c r="B340" t="s">
        <v>2587</v>
      </c>
      <c r="C340" t="s">
        <v>1977</v>
      </c>
      <c r="D340" s="22" t="s">
        <v>2588</v>
      </c>
      <c r="E340" t="s">
        <v>1979</v>
      </c>
      <c r="F340" t="s">
        <v>1980</v>
      </c>
      <c r="P340" t="s">
        <v>1830</v>
      </c>
      <c r="Q340" t="s">
        <v>1981</v>
      </c>
      <c r="R340" t="s">
        <v>2069</v>
      </c>
      <c r="S340" t="s">
        <v>1894</v>
      </c>
      <c r="T340" s="22" t="s">
        <v>279</v>
      </c>
      <c r="V340">
        <v>1</v>
      </c>
      <c r="AE340" t="s">
        <v>56</v>
      </c>
      <c r="AF340" t="s">
        <v>57</v>
      </c>
      <c r="AH340">
        <v>54</v>
      </c>
      <c r="AI340">
        <v>54</v>
      </c>
      <c r="AM340" s="23">
        <f t="shared" si="10"/>
        <v>156.75</v>
      </c>
      <c r="AN340" s="23">
        <v>418</v>
      </c>
      <c r="AO340" s="24">
        <v>0.2</v>
      </c>
      <c r="AP340" s="23">
        <f t="shared" si="11"/>
        <v>501.59999999999997</v>
      </c>
    </row>
    <row r="341" spans="1:42" ht="15" customHeight="1" x14ac:dyDescent="0.3">
      <c r="A341" t="s">
        <v>1975</v>
      </c>
      <c r="B341" t="s">
        <v>2589</v>
      </c>
      <c r="C341" t="s">
        <v>1977</v>
      </c>
      <c r="D341" s="22" t="s">
        <v>2590</v>
      </c>
      <c r="E341" t="s">
        <v>1979</v>
      </c>
      <c r="F341" t="s">
        <v>1980</v>
      </c>
      <c r="P341" t="s">
        <v>1830</v>
      </c>
      <c r="Q341" t="s">
        <v>1981</v>
      </c>
      <c r="R341" t="s">
        <v>2072</v>
      </c>
      <c r="S341" t="s">
        <v>1894</v>
      </c>
      <c r="T341" s="22" t="s">
        <v>279</v>
      </c>
      <c r="V341">
        <v>1</v>
      </c>
      <c r="AE341" t="s">
        <v>56</v>
      </c>
      <c r="AF341" t="s">
        <v>57</v>
      </c>
      <c r="AH341">
        <v>58</v>
      </c>
      <c r="AI341">
        <v>58</v>
      </c>
      <c r="AM341" s="23">
        <f t="shared" si="10"/>
        <v>166.5</v>
      </c>
      <c r="AN341" s="23">
        <v>444</v>
      </c>
      <c r="AO341" s="24">
        <v>0.2</v>
      </c>
      <c r="AP341" s="23">
        <f t="shared" si="11"/>
        <v>532.79999999999995</v>
      </c>
    </row>
    <row r="342" spans="1:42" ht="15" customHeight="1" x14ac:dyDescent="0.3">
      <c r="A342" t="s">
        <v>1975</v>
      </c>
      <c r="B342" t="s">
        <v>2591</v>
      </c>
      <c r="C342" t="s">
        <v>1977</v>
      </c>
      <c r="D342" s="22" t="s">
        <v>2592</v>
      </c>
      <c r="E342" t="s">
        <v>1979</v>
      </c>
      <c r="F342" t="s">
        <v>1980</v>
      </c>
      <c r="P342" t="s">
        <v>1830</v>
      </c>
      <c r="Q342" t="s">
        <v>1981</v>
      </c>
      <c r="R342" t="s">
        <v>2075</v>
      </c>
      <c r="S342" t="s">
        <v>1894</v>
      </c>
      <c r="T342" s="22" t="s">
        <v>279</v>
      </c>
      <c r="V342">
        <v>1</v>
      </c>
      <c r="AE342" t="s">
        <v>56</v>
      </c>
      <c r="AF342" t="s">
        <v>57</v>
      </c>
      <c r="AH342">
        <v>62</v>
      </c>
      <c r="AI342">
        <v>62</v>
      </c>
      <c r="AM342" s="23">
        <f t="shared" si="10"/>
        <v>175.875</v>
      </c>
      <c r="AN342" s="23">
        <v>469</v>
      </c>
      <c r="AO342" s="24">
        <v>0.2</v>
      </c>
      <c r="AP342" s="23">
        <f t="shared" si="11"/>
        <v>562.79999999999995</v>
      </c>
    </row>
    <row r="343" spans="1:42" ht="15" customHeight="1" x14ac:dyDescent="0.3">
      <c r="A343" t="s">
        <v>1975</v>
      </c>
      <c r="B343" t="s">
        <v>2593</v>
      </c>
      <c r="C343" t="s">
        <v>1977</v>
      </c>
      <c r="D343" s="22" t="s">
        <v>2594</v>
      </c>
      <c r="E343" t="s">
        <v>1979</v>
      </c>
      <c r="F343" t="s">
        <v>1980</v>
      </c>
      <c r="P343" t="s">
        <v>1830</v>
      </c>
      <c r="Q343" t="s">
        <v>1981</v>
      </c>
      <c r="R343" t="s">
        <v>2078</v>
      </c>
      <c r="S343" t="s">
        <v>1894</v>
      </c>
      <c r="T343" s="22" t="s">
        <v>279</v>
      </c>
      <c r="V343">
        <v>1</v>
      </c>
      <c r="AE343" t="s">
        <v>56</v>
      </c>
      <c r="AF343" t="s">
        <v>57</v>
      </c>
      <c r="AH343">
        <v>66</v>
      </c>
      <c r="AI343">
        <v>66</v>
      </c>
      <c r="AM343" s="23">
        <f t="shared" si="10"/>
        <v>185.625</v>
      </c>
      <c r="AN343" s="23">
        <v>495</v>
      </c>
      <c r="AO343" s="24">
        <v>0.2</v>
      </c>
      <c r="AP343" s="23">
        <f t="shared" si="11"/>
        <v>594</v>
      </c>
    </row>
    <row r="344" spans="1:42" ht="15" customHeight="1" x14ac:dyDescent="0.3">
      <c r="A344" t="s">
        <v>1975</v>
      </c>
      <c r="B344" t="s">
        <v>2595</v>
      </c>
      <c r="C344" t="s">
        <v>1977</v>
      </c>
      <c r="D344" s="22" t="s">
        <v>2596</v>
      </c>
      <c r="E344" t="s">
        <v>1979</v>
      </c>
      <c r="F344" t="s">
        <v>1980</v>
      </c>
      <c r="P344" t="s">
        <v>1830</v>
      </c>
      <c r="Q344" t="s">
        <v>1981</v>
      </c>
      <c r="R344" t="s">
        <v>2081</v>
      </c>
      <c r="S344" t="s">
        <v>1894</v>
      </c>
      <c r="T344" s="22" t="s">
        <v>279</v>
      </c>
      <c r="V344">
        <v>1</v>
      </c>
      <c r="AE344" t="s">
        <v>56</v>
      </c>
      <c r="AF344" t="s">
        <v>57</v>
      </c>
      <c r="AH344">
        <v>70</v>
      </c>
      <c r="AI344">
        <v>70</v>
      </c>
      <c r="AM344" s="23">
        <f t="shared" si="10"/>
        <v>198</v>
      </c>
      <c r="AN344" s="23">
        <v>528</v>
      </c>
      <c r="AO344" s="24">
        <v>0.2</v>
      </c>
      <c r="AP344" s="23">
        <f t="shared" si="11"/>
        <v>633.6</v>
      </c>
    </row>
    <row r="345" spans="1:42" ht="15" customHeight="1" x14ac:dyDescent="0.3">
      <c r="A345" t="s">
        <v>1975</v>
      </c>
      <c r="B345" t="s">
        <v>2597</v>
      </c>
      <c r="C345" t="s">
        <v>1977</v>
      </c>
      <c r="D345" s="22" t="s">
        <v>2598</v>
      </c>
      <c r="E345" t="s">
        <v>1979</v>
      </c>
      <c r="F345" t="s">
        <v>1980</v>
      </c>
      <c r="P345" t="s">
        <v>1830</v>
      </c>
      <c r="Q345" t="s">
        <v>1981</v>
      </c>
      <c r="R345" t="s">
        <v>2084</v>
      </c>
      <c r="S345" t="s">
        <v>1894</v>
      </c>
      <c r="T345" s="22" t="s">
        <v>279</v>
      </c>
      <c r="V345">
        <v>1</v>
      </c>
      <c r="AE345" t="s">
        <v>56</v>
      </c>
      <c r="AF345" t="s">
        <v>57</v>
      </c>
      <c r="AH345">
        <v>73</v>
      </c>
      <c r="AI345">
        <v>73</v>
      </c>
      <c r="AM345" s="23">
        <f t="shared" si="10"/>
        <v>219.375</v>
      </c>
      <c r="AN345" s="23">
        <v>585</v>
      </c>
      <c r="AO345" s="24">
        <v>0.2</v>
      </c>
      <c r="AP345" s="23">
        <f t="shared" si="11"/>
        <v>702</v>
      </c>
    </row>
    <row r="346" spans="1:42" ht="15" customHeight="1" x14ac:dyDescent="0.3">
      <c r="A346" t="s">
        <v>1975</v>
      </c>
      <c r="B346" t="s">
        <v>2599</v>
      </c>
      <c r="C346" t="s">
        <v>1977</v>
      </c>
      <c r="D346" s="22" t="s">
        <v>2600</v>
      </c>
      <c r="E346" t="s">
        <v>1979</v>
      </c>
      <c r="F346" t="s">
        <v>1980</v>
      </c>
      <c r="P346" t="s">
        <v>1830</v>
      </c>
      <c r="Q346" t="s">
        <v>1981</v>
      </c>
      <c r="R346" t="s">
        <v>2087</v>
      </c>
      <c r="S346" t="s">
        <v>1894</v>
      </c>
      <c r="T346" s="22" t="s">
        <v>279</v>
      </c>
      <c r="V346">
        <v>1</v>
      </c>
      <c r="AE346" t="s">
        <v>56</v>
      </c>
      <c r="AF346" t="s">
        <v>57</v>
      </c>
      <c r="AH346">
        <v>77</v>
      </c>
      <c r="AI346">
        <v>77</v>
      </c>
      <c r="AM346" s="23">
        <f t="shared" si="10"/>
        <v>223.125</v>
      </c>
      <c r="AN346" s="23">
        <v>595</v>
      </c>
      <c r="AO346" s="24">
        <v>0.2</v>
      </c>
      <c r="AP346" s="23">
        <f t="shared" si="11"/>
        <v>714</v>
      </c>
    </row>
    <row r="347" spans="1:42" ht="15" customHeight="1" x14ac:dyDescent="0.3">
      <c r="A347" t="s">
        <v>1975</v>
      </c>
      <c r="B347" t="s">
        <v>2601</v>
      </c>
      <c r="C347" t="s">
        <v>1977</v>
      </c>
      <c r="D347" s="22" t="s">
        <v>2602</v>
      </c>
      <c r="E347" t="s">
        <v>1979</v>
      </c>
      <c r="F347" t="s">
        <v>1980</v>
      </c>
      <c r="P347" t="s">
        <v>1830</v>
      </c>
      <c r="Q347" t="s">
        <v>1981</v>
      </c>
      <c r="R347" t="s">
        <v>242</v>
      </c>
      <c r="S347" t="s">
        <v>1894</v>
      </c>
      <c r="T347" s="22" t="s">
        <v>279</v>
      </c>
      <c r="V347">
        <v>1</v>
      </c>
      <c r="AE347" t="s">
        <v>56</v>
      </c>
      <c r="AF347" t="s">
        <v>57</v>
      </c>
      <c r="AH347">
        <v>31</v>
      </c>
      <c r="AI347">
        <v>31</v>
      </c>
      <c r="AM347" s="23">
        <f t="shared" si="10"/>
        <v>103.125</v>
      </c>
      <c r="AN347" s="23">
        <v>275</v>
      </c>
      <c r="AO347" s="24">
        <v>0.2</v>
      </c>
      <c r="AP347" s="23">
        <f t="shared" si="11"/>
        <v>330</v>
      </c>
    </row>
    <row r="348" spans="1:42" ht="15" customHeight="1" x14ac:dyDescent="0.3">
      <c r="A348" t="s">
        <v>1975</v>
      </c>
      <c r="B348" t="s">
        <v>2603</v>
      </c>
      <c r="C348" t="s">
        <v>1977</v>
      </c>
      <c r="D348" s="22" t="s">
        <v>2604</v>
      </c>
      <c r="E348" t="s">
        <v>1979</v>
      </c>
      <c r="F348" t="s">
        <v>1980</v>
      </c>
      <c r="P348" t="s">
        <v>1830</v>
      </c>
      <c r="Q348" t="s">
        <v>1981</v>
      </c>
      <c r="R348" t="s">
        <v>2092</v>
      </c>
      <c r="S348" t="s">
        <v>1894</v>
      </c>
      <c r="T348" s="22" t="s">
        <v>279</v>
      </c>
      <c r="V348">
        <v>1</v>
      </c>
      <c r="AE348" t="s">
        <v>56</v>
      </c>
      <c r="AF348" t="s">
        <v>57</v>
      </c>
      <c r="AH348">
        <v>35</v>
      </c>
      <c r="AI348">
        <v>35</v>
      </c>
      <c r="AM348" s="23">
        <f t="shared" si="10"/>
        <v>110.625</v>
      </c>
      <c r="AN348" s="23">
        <v>295</v>
      </c>
      <c r="AO348" s="24">
        <v>0.2</v>
      </c>
      <c r="AP348" s="23">
        <f t="shared" si="11"/>
        <v>354</v>
      </c>
    </row>
    <row r="349" spans="1:42" ht="15" customHeight="1" x14ac:dyDescent="0.3">
      <c r="A349" t="s">
        <v>1975</v>
      </c>
      <c r="B349" t="s">
        <v>2605</v>
      </c>
      <c r="C349" t="s">
        <v>1977</v>
      </c>
      <c r="D349" s="22" t="s">
        <v>2606</v>
      </c>
      <c r="E349" t="s">
        <v>1979</v>
      </c>
      <c r="F349" t="s">
        <v>1980</v>
      </c>
      <c r="P349" t="s">
        <v>1830</v>
      </c>
      <c r="Q349" t="s">
        <v>1981</v>
      </c>
      <c r="R349" t="s">
        <v>2095</v>
      </c>
      <c r="S349" t="s">
        <v>1894</v>
      </c>
      <c r="T349" s="22" t="s">
        <v>279</v>
      </c>
      <c r="V349">
        <v>1</v>
      </c>
      <c r="AE349" t="s">
        <v>56</v>
      </c>
      <c r="AF349" t="s">
        <v>57</v>
      </c>
      <c r="AH349">
        <v>44</v>
      </c>
      <c r="AI349">
        <v>44</v>
      </c>
      <c r="AM349" s="23">
        <f t="shared" si="10"/>
        <v>126.75</v>
      </c>
      <c r="AN349" s="23">
        <v>338</v>
      </c>
      <c r="AO349" s="24">
        <v>0.2</v>
      </c>
      <c r="AP349" s="23">
        <f t="shared" si="11"/>
        <v>405.59999999999997</v>
      </c>
    </row>
    <row r="350" spans="1:42" ht="15" customHeight="1" x14ac:dyDescent="0.3">
      <c r="A350" t="s">
        <v>1975</v>
      </c>
      <c r="B350" t="s">
        <v>2607</v>
      </c>
      <c r="C350" t="s">
        <v>1977</v>
      </c>
      <c r="D350" s="22" t="s">
        <v>2608</v>
      </c>
      <c r="E350" t="s">
        <v>1979</v>
      </c>
      <c r="F350" t="s">
        <v>1980</v>
      </c>
      <c r="P350" t="s">
        <v>1830</v>
      </c>
      <c r="Q350" t="s">
        <v>1981</v>
      </c>
      <c r="R350" t="s">
        <v>2098</v>
      </c>
      <c r="S350" t="s">
        <v>1894</v>
      </c>
      <c r="T350" s="22" t="s">
        <v>279</v>
      </c>
      <c r="V350">
        <v>1</v>
      </c>
      <c r="AE350" t="s">
        <v>56</v>
      </c>
      <c r="AF350" t="s">
        <v>57</v>
      </c>
      <c r="AH350">
        <v>48</v>
      </c>
      <c r="AI350">
        <v>48</v>
      </c>
      <c r="AM350" s="23">
        <f t="shared" si="10"/>
        <v>148.125</v>
      </c>
      <c r="AN350" s="23">
        <v>395</v>
      </c>
      <c r="AO350" s="24">
        <v>0.2</v>
      </c>
      <c r="AP350" s="23">
        <f t="shared" si="11"/>
        <v>474</v>
      </c>
    </row>
    <row r="351" spans="1:42" ht="15" customHeight="1" x14ac:dyDescent="0.3">
      <c r="A351" t="s">
        <v>1975</v>
      </c>
      <c r="B351" t="s">
        <v>2609</v>
      </c>
      <c r="C351" t="s">
        <v>1977</v>
      </c>
      <c r="D351" s="22" t="s">
        <v>2610</v>
      </c>
      <c r="E351" t="s">
        <v>1979</v>
      </c>
      <c r="F351" t="s">
        <v>1980</v>
      </c>
      <c r="P351" t="s">
        <v>1830</v>
      </c>
      <c r="Q351" t="s">
        <v>1981</v>
      </c>
      <c r="R351" t="s">
        <v>2101</v>
      </c>
      <c r="S351" t="s">
        <v>1894</v>
      </c>
      <c r="T351" s="22" t="s">
        <v>279</v>
      </c>
      <c r="V351">
        <v>1</v>
      </c>
      <c r="AE351" t="s">
        <v>56</v>
      </c>
      <c r="AF351" t="s">
        <v>57</v>
      </c>
      <c r="AH351">
        <v>52</v>
      </c>
      <c r="AI351">
        <v>52</v>
      </c>
      <c r="AM351" s="23">
        <f t="shared" si="10"/>
        <v>153</v>
      </c>
      <c r="AN351" s="23">
        <v>408</v>
      </c>
      <c r="AO351" s="24">
        <v>0.2</v>
      </c>
      <c r="AP351" s="23">
        <f t="shared" si="11"/>
        <v>489.59999999999997</v>
      </c>
    </row>
    <row r="352" spans="1:42" ht="15" customHeight="1" x14ac:dyDescent="0.3">
      <c r="A352" t="s">
        <v>1975</v>
      </c>
      <c r="B352" t="s">
        <v>2611</v>
      </c>
      <c r="C352" t="s">
        <v>1977</v>
      </c>
      <c r="D352" s="22" t="s">
        <v>2612</v>
      </c>
      <c r="E352" t="s">
        <v>1979</v>
      </c>
      <c r="F352" t="s">
        <v>1980</v>
      </c>
      <c r="P352" t="s">
        <v>1830</v>
      </c>
      <c r="Q352" t="s">
        <v>1981</v>
      </c>
      <c r="R352" t="s">
        <v>2104</v>
      </c>
      <c r="S352" t="s">
        <v>1894</v>
      </c>
      <c r="T352" s="22" t="s">
        <v>279</v>
      </c>
      <c r="V352">
        <v>1</v>
      </c>
      <c r="AE352" t="s">
        <v>56</v>
      </c>
      <c r="AF352" t="s">
        <v>57</v>
      </c>
      <c r="AH352">
        <v>57</v>
      </c>
      <c r="AI352">
        <v>57</v>
      </c>
      <c r="AM352" s="23">
        <f t="shared" si="10"/>
        <v>168</v>
      </c>
      <c r="AN352" s="23">
        <v>448</v>
      </c>
      <c r="AO352" s="24">
        <v>0.2</v>
      </c>
      <c r="AP352" s="23">
        <f t="shared" si="11"/>
        <v>537.6</v>
      </c>
    </row>
    <row r="353" spans="1:42" ht="15" customHeight="1" x14ac:dyDescent="0.3">
      <c r="A353" t="s">
        <v>1975</v>
      </c>
      <c r="B353" t="s">
        <v>2613</v>
      </c>
      <c r="C353" t="s">
        <v>1977</v>
      </c>
      <c r="D353" s="22" t="s">
        <v>2614</v>
      </c>
      <c r="E353" t="s">
        <v>1979</v>
      </c>
      <c r="F353" t="s">
        <v>1980</v>
      </c>
      <c r="P353" t="s">
        <v>1830</v>
      </c>
      <c r="Q353" t="s">
        <v>1981</v>
      </c>
      <c r="R353" t="s">
        <v>2107</v>
      </c>
      <c r="S353" t="s">
        <v>1894</v>
      </c>
      <c r="T353" s="22" t="s">
        <v>279</v>
      </c>
      <c r="V353">
        <v>1</v>
      </c>
      <c r="AE353" t="s">
        <v>56</v>
      </c>
      <c r="AF353" t="s">
        <v>57</v>
      </c>
      <c r="AH353">
        <v>61</v>
      </c>
      <c r="AI353">
        <v>61</v>
      </c>
      <c r="AM353" s="23">
        <f t="shared" si="10"/>
        <v>173.625</v>
      </c>
      <c r="AN353" s="23">
        <v>463</v>
      </c>
      <c r="AO353" s="24">
        <v>0.2</v>
      </c>
      <c r="AP353" s="23">
        <f t="shared" si="11"/>
        <v>555.6</v>
      </c>
    </row>
    <row r="354" spans="1:42" ht="15" customHeight="1" x14ac:dyDescent="0.3">
      <c r="A354" t="s">
        <v>1975</v>
      </c>
      <c r="B354" t="s">
        <v>2615</v>
      </c>
      <c r="C354" t="s">
        <v>1977</v>
      </c>
      <c r="D354" s="22" t="s">
        <v>2616</v>
      </c>
      <c r="E354" t="s">
        <v>1979</v>
      </c>
      <c r="F354" t="s">
        <v>1980</v>
      </c>
      <c r="P354" t="s">
        <v>1830</v>
      </c>
      <c r="Q354" t="s">
        <v>1981</v>
      </c>
      <c r="R354" t="s">
        <v>2110</v>
      </c>
      <c r="S354" t="s">
        <v>1894</v>
      </c>
      <c r="T354" s="22" t="s">
        <v>279</v>
      </c>
      <c r="V354">
        <v>1</v>
      </c>
      <c r="AE354" t="s">
        <v>56</v>
      </c>
      <c r="AF354" t="s">
        <v>57</v>
      </c>
      <c r="AH354">
        <v>65</v>
      </c>
      <c r="AI354">
        <v>65</v>
      </c>
      <c r="AM354" s="23">
        <f t="shared" si="10"/>
        <v>184.125</v>
      </c>
      <c r="AN354" s="23">
        <v>491</v>
      </c>
      <c r="AO354" s="24">
        <v>0.2</v>
      </c>
      <c r="AP354" s="23">
        <f t="shared" si="11"/>
        <v>589.19999999999993</v>
      </c>
    </row>
    <row r="355" spans="1:42" ht="15" customHeight="1" x14ac:dyDescent="0.3">
      <c r="A355" t="s">
        <v>1975</v>
      </c>
      <c r="B355" t="s">
        <v>2617</v>
      </c>
      <c r="C355" t="s">
        <v>1977</v>
      </c>
      <c r="D355" s="22" t="s">
        <v>2618</v>
      </c>
      <c r="E355" t="s">
        <v>1979</v>
      </c>
      <c r="F355" t="s">
        <v>1980</v>
      </c>
      <c r="P355" t="s">
        <v>1830</v>
      </c>
      <c r="Q355" t="s">
        <v>1981</v>
      </c>
      <c r="R355" t="s">
        <v>2113</v>
      </c>
      <c r="S355" t="s">
        <v>1894</v>
      </c>
      <c r="T355" s="22" t="s">
        <v>279</v>
      </c>
      <c r="V355">
        <v>1</v>
      </c>
      <c r="AE355" t="s">
        <v>56</v>
      </c>
      <c r="AF355" t="s">
        <v>57</v>
      </c>
      <c r="AH355">
        <v>70</v>
      </c>
      <c r="AI355">
        <v>70</v>
      </c>
      <c r="AM355" s="23">
        <f t="shared" si="10"/>
        <v>194.625</v>
      </c>
      <c r="AN355" s="23">
        <v>519</v>
      </c>
      <c r="AO355" s="24">
        <v>0.2</v>
      </c>
      <c r="AP355" s="23">
        <f t="shared" si="11"/>
        <v>622.79999999999995</v>
      </c>
    </row>
    <row r="356" spans="1:42" ht="15" customHeight="1" x14ac:dyDescent="0.3">
      <c r="A356" t="s">
        <v>1975</v>
      </c>
      <c r="B356" t="s">
        <v>2619</v>
      </c>
      <c r="C356" t="s">
        <v>1977</v>
      </c>
      <c r="D356" s="22" t="s">
        <v>2620</v>
      </c>
      <c r="E356" t="s">
        <v>1979</v>
      </c>
      <c r="F356" t="s">
        <v>1980</v>
      </c>
      <c r="P356" t="s">
        <v>1830</v>
      </c>
      <c r="Q356" t="s">
        <v>1981</v>
      </c>
      <c r="R356" t="s">
        <v>2116</v>
      </c>
      <c r="S356" t="s">
        <v>1894</v>
      </c>
      <c r="T356" s="22" t="s">
        <v>279</v>
      </c>
      <c r="V356">
        <v>1</v>
      </c>
      <c r="AE356" t="s">
        <v>56</v>
      </c>
      <c r="AF356" t="s">
        <v>57</v>
      </c>
      <c r="AH356">
        <v>74</v>
      </c>
      <c r="AI356">
        <v>74</v>
      </c>
      <c r="AM356" s="23">
        <f t="shared" si="10"/>
        <v>205.5</v>
      </c>
      <c r="AN356" s="23">
        <v>548</v>
      </c>
      <c r="AO356" s="24">
        <v>0.2</v>
      </c>
      <c r="AP356" s="23">
        <f t="shared" si="11"/>
        <v>657.6</v>
      </c>
    </row>
    <row r="357" spans="1:42" ht="15" customHeight="1" x14ac:dyDescent="0.3">
      <c r="A357" t="s">
        <v>1975</v>
      </c>
      <c r="B357" t="s">
        <v>2621</v>
      </c>
      <c r="C357" t="s">
        <v>1977</v>
      </c>
      <c r="D357" s="22" t="s">
        <v>2622</v>
      </c>
      <c r="E357" t="s">
        <v>1979</v>
      </c>
      <c r="F357" t="s">
        <v>1980</v>
      </c>
      <c r="P357" t="s">
        <v>1830</v>
      </c>
      <c r="Q357" t="s">
        <v>1981</v>
      </c>
      <c r="R357" t="s">
        <v>2119</v>
      </c>
      <c r="S357" t="s">
        <v>1894</v>
      </c>
      <c r="T357" s="22" t="s">
        <v>279</v>
      </c>
      <c r="V357">
        <v>1</v>
      </c>
      <c r="AE357" t="s">
        <v>56</v>
      </c>
      <c r="AF357" t="s">
        <v>57</v>
      </c>
      <c r="AH357">
        <v>78</v>
      </c>
      <c r="AI357">
        <v>78</v>
      </c>
      <c r="AM357" s="23">
        <f t="shared" si="10"/>
        <v>219.375</v>
      </c>
      <c r="AN357" s="23">
        <v>585</v>
      </c>
      <c r="AO357" s="24">
        <v>0.2</v>
      </c>
      <c r="AP357" s="23">
        <f t="shared" si="11"/>
        <v>702</v>
      </c>
    </row>
    <row r="358" spans="1:42" ht="15" customHeight="1" x14ac:dyDescent="0.3">
      <c r="A358" t="s">
        <v>1975</v>
      </c>
      <c r="B358" t="s">
        <v>2623</v>
      </c>
      <c r="C358" t="s">
        <v>1977</v>
      </c>
      <c r="D358" s="22" t="s">
        <v>2624</v>
      </c>
      <c r="E358" t="s">
        <v>1979</v>
      </c>
      <c r="F358" t="s">
        <v>1980</v>
      </c>
      <c r="P358" t="s">
        <v>1830</v>
      </c>
      <c r="Q358" t="s">
        <v>1981</v>
      </c>
      <c r="R358" t="s">
        <v>2122</v>
      </c>
      <c r="S358" t="s">
        <v>1894</v>
      </c>
      <c r="T358" s="22" t="s">
        <v>279</v>
      </c>
      <c r="V358">
        <v>1</v>
      </c>
      <c r="AE358" t="s">
        <v>56</v>
      </c>
      <c r="AF358" t="s">
        <v>57</v>
      </c>
      <c r="AH358">
        <v>83</v>
      </c>
      <c r="AI358">
        <v>83</v>
      </c>
      <c r="AM358" s="23">
        <f t="shared" si="10"/>
        <v>236.25</v>
      </c>
      <c r="AN358" s="23">
        <v>630</v>
      </c>
      <c r="AO358" s="24">
        <v>0.2</v>
      </c>
      <c r="AP358" s="23">
        <f t="shared" si="11"/>
        <v>756</v>
      </c>
    </row>
    <row r="359" spans="1:42" ht="15" customHeight="1" x14ac:dyDescent="0.3">
      <c r="A359" t="s">
        <v>1975</v>
      </c>
      <c r="B359" t="s">
        <v>2625</v>
      </c>
      <c r="C359" t="s">
        <v>1977</v>
      </c>
      <c r="D359" s="22" t="s">
        <v>2626</v>
      </c>
      <c r="E359" t="s">
        <v>1979</v>
      </c>
      <c r="F359" t="s">
        <v>1980</v>
      </c>
      <c r="P359" t="s">
        <v>1830</v>
      </c>
      <c r="Q359" t="s">
        <v>1981</v>
      </c>
      <c r="R359" t="s">
        <v>2125</v>
      </c>
      <c r="S359" t="s">
        <v>1894</v>
      </c>
      <c r="T359" s="22" t="s">
        <v>279</v>
      </c>
      <c r="V359">
        <v>1</v>
      </c>
      <c r="AE359" t="s">
        <v>56</v>
      </c>
      <c r="AF359" t="s">
        <v>57</v>
      </c>
      <c r="AH359">
        <v>87</v>
      </c>
      <c r="AI359">
        <v>87</v>
      </c>
      <c r="AM359" s="23">
        <f t="shared" si="10"/>
        <v>241.125</v>
      </c>
      <c r="AN359" s="23">
        <v>643</v>
      </c>
      <c r="AO359" s="24">
        <v>0.2</v>
      </c>
      <c r="AP359" s="23">
        <f t="shared" si="11"/>
        <v>771.6</v>
      </c>
    </row>
    <row r="360" spans="1:42" ht="15" customHeight="1" x14ac:dyDescent="0.3">
      <c r="A360" t="s">
        <v>1975</v>
      </c>
      <c r="B360" t="s">
        <v>2627</v>
      </c>
      <c r="C360" t="s">
        <v>1977</v>
      </c>
      <c r="D360" s="22" t="s">
        <v>2628</v>
      </c>
      <c r="E360" t="s">
        <v>1979</v>
      </c>
      <c r="F360" t="s">
        <v>1980</v>
      </c>
      <c r="P360" t="s">
        <v>1830</v>
      </c>
      <c r="Q360" t="s">
        <v>1981</v>
      </c>
      <c r="R360" t="s">
        <v>2128</v>
      </c>
      <c r="S360" t="s">
        <v>1894</v>
      </c>
      <c r="T360" s="22" t="s">
        <v>279</v>
      </c>
      <c r="V360">
        <v>1</v>
      </c>
      <c r="AE360" t="s">
        <v>56</v>
      </c>
      <c r="AF360" t="s">
        <v>57</v>
      </c>
      <c r="AH360">
        <v>39</v>
      </c>
      <c r="AI360">
        <v>39</v>
      </c>
      <c r="AM360" s="23">
        <f t="shared" si="10"/>
        <v>114.375</v>
      </c>
      <c r="AN360" s="23">
        <v>305</v>
      </c>
      <c r="AO360" s="24">
        <v>0.2</v>
      </c>
      <c r="AP360" s="23">
        <f t="shared" si="11"/>
        <v>366</v>
      </c>
    </row>
    <row r="361" spans="1:42" ht="15" customHeight="1" x14ac:dyDescent="0.3">
      <c r="A361" t="s">
        <v>1975</v>
      </c>
      <c r="B361" t="s">
        <v>2629</v>
      </c>
      <c r="C361" t="s">
        <v>1977</v>
      </c>
      <c r="D361" s="22" t="s">
        <v>2630</v>
      </c>
      <c r="E361" t="s">
        <v>1979</v>
      </c>
      <c r="F361" t="s">
        <v>1980</v>
      </c>
      <c r="P361" t="s">
        <v>1830</v>
      </c>
      <c r="Q361" t="s">
        <v>1981</v>
      </c>
      <c r="R361" t="s">
        <v>1982</v>
      </c>
      <c r="S361" t="s">
        <v>1894</v>
      </c>
      <c r="T361" t="s">
        <v>1940</v>
      </c>
      <c r="V361">
        <v>1</v>
      </c>
      <c r="AE361" t="s">
        <v>56</v>
      </c>
      <c r="AF361" t="s">
        <v>57</v>
      </c>
      <c r="AH361">
        <v>48</v>
      </c>
      <c r="AI361">
        <v>48</v>
      </c>
      <c r="AM361" s="23">
        <f t="shared" si="10"/>
        <v>137.625</v>
      </c>
      <c r="AN361" s="23">
        <v>367</v>
      </c>
      <c r="AO361" s="24">
        <v>0.2</v>
      </c>
      <c r="AP361" s="23">
        <f t="shared" si="11"/>
        <v>440.4</v>
      </c>
    </row>
    <row r="362" spans="1:42" ht="15" customHeight="1" x14ac:dyDescent="0.3">
      <c r="A362" t="s">
        <v>1975</v>
      </c>
      <c r="B362" t="s">
        <v>2631</v>
      </c>
      <c r="C362" t="s">
        <v>1977</v>
      </c>
      <c r="D362" s="22" t="s">
        <v>2632</v>
      </c>
      <c r="E362" t="s">
        <v>1979</v>
      </c>
      <c r="F362" t="s">
        <v>1980</v>
      </c>
      <c r="P362" t="s">
        <v>1830</v>
      </c>
      <c r="Q362" t="s">
        <v>1981</v>
      </c>
      <c r="R362" t="s">
        <v>1985</v>
      </c>
      <c r="S362" t="s">
        <v>1894</v>
      </c>
      <c r="T362" t="s">
        <v>1940</v>
      </c>
      <c r="V362">
        <v>1</v>
      </c>
      <c r="AE362" t="s">
        <v>56</v>
      </c>
      <c r="AF362" t="s">
        <v>57</v>
      </c>
      <c r="AH362">
        <v>53</v>
      </c>
      <c r="AI362">
        <v>53</v>
      </c>
      <c r="AM362" s="23">
        <f t="shared" si="10"/>
        <v>149.25</v>
      </c>
      <c r="AN362" s="23">
        <v>398</v>
      </c>
      <c r="AO362" s="24">
        <v>0.2</v>
      </c>
      <c r="AP362" s="23">
        <f t="shared" si="11"/>
        <v>477.59999999999997</v>
      </c>
    </row>
    <row r="363" spans="1:42" ht="15" customHeight="1" x14ac:dyDescent="0.3">
      <c r="A363" t="s">
        <v>1975</v>
      </c>
      <c r="B363" t="s">
        <v>2633</v>
      </c>
      <c r="C363" t="s">
        <v>1977</v>
      </c>
      <c r="D363" s="22" t="s">
        <v>2634</v>
      </c>
      <c r="E363" t="s">
        <v>1979</v>
      </c>
      <c r="F363" t="s">
        <v>1980</v>
      </c>
      <c r="P363" t="s">
        <v>1830</v>
      </c>
      <c r="Q363" t="s">
        <v>1981</v>
      </c>
      <c r="R363" t="s">
        <v>1988</v>
      </c>
      <c r="S363" t="s">
        <v>1894</v>
      </c>
      <c r="T363" t="s">
        <v>1940</v>
      </c>
      <c r="V363">
        <v>1</v>
      </c>
      <c r="AE363" t="s">
        <v>56</v>
      </c>
      <c r="AF363" t="s">
        <v>57</v>
      </c>
      <c r="AH363">
        <v>58</v>
      </c>
      <c r="AI363">
        <v>58</v>
      </c>
      <c r="AM363" s="23">
        <f t="shared" si="10"/>
        <v>164.25</v>
      </c>
      <c r="AN363" s="23">
        <v>438</v>
      </c>
      <c r="AO363" s="24">
        <v>0.2</v>
      </c>
      <c r="AP363" s="23">
        <f t="shared" si="11"/>
        <v>525.6</v>
      </c>
    </row>
    <row r="364" spans="1:42" ht="15" customHeight="1" x14ac:dyDescent="0.3">
      <c r="A364" t="s">
        <v>1975</v>
      </c>
      <c r="B364" t="s">
        <v>2635</v>
      </c>
      <c r="C364" t="s">
        <v>1977</v>
      </c>
      <c r="D364" s="22" t="s">
        <v>2636</v>
      </c>
      <c r="E364" t="s">
        <v>1979</v>
      </c>
      <c r="F364" t="s">
        <v>1980</v>
      </c>
      <c r="P364" t="s">
        <v>1830</v>
      </c>
      <c r="Q364" t="s">
        <v>1981</v>
      </c>
      <c r="R364" t="s">
        <v>1991</v>
      </c>
      <c r="S364" t="s">
        <v>1894</v>
      </c>
      <c r="T364" t="s">
        <v>1940</v>
      </c>
      <c r="V364">
        <v>1</v>
      </c>
      <c r="AE364" t="s">
        <v>56</v>
      </c>
      <c r="AF364" t="s">
        <v>57</v>
      </c>
      <c r="AH364">
        <v>63</v>
      </c>
      <c r="AI364">
        <v>63</v>
      </c>
      <c r="AM364" s="23">
        <f t="shared" si="10"/>
        <v>175.875</v>
      </c>
      <c r="AN364" s="23">
        <v>469</v>
      </c>
      <c r="AO364" s="24">
        <v>0.2</v>
      </c>
      <c r="AP364" s="23">
        <f t="shared" si="11"/>
        <v>562.79999999999995</v>
      </c>
    </row>
    <row r="365" spans="1:42" ht="15" customHeight="1" x14ac:dyDescent="0.3">
      <c r="A365" t="s">
        <v>1975</v>
      </c>
      <c r="B365" t="s">
        <v>2637</v>
      </c>
      <c r="C365" t="s">
        <v>1977</v>
      </c>
      <c r="D365" s="22" t="s">
        <v>2638</v>
      </c>
      <c r="E365" t="s">
        <v>1979</v>
      </c>
      <c r="F365" t="s">
        <v>1980</v>
      </c>
      <c r="P365" t="s">
        <v>1830</v>
      </c>
      <c r="Q365" t="s">
        <v>1981</v>
      </c>
      <c r="R365" t="s">
        <v>1994</v>
      </c>
      <c r="S365" t="s">
        <v>1894</v>
      </c>
      <c r="T365" t="s">
        <v>1940</v>
      </c>
      <c r="V365">
        <v>1</v>
      </c>
      <c r="AE365" t="s">
        <v>56</v>
      </c>
      <c r="AF365" t="s">
        <v>57</v>
      </c>
      <c r="AH365">
        <v>68</v>
      </c>
      <c r="AI365">
        <v>68</v>
      </c>
      <c r="AM365" s="23">
        <f t="shared" si="10"/>
        <v>190.5</v>
      </c>
      <c r="AN365" s="23">
        <v>508</v>
      </c>
      <c r="AO365" s="24">
        <v>0.2</v>
      </c>
      <c r="AP365" s="23">
        <f t="shared" si="11"/>
        <v>609.6</v>
      </c>
    </row>
    <row r="366" spans="1:42" ht="15" customHeight="1" x14ac:dyDescent="0.3">
      <c r="A366" t="s">
        <v>1975</v>
      </c>
      <c r="B366" t="s">
        <v>2639</v>
      </c>
      <c r="C366" t="s">
        <v>1977</v>
      </c>
      <c r="D366" s="22" t="s">
        <v>2640</v>
      </c>
      <c r="E366" t="s">
        <v>1979</v>
      </c>
      <c r="F366" t="s">
        <v>1980</v>
      </c>
      <c r="P366" t="s">
        <v>1830</v>
      </c>
      <c r="Q366" t="s">
        <v>1981</v>
      </c>
      <c r="R366" t="s">
        <v>1997</v>
      </c>
      <c r="S366" t="s">
        <v>1894</v>
      </c>
      <c r="T366" t="s">
        <v>1940</v>
      </c>
      <c r="V366">
        <v>1</v>
      </c>
      <c r="AE366" t="s">
        <v>56</v>
      </c>
      <c r="AF366" t="s">
        <v>57</v>
      </c>
      <c r="AH366">
        <v>72</v>
      </c>
      <c r="AI366">
        <v>72</v>
      </c>
      <c r="AM366" s="23">
        <f t="shared" si="10"/>
        <v>202.875</v>
      </c>
      <c r="AN366" s="23">
        <v>541</v>
      </c>
      <c r="AO366" s="24">
        <v>0.2</v>
      </c>
      <c r="AP366" s="23">
        <f t="shared" si="11"/>
        <v>649.19999999999993</v>
      </c>
    </row>
    <row r="367" spans="1:42" ht="15" customHeight="1" x14ac:dyDescent="0.3">
      <c r="A367" t="s">
        <v>1975</v>
      </c>
      <c r="B367" t="s">
        <v>2641</v>
      </c>
      <c r="C367" t="s">
        <v>1977</v>
      </c>
      <c r="D367" s="22" t="s">
        <v>2642</v>
      </c>
      <c r="E367" t="s">
        <v>1979</v>
      </c>
      <c r="F367" t="s">
        <v>1980</v>
      </c>
      <c r="P367" t="s">
        <v>1830</v>
      </c>
      <c r="Q367" t="s">
        <v>1981</v>
      </c>
      <c r="R367" t="s">
        <v>2000</v>
      </c>
      <c r="S367" t="s">
        <v>1894</v>
      </c>
      <c r="T367" t="s">
        <v>1940</v>
      </c>
      <c r="V367">
        <v>1</v>
      </c>
      <c r="AE367" t="s">
        <v>56</v>
      </c>
      <c r="AF367" t="s">
        <v>57</v>
      </c>
      <c r="AH367">
        <v>77</v>
      </c>
      <c r="AI367">
        <v>77</v>
      </c>
      <c r="AM367" s="23">
        <f t="shared" si="10"/>
        <v>215.25</v>
      </c>
      <c r="AN367" s="23">
        <v>574</v>
      </c>
      <c r="AO367" s="24">
        <v>0.2</v>
      </c>
      <c r="AP367" s="23">
        <f t="shared" si="11"/>
        <v>688.8</v>
      </c>
    </row>
    <row r="368" spans="1:42" ht="15" customHeight="1" x14ac:dyDescent="0.3">
      <c r="A368" t="s">
        <v>1975</v>
      </c>
      <c r="B368" t="s">
        <v>2643</v>
      </c>
      <c r="C368" t="s">
        <v>1977</v>
      </c>
      <c r="D368" s="22" t="s">
        <v>2644</v>
      </c>
      <c r="E368" t="s">
        <v>1979</v>
      </c>
      <c r="F368" t="s">
        <v>1980</v>
      </c>
      <c r="P368" t="s">
        <v>1830</v>
      </c>
      <c r="Q368" t="s">
        <v>1981</v>
      </c>
      <c r="R368" t="s">
        <v>2003</v>
      </c>
      <c r="S368" t="s">
        <v>1894</v>
      </c>
      <c r="T368" t="s">
        <v>1940</v>
      </c>
      <c r="V368">
        <v>1</v>
      </c>
      <c r="AE368" t="s">
        <v>56</v>
      </c>
      <c r="AF368" t="s">
        <v>57</v>
      </c>
      <c r="AH368">
        <v>82</v>
      </c>
      <c r="AI368">
        <v>82</v>
      </c>
      <c r="AM368" s="23">
        <f t="shared" si="10"/>
        <v>226.5</v>
      </c>
      <c r="AN368" s="23">
        <v>604</v>
      </c>
      <c r="AO368" s="24">
        <v>0.2</v>
      </c>
      <c r="AP368" s="23">
        <f t="shared" si="11"/>
        <v>724.8</v>
      </c>
    </row>
    <row r="369" spans="1:42" ht="15" customHeight="1" x14ac:dyDescent="0.3">
      <c r="A369" t="s">
        <v>1975</v>
      </c>
      <c r="B369" t="s">
        <v>2645</v>
      </c>
      <c r="C369" t="s">
        <v>1977</v>
      </c>
      <c r="D369" s="22" t="s">
        <v>2646</v>
      </c>
      <c r="E369" t="s">
        <v>1979</v>
      </c>
      <c r="F369" t="s">
        <v>1980</v>
      </c>
      <c r="P369" t="s">
        <v>1830</v>
      </c>
      <c r="Q369" t="s">
        <v>1981</v>
      </c>
      <c r="R369" t="s">
        <v>2006</v>
      </c>
      <c r="S369" t="s">
        <v>1894</v>
      </c>
      <c r="T369" t="s">
        <v>1940</v>
      </c>
      <c r="V369">
        <v>1</v>
      </c>
      <c r="AE369" t="s">
        <v>56</v>
      </c>
      <c r="AF369" t="s">
        <v>57</v>
      </c>
      <c r="AH369">
        <v>87</v>
      </c>
      <c r="AI369">
        <v>87</v>
      </c>
      <c r="AM369" s="23">
        <f t="shared" si="10"/>
        <v>242.25</v>
      </c>
      <c r="AN369" s="23">
        <v>646</v>
      </c>
      <c r="AO369" s="24">
        <v>0.2</v>
      </c>
      <c r="AP369" s="23">
        <f t="shared" si="11"/>
        <v>775.19999999999993</v>
      </c>
    </row>
    <row r="370" spans="1:42" ht="15" customHeight="1" x14ac:dyDescent="0.3">
      <c r="A370" t="s">
        <v>1975</v>
      </c>
      <c r="B370" t="s">
        <v>2647</v>
      </c>
      <c r="C370" t="s">
        <v>1977</v>
      </c>
      <c r="D370" s="22" t="s">
        <v>2648</v>
      </c>
      <c r="E370" t="s">
        <v>1979</v>
      </c>
      <c r="F370" t="s">
        <v>1980</v>
      </c>
      <c r="P370" t="s">
        <v>1830</v>
      </c>
      <c r="Q370" t="s">
        <v>1981</v>
      </c>
      <c r="R370" t="s">
        <v>2009</v>
      </c>
      <c r="S370" t="s">
        <v>1894</v>
      </c>
      <c r="T370" t="s">
        <v>1940</v>
      </c>
      <c r="V370">
        <v>1</v>
      </c>
      <c r="AE370" t="s">
        <v>56</v>
      </c>
      <c r="AF370" t="s">
        <v>57</v>
      </c>
      <c r="AH370">
        <v>92</v>
      </c>
      <c r="AI370">
        <v>92</v>
      </c>
      <c r="AM370" s="23">
        <f t="shared" si="10"/>
        <v>253.875</v>
      </c>
      <c r="AN370" s="23">
        <v>677</v>
      </c>
      <c r="AO370" s="24">
        <v>0.2</v>
      </c>
      <c r="AP370" s="23">
        <f t="shared" si="11"/>
        <v>812.4</v>
      </c>
    </row>
    <row r="371" spans="1:42" ht="15" customHeight="1" x14ac:dyDescent="0.3">
      <c r="A371" t="s">
        <v>1975</v>
      </c>
      <c r="B371" t="s">
        <v>2649</v>
      </c>
      <c r="C371" t="s">
        <v>1977</v>
      </c>
      <c r="D371" s="22" t="s">
        <v>2650</v>
      </c>
      <c r="E371" t="s">
        <v>1979</v>
      </c>
      <c r="F371" t="s">
        <v>1980</v>
      </c>
      <c r="P371" t="s">
        <v>1830</v>
      </c>
      <c r="Q371" t="s">
        <v>1981</v>
      </c>
      <c r="R371" t="s">
        <v>2012</v>
      </c>
      <c r="S371" t="s">
        <v>1894</v>
      </c>
      <c r="T371" t="s">
        <v>1940</v>
      </c>
      <c r="V371">
        <v>1</v>
      </c>
      <c r="AE371" t="s">
        <v>56</v>
      </c>
      <c r="AF371" t="s">
        <v>57</v>
      </c>
      <c r="AH371">
        <v>96</v>
      </c>
      <c r="AI371">
        <v>96</v>
      </c>
      <c r="AM371" s="23">
        <f t="shared" si="10"/>
        <v>266.25</v>
      </c>
      <c r="AN371" s="23">
        <v>710</v>
      </c>
      <c r="AO371" s="24">
        <v>0.2</v>
      </c>
      <c r="AP371" s="23">
        <f t="shared" si="11"/>
        <v>852</v>
      </c>
    </row>
    <row r="372" spans="1:42" ht="15" customHeight="1" x14ac:dyDescent="0.3">
      <c r="A372" t="s">
        <v>1975</v>
      </c>
      <c r="B372" t="s">
        <v>2651</v>
      </c>
      <c r="C372" t="s">
        <v>1977</v>
      </c>
      <c r="D372" s="22" t="s">
        <v>2652</v>
      </c>
      <c r="E372" t="s">
        <v>1979</v>
      </c>
      <c r="F372" t="s">
        <v>1980</v>
      </c>
      <c r="P372" t="s">
        <v>1830</v>
      </c>
      <c r="Q372" t="s">
        <v>1981</v>
      </c>
      <c r="R372" t="s">
        <v>2015</v>
      </c>
      <c r="S372" t="s">
        <v>1894</v>
      </c>
      <c r="T372" t="s">
        <v>1940</v>
      </c>
      <c r="V372">
        <v>1</v>
      </c>
      <c r="AE372" t="s">
        <v>56</v>
      </c>
      <c r="AF372" t="s">
        <v>57</v>
      </c>
      <c r="AH372">
        <v>34</v>
      </c>
      <c r="AI372">
        <v>34</v>
      </c>
      <c r="AM372" s="23">
        <f t="shared" si="10"/>
        <v>108</v>
      </c>
      <c r="AN372" s="23">
        <v>288</v>
      </c>
      <c r="AO372" s="24">
        <v>0.2</v>
      </c>
      <c r="AP372" s="23">
        <f t="shared" si="11"/>
        <v>345.59999999999997</v>
      </c>
    </row>
    <row r="373" spans="1:42" ht="15" customHeight="1" x14ac:dyDescent="0.3">
      <c r="A373" t="s">
        <v>1975</v>
      </c>
      <c r="B373" t="s">
        <v>2653</v>
      </c>
      <c r="C373" t="s">
        <v>1977</v>
      </c>
      <c r="D373" s="22" t="s">
        <v>2654</v>
      </c>
      <c r="E373" t="s">
        <v>1979</v>
      </c>
      <c r="F373" t="s">
        <v>1980</v>
      </c>
      <c r="P373" t="s">
        <v>1830</v>
      </c>
      <c r="Q373" t="s">
        <v>1981</v>
      </c>
      <c r="R373" t="s">
        <v>2018</v>
      </c>
      <c r="S373" t="s">
        <v>1894</v>
      </c>
      <c r="T373" t="s">
        <v>1940</v>
      </c>
      <c r="V373">
        <v>1</v>
      </c>
      <c r="AE373" t="s">
        <v>56</v>
      </c>
      <c r="AF373" t="s">
        <v>57</v>
      </c>
      <c r="AH373">
        <v>37</v>
      </c>
      <c r="AI373">
        <v>37</v>
      </c>
      <c r="AM373" s="23">
        <f t="shared" si="10"/>
        <v>126.75</v>
      </c>
      <c r="AN373" s="23">
        <v>338</v>
      </c>
      <c r="AO373" s="24">
        <v>0.2</v>
      </c>
      <c r="AP373" s="23">
        <f t="shared" si="11"/>
        <v>405.59999999999997</v>
      </c>
    </row>
    <row r="374" spans="1:42" ht="15" customHeight="1" x14ac:dyDescent="0.3">
      <c r="A374" t="s">
        <v>1975</v>
      </c>
      <c r="B374" t="s">
        <v>2655</v>
      </c>
      <c r="C374" t="s">
        <v>1977</v>
      </c>
      <c r="D374" s="22" t="s">
        <v>2656</v>
      </c>
      <c r="E374" t="s">
        <v>1979</v>
      </c>
      <c r="F374" t="s">
        <v>1980</v>
      </c>
      <c r="P374" t="s">
        <v>1830</v>
      </c>
      <c r="Q374" t="s">
        <v>1981</v>
      </c>
      <c r="R374" t="s">
        <v>2021</v>
      </c>
      <c r="S374" t="s">
        <v>1894</v>
      </c>
      <c r="T374" t="s">
        <v>1940</v>
      </c>
      <c r="V374">
        <v>1</v>
      </c>
      <c r="AE374" t="s">
        <v>56</v>
      </c>
      <c r="AF374" t="s">
        <v>57</v>
      </c>
      <c r="AH374">
        <v>41</v>
      </c>
      <c r="AI374">
        <v>41</v>
      </c>
      <c r="AM374" s="23">
        <f t="shared" si="10"/>
        <v>129.375</v>
      </c>
      <c r="AN374" s="23">
        <v>345</v>
      </c>
      <c r="AO374" s="24">
        <v>0.2</v>
      </c>
      <c r="AP374" s="23">
        <f t="shared" si="11"/>
        <v>414</v>
      </c>
    </row>
    <row r="375" spans="1:42" ht="15" customHeight="1" x14ac:dyDescent="0.3">
      <c r="A375" t="s">
        <v>1975</v>
      </c>
      <c r="B375" t="s">
        <v>2657</v>
      </c>
      <c r="C375" t="s">
        <v>1977</v>
      </c>
      <c r="D375" s="22" t="s">
        <v>2658</v>
      </c>
      <c r="E375" t="s">
        <v>1979</v>
      </c>
      <c r="F375" t="s">
        <v>1980</v>
      </c>
      <c r="P375" t="s">
        <v>1830</v>
      </c>
      <c r="Q375" t="s">
        <v>1981</v>
      </c>
      <c r="R375" t="s">
        <v>2024</v>
      </c>
      <c r="S375" t="s">
        <v>1894</v>
      </c>
      <c r="T375" t="s">
        <v>1940</v>
      </c>
      <c r="V375">
        <v>1</v>
      </c>
      <c r="AE375" t="s">
        <v>56</v>
      </c>
      <c r="AF375" t="s">
        <v>57</v>
      </c>
      <c r="AH375">
        <v>44</v>
      </c>
      <c r="AI375">
        <v>44</v>
      </c>
      <c r="AM375" s="23">
        <f t="shared" si="10"/>
        <v>139.875</v>
      </c>
      <c r="AN375" s="23">
        <v>373</v>
      </c>
      <c r="AO375" s="24">
        <v>0.2</v>
      </c>
      <c r="AP375" s="23">
        <f t="shared" si="11"/>
        <v>447.59999999999997</v>
      </c>
    </row>
    <row r="376" spans="1:42" ht="15" customHeight="1" x14ac:dyDescent="0.3">
      <c r="A376" t="s">
        <v>1975</v>
      </c>
      <c r="B376" t="s">
        <v>2659</v>
      </c>
      <c r="C376" t="s">
        <v>1977</v>
      </c>
      <c r="D376" s="22" t="s">
        <v>2660</v>
      </c>
      <c r="E376" t="s">
        <v>1979</v>
      </c>
      <c r="F376" t="s">
        <v>1980</v>
      </c>
      <c r="P376" t="s">
        <v>1830</v>
      </c>
      <c r="Q376" t="s">
        <v>1981</v>
      </c>
      <c r="R376" t="s">
        <v>2027</v>
      </c>
      <c r="S376" t="s">
        <v>1894</v>
      </c>
      <c r="T376" t="s">
        <v>1940</v>
      </c>
      <c r="V376">
        <v>1</v>
      </c>
      <c r="AE376" t="s">
        <v>56</v>
      </c>
      <c r="AF376" t="s">
        <v>57</v>
      </c>
      <c r="AH376">
        <v>48</v>
      </c>
      <c r="AI376">
        <v>48</v>
      </c>
      <c r="AM376" s="23">
        <f t="shared" si="10"/>
        <v>139.875</v>
      </c>
      <c r="AN376" s="23">
        <v>373</v>
      </c>
      <c r="AO376" s="24">
        <v>0.2</v>
      </c>
      <c r="AP376" s="23">
        <f t="shared" si="11"/>
        <v>447.59999999999997</v>
      </c>
    </row>
    <row r="377" spans="1:42" ht="15" customHeight="1" x14ac:dyDescent="0.3">
      <c r="A377" t="s">
        <v>1975</v>
      </c>
      <c r="B377" t="s">
        <v>2661</v>
      </c>
      <c r="C377" t="s">
        <v>1977</v>
      </c>
      <c r="D377" s="22" t="s">
        <v>2662</v>
      </c>
      <c r="E377" t="s">
        <v>1979</v>
      </c>
      <c r="F377" t="s">
        <v>1980</v>
      </c>
      <c r="P377" t="s">
        <v>1830</v>
      </c>
      <c r="Q377" t="s">
        <v>1981</v>
      </c>
      <c r="R377" t="s">
        <v>2030</v>
      </c>
      <c r="S377" t="s">
        <v>1894</v>
      </c>
      <c r="T377" t="s">
        <v>1940</v>
      </c>
      <c r="V377">
        <v>1</v>
      </c>
      <c r="AE377" t="s">
        <v>56</v>
      </c>
      <c r="AF377" t="s">
        <v>57</v>
      </c>
      <c r="AH377">
        <v>51</v>
      </c>
      <c r="AI377">
        <v>51</v>
      </c>
      <c r="AM377" s="23">
        <f t="shared" si="10"/>
        <v>148.125</v>
      </c>
      <c r="AN377" s="23">
        <v>395</v>
      </c>
      <c r="AO377" s="24">
        <v>0.2</v>
      </c>
      <c r="AP377" s="23">
        <f t="shared" si="11"/>
        <v>474</v>
      </c>
    </row>
    <row r="378" spans="1:42" ht="15" customHeight="1" x14ac:dyDescent="0.3">
      <c r="A378" t="s">
        <v>1975</v>
      </c>
      <c r="B378" t="s">
        <v>2663</v>
      </c>
      <c r="C378" t="s">
        <v>1977</v>
      </c>
      <c r="D378" s="22" t="s">
        <v>2664</v>
      </c>
      <c r="E378" t="s">
        <v>1979</v>
      </c>
      <c r="F378" t="s">
        <v>1980</v>
      </c>
      <c r="P378" t="s">
        <v>1830</v>
      </c>
      <c r="Q378" t="s">
        <v>1981</v>
      </c>
      <c r="R378" t="s">
        <v>2033</v>
      </c>
      <c r="S378" t="s">
        <v>1894</v>
      </c>
      <c r="T378" t="s">
        <v>1940</v>
      </c>
      <c r="V378">
        <v>1</v>
      </c>
      <c r="AE378" t="s">
        <v>56</v>
      </c>
      <c r="AF378" t="s">
        <v>57</v>
      </c>
      <c r="AH378">
        <v>54</v>
      </c>
      <c r="AI378">
        <v>54</v>
      </c>
      <c r="AM378" s="23">
        <f t="shared" si="10"/>
        <v>156.75</v>
      </c>
      <c r="AN378" s="23">
        <v>418</v>
      </c>
      <c r="AO378" s="24">
        <v>0.2</v>
      </c>
      <c r="AP378" s="23">
        <f t="shared" si="11"/>
        <v>501.59999999999997</v>
      </c>
    </row>
    <row r="379" spans="1:42" ht="15" customHeight="1" x14ac:dyDescent="0.3">
      <c r="A379" t="s">
        <v>1975</v>
      </c>
      <c r="B379" t="s">
        <v>2665</v>
      </c>
      <c r="C379" t="s">
        <v>1977</v>
      </c>
      <c r="D379" s="22" t="s">
        <v>2666</v>
      </c>
      <c r="E379" t="s">
        <v>1979</v>
      </c>
      <c r="F379" t="s">
        <v>1980</v>
      </c>
      <c r="P379" t="s">
        <v>1830</v>
      </c>
      <c r="Q379" t="s">
        <v>1981</v>
      </c>
      <c r="R379" t="s">
        <v>2036</v>
      </c>
      <c r="S379" t="s">
        <v>1894</v>
      </c>
      <c r="T379" t="s">
        <v>1940</v>
      </c>
      <c r="V379">
        <v>1</v>
      </c>
      <c r="AE379" t="s">
        <v>56</v>
      </c>
      <c r="AF379" t="s">
        <v>57</v>
      </c>
      <c r="AH379">
        <v>58</v>
      </c>
      <c r="AI379">
        <v>58</v>
      </c>
      <c r="AM379" s="23">
        <f t="shared" si="10"/>
        <v>165</v>
      </c>
      <c r="AN379" s="23">
        <v>440</v>
      </c>
      <c r="AO379" s="24">
        <v>0.2</v>
      </c>
      <c r="AP379" s="23">
        <f t="shared" si="11"/>
        <v>528</v>
      </c>
    </row>
    <row r="380" spans="1:42" ht="15" customHeight="1" x14ac:dyDescent="0.3">
      <c r="A380" t="s">
        <v>1975</v>
      </c>
      <c r="B380" t="s">
        <v>2667</v>
      </c>
      <c r="C380" t="s">
        <v>1977</v>
      </c>
      <c r="D380" s="22" t="s">
        <v>2668</v>
      </c>
      <c r="E380" t="s">
        <v>1979</v>
      </c>
      <c r="F380" t="s">
        <v>1980</v>
      </c>
      <c r="P380" t="s">
        <v>1830</v>
      </c>
      <c r="Q380" t="s">
        <v>1981</v>
      </c>
      <c r="R380" t="s">
        <v>2039</v>
      </c>
      <c r="S380" t="s">
        <v>1894</v>
      </c>
      <c r="T380" t="s">
        <v>1940</v>
      </c>
      <c r="V380">
        <v>1</v>
      </c>
      <c r="AE380" t="s">
        <v>56</v>
      </c>
      <c r="AF380" t="s">
        <v>57</v>
      </c>
      <c r="AH380">
        <v>61</v>
      </c>
      <c r="AI380">
        <v>61</v>
      </c>
      <c r="AM380" s="23">
        <f t="shared" si="10"/>
        <v>175.875</v>
      </c>
      <c r="AN380" s="23">
        <v>469</v>
      </c>
      <c r="AO380" s="24">
        <v>0.2</v>
      </c>
      <c r="AP380" s="23">
        <f t="shared" si="11"/>
        <v>562.79999999999995</v>
      </c>
    </row>
    <row r="381" spans="1:42" ht="15" customHeight="1" x14ac:dyDescent="0.3">
      <c r="A381" t="s">
        <v>1975</v>
      </c>
      <c r="B381" t="s">
        <v>2669</v>
      </c>
      <c r="C381" t="s">
        <v>1977</v>
      </c>
      <c r="D381" s="22" t="s">
        <v>2670</v>
      </c>
      <c r="E381" t="s">
        <v>1979</v>
      </c>
      <c r="F381" t="s">
        <v>1980</v>
      </c>
      <c r="P381" t="s">
        <v>1830</v>
      </c>
      <c r="Q381" t="s">
        <v>1981</v>
      </c>
      <c r="R381" t="s">
        <v>2042</v>
      </c>
      <c r="S381" t="s">
        <v>1894</v>
      </c>
      <c r="T381" t="s">
        <v>1940</v>
      </c>
      <c r="V381">
        <v>1</v>
      </c>
      <c r="AE381" t="s">
        <v>56</v>
      </c>
      <c r="AF381" t="s">
        <v>57</v>
      </c>
      <c r="AH381">
        <v>64</v>
      </c>
      <c r="AI381">
        <v>64</v>
      </c>
      <c r="AM381" s="23">
        <f t="shared" si="10"/>
        <v>196.125</v>
      </c>
      <c r="AN381" s="23">
        <v>523</v>
      </c>
      <c r="AO381" s="24">
        <v>0.2</v>
      </c>
      <c r="AP381" s="23">
        <f t="shared" si="11"/>
        <v>627.6</v>
      </c>
    </row>
    <row r="382" spans="1:42" ht="15" customHeight="1" x14ac:dyDescent="0.3">
      <c r="A382" t="s">
        <v>1975</v>
      </c>
      <c r="B382" t="s">
        <v>2671</v>
      </c>
      <c r="C382" t="s">
        <v>1977</v>
      </c>
      <c r="D382" s="22" t="s">
        <v>2672</v>
      </c>
      <c r="E382" t="s">
        <v>1979</v>
      </c>
      <c r="F382" t="s">
        <v>1980</v>
      </c>
      <c r="P382" t="s">
        <v>1830</v>
      </c>
      <c r="Q382" t="s">
        <v>1981</v>
      </c>
      <c r="R382" t="s">
        <v>2045</v>
      </c>
      <c r="S382" t="s">
        <v>1894</v>
      </c>
      <c r="T382" t="s">
        <v>1940</v>
      </c>
      <c r="V382">
        <v>1</v>
      </c>
      <c r="AE382" t="s">
        <v>56</v>
      </c>
      <c r="AF382" t="s">
        <v>57</v>
      </c>
      <c r="AH382">
        <v>68</v>
      </c>
      <c r="AI382">
        <v>68</v>
      </c>
      <c r="AM382" s="23">
        <f t="shared" si="10"/>
        <v>200.625</v>
      </c>
      <c r="AN382" s="23">
        <v>535</v>
      </c>
      <c r="AO382" s="24">
        <v>0.2</v>
      </c>
      <c r="AP382" s="23">
        <f t="shared" si="11"/>
        <v>642</v>
      </c>
    </row>
    <row r="383" spans="1:42" ht="15" customHeight="1" x14ac:dyDescent="0.3">
      <c r="A383" t="s">
        <v>1975</v>
      </c>
      <c r="B383" t="s">
        <v>2673</v>
      </c>
      <c r="C383" t="s">
        <v>1977</v>
      </c>
      <c r="D383" s="22" t="s">
        <v>2674</v>
      </c>
      <c r="E383" t="s">
        <v>1979</v>
      </c>
      <c r="F383" t="s">
        <v>1980</v>
      </c>
      <c r="P383" t="s">
        <v>1830</v>
      </c>
      <c r="Q383" t="s">
        <v>1981</v>
      </c>
      <c r="R383" t="s">
        <v>2048</v>
      </c>
      <c r="S383" t="s">
        <v>1894</v>
      </c>
      <c r="T383" t="s">
        <v>1940</v>
      </c>
      <c r="V383">
        <v>1</v>
      </c>
      <c r="AE383" t="s">
        <v>56</v>
      </c>
      <c r="AF383" t="s">
        <v>57</v>
      </c>
      <c r="AH383">
        <v>24</v>
      </c>
      <c r="AI383">
        <v>24</v>
      </c>
      <c r="AM383" s="23">
        <f t="shared" si="10"/>
        <v>95.625</v>
      </c>
      <c r="AN383" s="23">
        <v>255</v>
      </c>
      <c r="AO383" s="24">
        <v>0.2</v>
      </c>
      <c r="AP383" s="23">
        <f t="shared" si="11"/>
        <v>306</v>
      </c>
    </row>
    <row r="384" spans="1:42" ht="15" customHeight="1" x14ac:dyDescent="0.3">
      <c r="A384" t="s">
        <v>1975</v>
      </c>
      <c r="B384" t="s">
        <v>2675</v>
      </c>
      <c r="C384" t="s">
        <v>1977</v>
      </c>
      <c r="D384" s="22" t="s">
        <v>2676</v>
      </c>
      <c r="E384" t="s">
        <v>1979</v>
      </c>
      <c r="F384" t="s">
        <v>1980</v>
      </c>
      <c r="P384" t="s">
        <v>1830</v>
      </c>
      <c r="Q384" t="s">
        <v>1981</v>
      </c>
      <c r="R384" t="s">
        <v>2051</v>
      </c>
      <c r="S384" t="s">
        <v>1894</v>
      </c>
      <c r="T384" t="s">
        <v>1940</v>
      </c>
      <c r="V384">
        <v>1</v>
      </c>
      <c r="AE384" t="s">
        <v>56</v>
      </c>
      <c r="AF384" t="s">
        <v>57</v>
      </c>
      <c r="AH384">
        <v>27</v>
      </c>
      <c r="AI384">
        <v>27</v>
      </c>
      <c r="AM384" s="23">
        <f t="shared" si="10"/>
        <v>100.5</v>
      </c>
      <c r="AN384" s="23">
        <v>268</v>
      </c>
      <c r="AO384" s="24">
        <v>0.2</v>
      </c>
      <c r="AP384" s="23">
        <f t="shared" si="11"/>
        <v>321.59999999999997</v>
      </c>
    </row>
    <row r="385" spans="1:42" ht="15" customHeight="1" x14ac:dyDescent="0.3">
      <c r="A385" t="s">
        <v>1975</v>
      </c>
      <c r="B385" t="s">
        <v>2677</v>
      </c>
      <c r="C385" t="s">
        <v>1977</v>
      </c>
      <c r="D385" s="22" t="s">
        <v>2678</v>
      </c>
      <c r="E385" t="s">
        <v>1979</v>
      </c>
      <c r="F385" t="s">
        <v>1980</v>
      </c>
      <c r="P385" t="s">
        <v>1830</v>
      </c>
      <c r="Q385" t="s">
        <v>1981</v>
      </c>
      <c r="R385" t="s">
        <v>2054</v>
      </c>
      <c r="S385" t="s">
        <v>1894</v>
      </c>
      <c r="T385" t="s">
        <v>1940</v>
      </c>
      <c r="V385">
        <v>1</v>
      </c>
      <c r="AE385" t="s">
        <v>56</v>
      </c>
      <c r="AF385" t="s">
        <v>57</v>
      </c>
      <c r="AH385">
        <v>31</v>
      </c>
      <c r="AI385">
        <v>31</v>
      </c>
      <c r="AM385" s="23">
        <f t="shared" si="10"/>
        <v>104.25</v>
      </c>
      <c r="AN385" s="23">
        <v>278</v>
      </c>
      <c r="AO385" s="24">
        <v>0.2</v>
      </c>
      <c r="AP385" s="23">
        <f t="shared" si="11"/>
        <v>333.59999999999997</v>
      </c>
    </row>
    <row r="386" spans="1:42" ht="15" customHeight="1" x14ac:dyDescent="0.3">
      <c r="A386" t="s">
        <v>1975</v>
      </c>
      <c r="B386" t="s">
        <v>2679</v>
      </c>
      <c r="C386" t="s">
        <v>1977</v>
      </c>
      <c r="D386" s="22" t="s">
        <v>2680</v>
      </c>
      <c r="E386" t="s">
        <v>1979</v>
      </c>
      <c r="F386" t="s">
        <v>1980</v>
      </c>
      <c r="P386" t="s">
        <v>1830</v>
      </c>
      <c r="Q386" t="s">
        <v>1981</v>
      </c>
      <c r="R386" t="s">
        <v>2057</v>
      </c>
      <c r="S386" t="s">
        <v>1894</v>
      </c>
      <c r="T386" t="s">
        <v>1940</v>
      </c>
      <c r="V386">
        <v>1</v>
      </c>
      <c r="AE386" t="s">
        <v>56</v>
      </c>
      <c r="AF386" t="s">
        <v>57</v>
      </c>
      <c r="AH386">
        <v>39</v>
      </c>
      <c r="AI386">
        <v>39</v>
      </c>
      <c r="AM386" s="23">
        <f t="shared" ref="AM386:AM449" si="12">AN386*0.5*0.75</f>
        <v>113.625</v>
      </c>
      <c r="AN386" s="23">
        <v>303</v>
      </c>
      <c r="AO386" s="24">
        <v>0.2</v>
      </c>
      <c r="AP386" s="23">
        <f t="shared" ref="AP386:AP449" si="13">AN386*1.2</f>
        <v>363.59999999999997</v>
      </c>
    </row>
    <row r="387" spans="1:42" ht="15" customHeight="1" x14ac:dyDescent="0.3">
      <c r="A387" t="s">
        <v>1975</v>
      </c>
      <c r="B387" t="s">
        <v>2681</v>
      </c>
      <c r="C387" t="s">
        <v>1977</v>
      </c>
      <c r="D387" s="22" t="s">
        <v>2682</v>
      </c>
      <c r="E387" t="s">
        <v>1979</v>
      </c>
      <c r="F387" t="s">
        <v>1980</v>
      </c>
      <c r="P387" t="s">
        <v>1830</v>
      </c>
      <c r="Q387" t="s">
        <v>1981</v>
      </c>
      <c r="R387" t="s">
        <v>2060</v>
      </c>
      <c r="S387" t="s">
        <v>1894</v>
      </c>
      <c r="T387" t="s">
        <v>1940</v>
      </c>
      <c r="V387">
        <v>1</v>
      </c>
      <c r="AE387" t="s">
        <v>56</v>
      </c>
      <c r="AF387" t="s">
        <v>57</v>
      </c>
      <c r="AH387">
        <v>43</v>
      </c>
      <c r="AI387">
        <v>43</v>
      </c>
      <c r="AM387" s="23">
        <f t="shared" si="12"/>
        <v>130.5</v>
      </c>
      <c r="AN387" s="23">
        <v>348</v>
      </c>
      <c r="AO387" s="24">
        <v>0.2</v>
      </c>
      <c r="AP387" s="23">
        <f t="shared" si="13"/>
        <v>417.59999999999997</v>
      </c>
    </row>
    <row r="388" spans="1:42" ht="15" customHeight="1" x14ac:dyDescent="0.3">
      <c r="A388" t="s">
        <v>1975</v>
      </c>
      <c r="B388" t="s">
        <v>2683</v>
      </c>
      <c r="C388" t="s">
        <v>1977</v>
      </c>
      <c r="D388" s="22" t="s">
        <v>2684</v>
      </c>
      <c r="E388" t="s">
        <v>1979</v>
      </c>
      <c r="F388" t="s">
        <v>1980</v>
      </c>
      <c r="P388" t="s">
        <v>1830</v>
      </c>
      <c r="Q388" t="s">
        <v>1981</v>
      </c>
      <c r="R388" t="s">
        <v>2063</v>
      </c>
      <c r="S388" t="s">
        <v>1894</v>
      </c>
      <c r="T388" t="s">
        <v>1940</v>
      </c>
      <c r="V388">
        <v>1</v>
      </c>
      <c r="AE388" t="s">
        <v>56</v>
      </c>
      <c r="AF388" t="s">
        <v>57</v>
      </c>
      <c r="AH388">
        <v>47</v>
      </c>
      <c r="AI388">
        <v>47</v>
      </c>
      <c r="AM388" s="23">
        <f t="shared" si="12"/>
        <v>136.125</v>
      </c>
      <c r="AN388" s="23">
        <v>363</v>
      </c>
      <c r="AO388" s="24">
        <v>0.2</v>
      </c>
      <c r="AP388" s="23">
        <f t="shared" si="13"/>
        <v>435.59999999999997</v>
      </c>
    </row>
    <row r="389" spans="1:42" ht="15" customHeight="1" x14ac:dyDescent="0.3">
      <c r="A389" t="s">
        <v>1975</v>
      </c>
      <c r="B389" t="s">
        <v>2685</v>
      </c>
      <c r="C389" t="s">
        <v>1977</v>
      </c>
      <c r="D389" s="22" t="s">
        <v>2686</v>
      </c>
      <c r="E389" t="s">
        <v>1979</v>
      </c>
      <c r="F389" t="s">
        <v>1980</v>
      </c>
      <c r="P389" t="s">
        <v>1830</v>
      </c>
      <c r="Q389" t="s">
        <v>1981</v>
      </c>
      <c r="R389" t="s">
        <v>2066</v>
      </c>
      <c r="S389" t="s">
        <v>1894</v>
      </c>
      <c r="T389" t="s">
        <v>1940</v>
      </c>
      <c r="V389">
        <v>1</v>
      </c>
      <c r="AE389" t="s">
        <v>56</v>
      </c>
      <c r="AF389" t="s">
        <v>57</v>
      </c>
      <c r="AH389">
        <v>50</v>
      </c>
      <c r="AI389">
        <v>50</v>
      </c>
      <c r="AM389" s="23">
        <f t="shared" si="12"/>
        <v>153.75</v>
      </c>
      <c r="AN389" s="23">
        <v>410</v>
      </c>
      <c r="AO389" s="24">
        <v>0.2</v>
      </c>
      <c r="AP389" s="23">
        <f t="shared" si="13"/>
        <v>492</v>
      </c>
    </row>
    <row r="390" spans="1:42" ht="15" customHeight="1" x14ac:dyDescent="0.3">
      <c r="A390" t="s">
        <v>1975</v>
      </c>
      <c r="B390" t="s">
        <v>2687</v>
      </c>
      <c r="C390" t="s">
        <v>1977</v>
      </c>
      <c r="D390" s="22" t="s">
        <v>2688</v>
      </c>
      <c r="E390" t="s">
        <v>1979</v>
      </c>
      <c r="F390" t="s">
        <v>1980</v>
      </c>
      <c r="P390" t="s">
        <v>1830</v>
      </c>
      <c r="Q390" t="s">
        <v>1981</v>
      </c>
      <c r="R390" t="s">
        <v>2069</v>
      </c>
      <c r="S390" t="s">
        <v>1894</v>
      </c>
      <c r="T390" t="s">
        <v>1940</v>
      </c>
      <c r="V390">
        <v>1</v>
      </c>
      <c r="AE390" t="s">
        <v>56</v>
      </c>
      <c r="AF390" t="s">
        <v>57</v>
      </c>
      <c r="AH390">
        <v>54</v>
      </c>
      <c r="AI390">
        <v>54</v>
      </c>
      <c r="AM390" s="23">
        <f t="shared" si="12"/>
        <v>156.75</v>
      </c>
      <c r="AN390" s="23">
        <v>418</v>
      </c>
      <c r="AO390" s="24">
        <v>0.2</v>
      </c>
      <c r="AP390" s="23">
        <f t="shared" si="13"/>
        <v>501.59999999999997</v>
      </c>
    </row>
    <row r="391" spans="1:42" ht="15" customHeight="1" x14ac:dyDescent="0.3">
      <c r="A391" t="s">
        <v>1975</v>
      </c>
      <c r="B391" t="s">
        <v>2689</v>
      </c>
      <c r="C391" t="s">
        <v>1977</v>
      </c>
      <c r="D391" s="22" t="s">
        <v>2690</v>
      </c>
      <c r="E391" t="s">
        <v>1979</v>
      </c>
      <c r="F391" t="s">
        <v>1980</v>
      </c>
      <c r="P391" t="s">
        <v>1830</v>
      </c>
      <c r="Q391" t="s">
        <v>1981</v>
      </c>
      <c r="R391" t="s">
        <v>2072</v>
      </c>
      <c r="S391" t="s">
        <v>1894</v>
      </c>
      <c r="T391" t="s">
        <v>1940</v>
      </c>
      <c r="V391">
        <v>1</v>
      </c>
      <c r="AE391" t="s">
        <v>56</v>
      </c>
      <c r="AF391" t="s">
        <v>57</v>
      </c>
      <c r="AH391">
        <v>58</v>
      </c>
      <c r="AI391">
        <v>58</v>
      </c>
      <c r="AM391" s="23">
        <f t="shared" si="12"/>
        <v>166.5</v>
      </c>
      <c r="AN391" s="23">
        <v>444</v>
      </c>
      <c r="AO391" s="24">
        <v>0.2</v>
      </c>
      <c r="AP391" s="23">
        <f t="shared" si="13"/>
        <v>532.79999999999995</v>
      </c>
    </row>
    <row r="392" spans="1:42" ht="15" customHeight="1" x14ac:dyDescent="0.3">
      <c r="A392" t="s">
        <v>1975</v>
      </c>
      <c r="B392" t="s">
        <v>2691</v>
      </c>
      <c r="C392" t="s">
        <v>1977</v>
      </c>
      <c r="D392" s="22" t="s">
        <v>2692</v>
      </c>
      <c r="E392" t="s">
        <v>1979</v>
      </c>
      <c r="F392" t="s">
        <v>1980</v>
      </c>
      <c r="P392" t="s">
        <v>1830</v>
      </c>
      <c r="Q392" t="s">
        <v>1981</v>
      </c>
      <c r="R392" t="s">
        <v>2075</v>
      </c>
      <c r="S392" t="s">
        <v>1894</v>
      </c>
      <c r="T392" t="s">
        <v>1940</v>
      </c>
      <c r="V392">
        <v>1</v>
      </c>
      <c r="AE392" t="s">
        <v>56</v>
      </c>
      <c r="AF392" t="s">
        <v>57</v>
      </c>
      <c r="AH392">
        <v>62</v>
      </c>
      <c r="AI392">
        <v>62</v>
      </c>
      <c r="AM392" s="23">
        <f t="shared" si="12"/>
        <v>175.875</v>
      </c>
      <c r="AN392" s="23">
        <v>469</v>
      </c>
      <c r="AO392" s="24">
        <v>0.2</v>
      </c>
      <c r="AP392" s="23">
        <f t="shared" si="13"/>
        <v>562.79999999999995</v>
      </c>
    </row>
    <row r="393" spans="1:42" ht="15" customHeight="1" x14ac:dyDescent="0.3">
      <c r="A393" t="s">
        <v>1975</v>
      </c>
      <c r="B393" t="s">
        <v>2693</v>
      </c>
      <c r="C393" t="s">
        <v>1977</v>
      </c>
      <c r="D393" s="22" t="s">
        <v>2694</v>
      </c>
      <c r="E393" t="s">
        <v>1979</v>
      </c>
      <c r="F393" t="s">
        <v>1980</v>
      </c>
      <c r="P393" t="s">
        <v>1830</v>
      </c>
      <c r="Q393" t="s">
        <v>1981</v>
      </c>
      <c r="R393" t="s">
        <v>2078</v>
      </c>
      <c r="S393" t="s">
        <v>1894</v>
      </c>
      <c r="T393" t="s">
        <v>1940</v>
      </c>
      <c r="V393">
        <v>1</v>
      </c>
      <c r="AE393" t="s">
        <v>56</v>
      </c>
      <c r="AF393" t="s">
        <v>57</v>
      </c>
      <c r="AH393">
        <v>66</v>
      </c>
      <c r="AI393">
        <v>66</v>
      </c>
      <c r="AM393" s="23">
        <f t="shared" si="12"/>
        <v>185.625</v>
      </c>
      <c r="AN393" s="23">
        <v>495</v>
      </c>
      <c r="AO393" s="24">
        <v>0.2</v>
      </c>
      <c r="AP393" s="23">
        <f t="shared" si="13"/>
        <v>594</v>
      </c>
    </row>
    <row r="394" spans="1:42" ht="15" customHeight="1" x14ac:dyDescent="0.3">
      <c r="A394" t="s">
        <v>1975</v>
      </c>
      <c r="B394" t="s">
        <v>2695</v>
      </c>
      <c r="C394" t="s">
        <v>1977</v>
      </c>
      <c r="D394" s="22" t="s">
        <v>2696</v>
      </c>
      <c r="E394" t="s">
        <v>1979</v>
      </c>
      <c r="F394" t="s">
        <v>1980</v>
      </c>
      <c r="P394" t="s">
        <v>1830</v>
      </c>
      <c r="Q394" t="s">
        <v>1981</v>
      </c>
      <c r="R394" t="s">
        <v>2081</v>
      </c>
      <c r="S394" t="s">
        <v>1894</v>
      </c>
      <c r="T394" t="s">
        <v>1940</v>
      </c>
      <c r="V394">
        <v>1</v>
      </c>
      <c r="AE394" t="s">
        <v>56</v>
      </c>
      <c r="AF394" t="s">
        <v>57</v>
      </c>
      <c r="AH394">
        <v>70</v>
      </c>
      <c r="AI394">
        <v>70</v>
      </c>
      <c r="AM394" s="23">
        <f t="shared" si="12"/>
        <v>198</v>
      </c>
      <c r="AN394" s="23">
        <v>528</v>
      </c>
      <c r="AO394" s="24">
        <v>0.2</v>
      </c>
      <c r="AP394" s="23">
        <f t="shared" si="13"/>
        <v>633.6</v>
      </c>
    </row>
    <row r="395" spans="1:42" ht="15" customHeight="1" x14ac:dyDescent="0.3">
      <c r="A395" t="s">
        <v>1975</v>
      </c>
      <c r="B395" t="s">
        <v>2697</v>
      </c>
      <c r="C395" t="s">
        <v>1977</v>
      </c>
      <c r="D395" s="22" t="s">
        <v>2698</v>
      </c>
      <c r="E395" t="s">
        <v>1979</v>
      </c>
      <c r="F395" t="s">
        <v>1980</v>
      </c>
      <c r="P395" t="s">
        <v>1830</v>
      </c>
      <c r="Q395" t="s">
        <v>1981</v>
      </c>
      <c r="R395" t="s">
        <v>2084</v>
      </c>
      <c r="S395" t="s">
        <v>1894</v>
      </c>
      <c r="T395" t="s">
        <v>1940</v>
      </c>
      <c r="V395">
        <v>1</v>
      </c>
      <c r="AE395" t="s">
        <v>56</v>
      </c>
      <c r="AF395" t="s">
        <v>57</v>
      </c>
      <c r="AH395">
        <v>73</v>
      </c>
      <c r="AI395">
        <v>73</v>
      </c>
      <c r="AM395" s="23">
        <f t="shared" si="12"/>
        <v>219.375</v>
      </c>
      <c r="AN395" s="23">
        <v>585</v>
      </c>
      <c r="AO395" s="24">
        <v>0.2</v>
      </c>
      <c r="AP395" s="23">
        <f t="shared" si="13"/>
        <v>702</v>
      </c>
    </row>
    <row r="396" spans="1:42" ht="15" customHeight="1" x14ac:dyDescent="0.3">
      <c r="A396" t="s">
        <v>1975</v>
      </c>
      <c r="B396" t="s">
        <v>2699</v>
      </c>
      <c r="C396" t="s">
        <v>1977</v>
      </c>
      <c r="D396" s="22" t="s">
        <v>2700</v>
      </c>
      <c r="E396" t="s">
        <v>1979</v>
      </c>
      <c r="F396" t="s">
        <v>1980</v>
      </c>
      <c r="P396" t="s">
        <v>1830</v>
      </c>
      <c r="Q396" t="s">
        <v>1981</v>
      </c>
      <c r="R396" t="s">
        <v>2087</v>
      </c>
      <c r="S396" t="s">
        <v>1894</v>
      </c>
      <c r="T396" t="s">
        <v>1940</v>
      </c>
      <c r="V396">
        <v>1</v>
      </c>
      <c r="AE396" t="s">
        <v>56</v>
      </c>
      <c r="AF396" t="s">
        <v>57</v>
      </c>
      <c r="AH396">
        <v>77</v>
      </c>
      <c r="AI396">
        <v>77</v>
      </c>
      <c r="AM396" s="23">
        <f t="shared" si="12"/>
        <v>223.125</v>
      </c>
      <c r="AN396" s="23">
        <v>595</v>
      </c>
      <c r="AO396" s="24">
        <v>0.2</v>
      </c>
      <c r="AP396" s="23">
        <f t="shared" si="13"/>
        <v>714</v>
      </c>
    </row>
    <row r="397" spans="1:42" ht="15" customHeight="1" x14ac:dyDescent="0.3">
      <c r="A397" t="s">
        <v>1975</v>
      </c>
      <c r="B397" t="s">
        <v>2701</v>
      </c>
      <c r="C397" t="s">
        <v>1977</v>
      </c>
      <c r="D397" s="22" t="s">
        <v>2702</v>
      </c>
      <c r="E397" t="s">
        <v>1979</v>
      </c>
      <c r="F397" t="s">
        <v>1980</v>
      </c>
      <c r="P397" t="s">
        <v>1830</v>
      </c>
      <c r="Q397" t="s">
        <v>1981</v>
      </c>
      <c r="R397" t="s">
        <v>242</v>
      </c>
      <c r="S397" t="s">
        <v>1894</v>
      </c>
      <c r="T397" t="s">
        <v>1940</v>
      </c>
      <c r="V397">
        <v>1</v>
      </c>
      <c r="AE397" t="s">
        <v>56</v>
      </c>
      <c r="AF397" t="s">
        <v>57</v>
      </c>
      <c r="AH397">
        <v>31</v>
      </c>
      <c r="AI397">
        <v>31</v>
      </c>
      <c r="AM397" s="23">
        <f t="shared" si="12"/>
        <v>103.125</v>
      </c>
      <c r="AN397" s="23">
        <v>275</v>
      </c>
      <c r="AO397" s="24">
        <v>0.2</v>
      </c>
      <c r="AP397" s="23">
        <f t="shared" si="13"/>
        <v>330</v>
      </c>
    </row>
    <row r="398" spans="1:42" ht="15" customHeight="1" x14ac:dyDescent="0.3">
      <c r="A398" t="s">
        <v>1975</v>
      </c>
      <c r="B398" t="s">
        <v>2703</v>
      </c>
      <c r="C398" t="s">
        <v>1977</v>
      </c>
      <c r="D398" s="22" t="s">
        <v>2704</v>
      </c>
      <c r="E398" t="s">
        <v>1979</v>
      </c>
      <c r="F398" t="s">
        <v>1980</v>
      </c>
      <c r="P398" t="s">
        <v>1830</v>
      </c>
      <c r="Q398" t="s">
        <v>1981</v>
      </c>
      <c r="R398" t="s">
        <v>2092</v>
      </c>
      <c r="S398" t="s">
        <v>1894</v>
      </c>
      <c r="T398" t="s">
        <v>1940</v>
      </c>
      <c r="V398">
        <v>1</v>
      </c>
      <c r="AE398" t="s">
        <v>56</v>
      </c>
      <c r="AF398" t="s">
        <v>57</v>
      </c>
      <c r="AH398">
        <v>35</v>
      </c>
      <c r="AI398">
        <v>35</v>
      </c>
      <c r="AM398" s="23">
        <f t="shared" si="12"/>
        <v>110.625</v>
      </c>
      <c r="AN398" s="23">
        <v>295</v>
      </c>
      <c r="AO398" s="24">
        <v>0.2</v>
      </c>
      <c r="AP398" s="23">
        <f t="shared" si="13"/>
        <v>354</v>
      </c>
    </row>
    <row r="399" spans="1:42" ht="15" customHeight="1" x14ac:dyDescent="0.3">
      <c r="A399" t="s">
        <v>1975</v>
      </c>
      <c r="B399" t="s">
        <v>2705</v>
      </c>
      <c r="C399" t="s">
        <v>1977</v>
      </c>
      <c r="D399" s="22" t="s">
        <v>2706</v>
      </c>
      <c r="E399" t="s">
        <v>1979</v>
      </c>
      <c r="F399" t="s">
        <v>1980</v>
      </c>
      <c r="P399" t="s">
        <v>1830</v>
      </c>
      <c r="Q399" t="s">
        <v>1981</v>
      </c>
      <c r="R399" t="s">
        <v>2095</v>
      </c>
      <c r="S399" t="s">
        <v>1894</v>
      </c>
      <c r="T399" t="s">
        <v>1940</v>
      </c>
      <c r="V399">
        <v>1</v>
      </c>
      <c r="AE399" t="s">
        <v>56</v>
      </c>
      <c r="AF399" t="s">
        <v>57</v>
      </c>
      <c r="AH399">
        <v>44</v>
      </c>
      <c r="AI399">
        <v>44</v>
      </c>
      <c r="AM399" s="23">
        <f t="shared" si="12"/>
        <v>126.75</v>
      </c>
      <c r="AN399" s="23">
        <v>338</v>
      </c>
      <c r="AO399" s="24">
        <v>0.2</v>
      </c>
      <c r="AP399" s="23">
        <f t="shared" si="13"/>
        <v>405.59999999999997</v>
      </c>
    </row>
    <row r="400" spans="1:42" ht="15" customHeight="1" x14ac:dyDescent="0.3">
      <c r="A400" t="s">
        <v>1975</v>
      </c>
      <c r="B400" t="s">
        <v>2707</v>
      </c>
      <c r="C400" t="s">
        <v>1977</v>
      </c>
      <c r="D400" s="22" t="s">
        <v>2708</v>
      </c>
      <c r="E400" t="s">
        <v>1979</v>
      </c>
      <c r="F400" t="s">
        <v>1980</v>
      </c>
      <c r="P400" t="s">
        <v>1830</v>
      </c>
      <c r="Q400" t="s">
        <v>1981</v>
      </c>
      <c r="R400" t="s">
        <v>2098</v>
      </c>
      <c r="S400" t="s">
        <v>1894</v>
      </c>
      <c r="T400" t="s">
        <v>1940</v>
      </c>
      <c r="V400">
        <v>1</v>
      </c>
      <c r="AE400" t="s">
        <v>56</v>
      </c>
      <c r="AF400" t="s">
        <v>57</v>
      </c>
      <c r="AH400">
        <v>48</v>
      </c>
      <c r="AI400">
        <v>48</v>
      </c>
      <c r="AM400" s="23">
        <f t="shared" si="12"/>
        <v>148.125</v>
      </c>
      <c r="AN400" s="23">
        <v>395</v>
      </c>
      <c r="AO400" s="24">
        <v>0.2</v>
      </c>
      <c r="AP400" s="23">
        <f t="shared" si="13"/>
        <v>474</v>
      </c>
    </row>
    <row r="401" spans="1:42" ht="15" customHeight="1" x14ac:dyDescent="0.3">
      <c r="A401" t="s">
        <v>1975</v>
      </c>
      <c r="B401" t="s">
        <v>2709</v>
      </c>
      <c r="C401" t="s">
        <v>1977</v>
      </c>
      <c r="D401" s="22" t="s">
        <v>2710</v>
      </c>
      <c r="E401" t="s">
        <v>1979</v>
      </c>
      <c r="F401" t="s">
        <v>1980</v>
      </c>
      <c r="P401" t="s">
        <v>1830</v>
      </c>
      <c r="Q401" t="s">
        <v>1981</v>
      </c>
      <c r="R401" t="s">
        <v>2101</v>
      </c>
      <c r="S401" t="s">
        <v>1894</v>
      </c>
      <c r="T401" t="s">
        <v>1940</v>
      </c>
      <c r="V401">
        <v>1</v>
      </c>
      <c r="AE401" t="s">
        <v>56</v>
      </c>
      <c r="AF401" t="s">
        <v>57</v>
      </c>
      <c r="AH401">
        <v>52</v>
      </c>
      <c r="AI401">
        <v>52</v>
      </c>
      <c r="AM401" s="23">
        <f t="shared" si="12"/>
        <v>153</v>
      </c>
      <c r="AN401" s="23">
        <v>408</v>
      </c>
      <c r="AO401" s="24">
        <v>0.2</v>
      </c>
      <c r="AP401" s="23">
        <f t="shared" si="13"/>
        <v>489.59999999999997</v>
      </c>
    </row>
    <row r="402" spans="1:42" ht="15" customHeight="1" x14ac:dyDescent="0.3">
      <c r="A402" t="s">
        <v>1975</v>
      </c>
      <c r="B402" t="s">
        <v>2711</v>
      </c>
      <c r="C402" t="s">
        <v>1977</v>
      </c>
      <c r="D402" s="22" t="s">
        <v>2712</v>
      </c>
      <c r="E402" t="s">
        <v>1979</v>
      </c>
      <c r="F402" t="s">
        <v>1980</v>
      </c>
      <c r="P402" t="s">
        <v>1830</v>
      </c>
      <c r="Q402" t="s">
        <v>1981</v>
      </c>
      <c r="R402" t="s">
        <v>2104</v>
      </c>
      <c r="S402" t="s">
        <v>1894</v>
      </c>
      <c r="T402" t="s">
        <v>1940</v>
      </c>
      <c r="V402">
        <v>1</v>
      </c>
      <c r="AE402" t="s">
        <v>56</v>
      </c>
      <c r="AF402" t="s">
        <v>57</v>
      </c>
      <c r="AH402">
        <v>57</v>
      </c>
      <c r="AI402">
        <v>57</v>
      </c>
      <c r="AM402" s="23">
        <f t="shared" si="12"/>
        <v>168</v>
      </c>
      <c r="AN402" s="23">
        <v>448</v>
      </c>
      <c r="AO402" s="24">
        <v>0.2</v>
      </c>
      <c r="AP402" s="23">
        <f t="shared" si="13"/>
        <v>537.6</v>
      </c>
    </row>
    <row r="403" spans="1:42" ht="15" customHeight="1" x14ac:dyDescent="0.3">
      <c r="A403" t="s">
        <v>1975</v>
      </c>
      <c r="B403" t="s">
        <v>2713</v>
      </c>
      <c r="C403" t="s">
        <v>1977</v>
      </c>
      <c r="D403" s="22" t="s">
        <v>2714</v>
      </c>
      <c r="E403" t="s">
        <v>1979</v>
      </c>
      <c r="F403" t="s">
        <v>1980</v>
      </c>
      <c r="P403" t="s">
        <v>1830</v>
      </c>
      <c r="Q403" t="s">
        <v>1981</v>
      </c>
      <c r="R403" t="s">
        <v>2107</v>
      </c>
      <c r="S403" t="s">
        <v>1894</v>
      </c>
      <c r="T403" t="s">
        <v>1940</v>
      </c>
      <c r="V403">
        <v>1</v>
      </c>
      <c r="AE403" t="s">
        <v>56</v>
      </c>
      <c r="AF403" t="s">
        <v>57</v>
      </c>
      <c r="AH403">
        <v>61</v>
      </c>
      <c r="AI403">
        <v>61</v>
      </c>
      <c r="AM403" s="23">
        <f t="shared" si="12"/>
        <v>173.625</v>
      </c>
      <c r="AN403" s="23">
        <v>463</v>
      </c>
      <c r="AO403" s="24">
        <v>0.2</v>
      </c>
      <c r="AP403" s="23">
        <f t="shared" si="13"/>
        <v>555.6</v>
      </c>
    </row>
    <row r="404" spans="1:42" ht="15" customHeight="1" x14ac:dyDescent="0.3">
      <c r="A404" t="s">
        <v>1975</v>
      </c>
      <c r="B404" t="s">
        <v>2715</v>
      </c>
      <c r="C404" t="s">
        <v>1977</v>
      </c>
      <c r="D404" s="22" t="s">
        <v>2716</v>
      </c>
      <c r="E404" t="s">
        <v>1979</v>
      </c>
      <c r="F404" t="s">
        <v>1980</v>
      </c>
      <c r="P404" t="s">
        <v>1830</v>
      </c>
      <c r="Q404" t="s">
        <v>1981</v>
      </c>
      <c r="R404" t="s">
        <v>2110</v>
      </c>
      <c r="S404" t="s">
        <v>1894</v>
      </c>
      <c r="T404" t="s">
        <v>1940</v>
      </c>
      <c r="V404">
        <v>1</v>
      </c>
      <c r="AE404" t="s">
        <v>56</v>
      </c>
      <c r="AF404" t="s">
        <v>57</v>
      </c>
      <c r="AH404">
        <v>65</v>
      </c>
      <c r="AI404">
        <v>65</v>
      </c>
      <c r="AM404" s="23">
        <f t="shared" si="12"/>
        <v>184.125</v>
      </c>
      <c r="AN404" s="23">
        <v>491</v>
      </c>
      <c r="AO404" s="24">
        <v>0.2</v>
      </c>
      <c r="AP404" s="23">
        <f t="shared" si="13"/>
        <v>589.19999999999993</v>
      </c>
    </row>
    <row r="405" spans="1:42" ht="15" customHeight="1" x14ac:dyDescent="0.3">
      <c r="A405" t="s">
        <v>1975</v>
      </c>
      <c r="B405" t="s">
        <v>2717</v>
      </c>
      <c r="C405" t="s">
        <v>1977</v>
      </c>
      <c r="D405" s="22" t="s">
        <v>2718</v>
      </c>
      <c r="E405" t="s">
        <v>1979</v>
      </c>
      <c r="F405" t="s">
        <v>1980</v>
      </c>
      <c r="P405" t="s">
        <v>1830</v>
      </c>
      <c r="Q405" t="s">
        <v>1981</v>
      </c>
      <c r="R405" t="s">
        <v>2113</v>
      </c>
      <c r="S405" t="s">
        <v>1894</v>
      </c>
      <c r="T405" t="s">
        <v>1940</v>
      </c>
      <c r="V405">
        <v>1</v>
      </c>
      <c r="AE405" t="s">
        <v>56</v>
      </c>
      <c r="AF405" t="s">
        <v>57</v>
      </c>
      <c r="AH405">
        <v>70</v>
      </c>
      <c r="AI405">
        <v>70</v>
      </c>
      <c r="AM405" s="23">
        <f t="shared" si="12"/>
        <v>194.625</v>
      </c>
      <c r="AN405" s="23">
        <v>519</v>
      </c>
      <c r="AO405" s="24">
        <v>0.2</v>
      </c>
      <c r="AP405" s="23">
        <f t="shared" si="13"/>
        <v>622.79999999999995</v>
      </c>
    </row>
    <row r="406" spans="1:42" ht="15" customHeight="1" x14ac:dyDescent="0.3">
      <c r="A406" t="s">
        <v>1975</v>
      </c>
      <c r="B406" t="s">
        <v>2719</v>
      </c>
      <c r="C406" t="s">
        <v>1977</v>
      </c>
      <c r="D406" s="22" t="s">
        <v>2720</v>
      </c>
      <c r="E406" t="s">
        <v>1979</v>
      </c>
      <c r="F406" t="s">
        <v>1980</v>
      </c>
      <c r="P406" t="s">
        <v>1830</v>
      </c>
      <c r="Q406" t="s">
        <v>1981</v>
      </c>
      <c r="R406" t="s">
        <v>2116</v>
      </c>
      <c r="S406" t="s">
        <v>1894</v>
      </c>
      <c r="T406" t="s">
        <v>1940</v>
      </c>
      <c r="V406">
        <v>1</v>
      </c>
      <c r="AE406" t="s">
        <v>56</v>
      </c>
      <c r="AF406" t="s">
        <v>57</v>
      </c>
      <c r="AH406">
        <v>74</v>
      </c>
      <c r="AI406">
        <v>74</v>
      </c>
      <c r="AM406" s="23">
        <f t="shared" si="12"/>
        <v>205.5</v>
      </c>
      <c r="AN406" s="23">
        <v>548</v>
      </c>
      <c r="AO406" s="24">
        <v>0.2</v>
      </c>
      <c r="AP406" s="23">
        <f t="shared" si="13"/>
        <v>657.6</v>
      </c>
    </row>
    <row r="407" spans="1:42" ht="15" customHeight="1" x14ac:dyDescent="0.3">
      <c r="A407" t="s">
        <v>1975</v>
      </c>
      <c r="B407" t="s">
        <v>2721</v>
      </c>
      <c r="C407" t="s">
        <v>1977</v>
      </c>
      <c r="D407" s="22" t="s">
        <v>2722</v>
      </c>
      <c r="E407" t="s">
        <v>1979</v>
      </c>
      <c r="F407" t="s">
        <v>1980</v>
      </c>
      <c r="P407" t="s">
        <v>1830</v>
      </c>
      <c r="Q407" t="s">
        <v>1981</v>
      </c>
      <c r="R407" t="s">
        <v>2119</v>
      </c>
      <c r="S407" t="s">
        <v>1894</v>
      </c>
      <c r="T407" t="s">
        <v>1940</v>
      </c>
      <c r="V407">
        <v>1</v>
      </c>
      <c r="AE407" t="s">
        <v>56</v>
      </c>
      <c r="AF407" t="s">
        <v>57</v>
      </c>
      <c r="AH407">
        <v>78</v>
      </c>
      <c r="AI407">
        <v>78</v>
      </c>
      <c r="AM407" s="23">
        <f t="shared" si="12"/>
        <v>219.375</v>
      </c>
      <c r="AN407" s="23">
        <v>585</v>
      </c>
      <c r="AO407" s="24">
        <v>0.2</v>
      </c>
      <c r="AP407" s="23">
        <f t="shared" si="13"/>
        <v>702</v>
      </c>
    </row>
    <row r="408" spans="1:42" ht="15" customHeight="1" x14ac:dyDescent="0.3">
      <c r="A408" t="s">
        <v>1975</v>
      </c>
      <c r="B408" t="s">
        <v>2723</v>
      </c>
      <c r="C408" t="s">
        <v>1977</v>
      </c>
      <c r="D408" s="22" t="s">
        <v>2724</v>
      </c>
      <c r="E408" t="s">
        <v>1979</v>
      </c>
      <c r="F408" t="s">
        <v>1980</v>
      </c>
      <c r="P408" t="s">
        <v>1830</v>
      </c>
      <c r="Q408" t="s">
        <v>1981</v>
      </c>
      <c r="R408" t="s">
        <v>2122</v>
      </c>
      <c r="S408" t="s">
        <v>1894</v>
      </c>
      <c r="T408" t="s">
        <v>1940</v>
      </c>
      <c r="V408">
        <v>1</v>
      </c>
      <c r="AE408" t="s">
        <v>56</v>
      </c>
      <c r="AF408" t="s">
        <v>57</v>
      </c>
      <c r="AH408">
        <v>83</v>
      </c>
      <c r="AI408">
        <v>83</v>
      </c>
      <c r="AM408" s="23">
        <f t="shared" si="12"/>
        <v>236.25</v>
      </c>
      <c r="AN408" s="23">
        <v>630</v>
      </c>
      <c r="AO408" s="24">
        <v>0.2</v>
      </c>
      <c r="AP408" s="23">
        <f t="shared" si="13"/>
        <v>756</v>
      </c>
    </row>
    <row r="409" spans="1:42" ht="15" customHeight="1" x14ac:dyDescent="0.3">
      <c r="A409" t="s">
        <v>1975</v>
      </c>
      <c r="B409" t="s">
        <v>2725</v>
      </c>
      <c r="C409" t="s">
        <v>1977</v>
      </c>
      <c r="D409" s="22" t="s">
        <v>2726</v>
      </c>
      <c r="E409" t="s">
        <v>1979</v>
      </c>
      <c r="F409" t="s">
        <v>1980</v>
      </c>
      <c r="P409" t="s">
        <v>1830</v>
      </c>
      <c r="Q409" t="s">
        <v>1981</v>
      </c>
      <c r="R409" t="s">
        <v>2125</v>
      </c>
      <c r="S409" t="s">
        <v>1894</v>
      </c>
      <c r="T409" t="s">
        <v>1940</v>
      </c>
      <c r="V409">
        <v>1</v>
      </c>
      <c r="AE409" t="s">
        <v>56</v>
      </c>
      <c r="AF409" t="s">
        <v>57</v>
      </c>
      <c r="AH409">
        <v>87</v>
      </c>
      <c r="AI409">
        <v>87</v>
      </c>
      <c r="AM409" s="23">
        <f t="shared" si="12"/>
        <v>241.125</v>
      </c>
      <c r="AN409" s="23">
        <v>643</v>
      </c>
      <c r="AO409" s="24">
        <v>0.2</v>
      </c>
      <c r="AP409" s="23">
        <f t="shared" si="13"/>
        <v>771.6</v>
      </c>
    </row>
    <row r="410" spans="1:42" ht="15" customHeight="1" x14ac:dyDescent="0.3">
      <c r="A410" t="s">
        <v>1975</v>
      </c>
      <c r="B410" t="s">
        <v>2727</v>
      </c>
      <c r="C410" t="s">
        <v>1977</v>
      </c>
      <c r="D410" s="22" t="s">
        <v>2728</v>
      </c>
      <c r="E410" t="s">
        <v>1979</v>
      </c>
      <c r="F410" t="s">
        <v>1980</v>
      </c>
      <c r="P410" t="s">
        <v>1830</v>
      </c>
      <c r="Q410" t="s">
        <v>1981</v>
      </c>
      <c r="R410" t="s">
        <v>2128</v>
      </c>
      <c r="S410" t="s">
        <v>1894</v>
      </c>
      <c r="T410" t="s">
        <v>1940</v>
      </c>
      <c r="V410">
        <v>1</v>
      </c>
      <c r="AE410" t="s">
        <v>56</v>
      </c>
      <c r="AF410" t="s">
        <v>57</v>
      </c>
      <c r="AH410">
        <v>39</v>
      </c>
      <c r="AI410">
        <v>39</v>
      </c>
      <c r="AM410" s="23">
        <f t="shared" si="12"/>
        <v>114.375</v>
      </c>
      <c r="AN410" s="23">
        <v>305</v>
      </c>
      <c r="AO410" s="24">
        <v>0.2</v>
      </c>
      <c r="AP410" s="23">
        <f t="shared" si="13"/>
        <v>366</v>
      </c>
    </row>
    <row r="411" spans="1:42" ht="15" customHeight="1" x14ac:dyDescent="0.3">
      <c r="A411" t="s">
        <v>1975</v>
      </c>
      <c r="B411" t="s">
        <v>2729</v>
      </c>
      <c r="C411" t="s">
        <v>1977</v>
      </c>
      <c r="D411" s="22" t="s">
        <v>2730</v>
      </c>
      <c r="E411" t="s">
        <v>1979</v>
      </c>
      <c r="F411" t="s">
        <v>1980</v>
      </c>
      <c r="P411" t="s">
        <v>1830</v>
      </c>
      <c r="Q411" t="s">
        <v>1981</v>
      </c>
      <c r="R411" t="s">
        <v>1982</v>
      </c>
      <c r="S411" t="s">
        <v>1894</v>
      </c>
      <c r="T411" t="s">
        <v>2731</v>
      </c>
      <c r="V411">
        <v>1</v>
      </c>
      <c r="AE411" t="s">
        <v>56</v>
      </c>
      <c r="AF411" t="s">
        <v>57</v>
      </c>
      <c r="AH411">
        <v>48</v>
      </c>
      <c r="AI411">
        <v>48</v>
      </c>
      <c r="AM411" s="23">
        <f t="shared" si="12"/>
        <v>137.625</v>
      </c>
      <c r="AN411" s="23">
        <v>367</v>
      </c>
      <c r="AO411" s="24">
        <v>0.2</v>
      </c>
      <c r="AP411" s="23">
        <f t="shared" si="13"/>
        <v>440.4</v>
      </c>
    </row>
    <row r="412" spans="1:42" ht="15" customHeight="1" x14ac:dyDescent="0.3">
      <c r="A412" t="s">
        <v>1975</v>
      </c>
      <c r="B412" t="s">
        <v>2732</v>
      </c>
      <c r="C412" t="s">
        <v>1977</v>
      </c>
      <c r="D412" s="22" t="s">
        <v>2733</v>
      </c>
      <c r="E412" t="s">
        <v>1979</v>
      </c>
      <c r="F412" t="s">
        <v>1980</v>
      </c>
      <c r="P412" t="s">
        <v>1830</v>
      </c>
      <c r="Q412" t="s">
        <v>1981</v>
      </c>
      <c r="R412" t="s">
        <v>1985</v>
      </c>
      <c r="S412" t="s">
        <v>1894</v>
      </c>
      <c r="T412" t="s">
        <v>2731</v>
      </c>
      <c r="V412">
        <v>1</v>
      </c>
      <c r="AE412" t="s">
        <v>56</v>
      </c>
      <c r="AF412" t="s">
        <v>57</v>
      </c>
      <c r="AH412">
        <v>53</v>
      </c>
      <c r="AI412">
        <v>53</v>
      </c>
      <c r="AM412" s="23">
        <f t="shared" si="12"/>
        <v>149.25</v>
      </c>
      <c r="AN412" s="23">
        <v>398</v>
      </c>
      <c r="AO412" s="24">
        <v>0.2</v>
      </c>
      <c r="AP412" s="23">
        <f t="shared" si="13"/>
        <v>477.59999999999997</v>
      </c>
    </row>
    <row r="413" spans="1:42" ht="15" customHeight="1" x14ac:dyDescent="0.3">
      <c r="A413" t="s">
        <v>1975</v>
      </c>
      <c r="B413" t="s">
        <v>2734</v>
      </c>
      <c r="C413" t="s">
        <v>1977</v>
      </c>
      <c r="D413" s="22" t="s">
        <v>2735</v>
      </c>
      <c r="E413" t="s">
        <v>1979</v>
      </c>
      <c r="F413" t="s">
        <v>1980</v>
      </c>
      <c r="P413" t="s">
        <v>1830</v>
      </c>
      <c r="Q413" t="s">
        <v>1981</v>
      </c>
      <c r="R413" t="s">
        <v>1988</v>
      </c>
      <c r="S413" t="s">
        <v>1894</v>
      </c>
      <c r="T413" t="s">
        <v>2731</v>
      </c>
      <c r="V413">
        <v>1</v>
      </c>
      <c r="AE413" t="s">
        <v>56</v>
      </c>
      <c r="AF413" t="s">
        <v>57</v>
      </c>
      <c r="AH413">
        <v>58</v>
      </c>
      <c r="AI413">
        <v>58</v>
      </c>
      <c r="AM413" s="23">
        <f t="shared" si="12"/>
        <v>164.25</v>
      </c>
      <c r="AN413" s="23">
        <v>438</v>
      </c>
      <c r="AO413" s="24">
        <v>0.2</v>
      </c>
      <c r="AP413" s="23">
        <f t="shared" si="13"/>
        <v>525.6</v>
      </c>
    </row>
    <row r="414" spans="1:42" ht="15" customHeight="1" x14ac:dyDescent="0.3">
      <c r="A414" t="s">
        <v>1975</v>
      </c>
      <c r="B414" t="s">
        <v>2736</v>
      </c>
      <c r="C414" t="s">
        <v>1977</v>
      </c>
      <c r="D414" s="22" t="s">
        <v>2737</v>
      </c>
      <c r="E414" t="s">
        <v>1979</v>
      </c>
      <c r="F414" t="s">
        <v>1980</v>
      </c>
      <c r="P414" t="s">
        <v>1830</v>
      </c>
      <c r="Q414" t="s">
        <v>1981</v>
      </c>
      <c r="R414" t="s">
        <v>1991</v>
      </c>
      <c r="S414" t="s">
        <v>1894</v>
      </c>
      <c r="T414" t="s">
        <v>2731</v>
      </c>
      <c r="V414">
        <v>1</v>
      </c>
      <c r="AE414" t="s">
        <v>56</v>
      </c>
      <c r="AF414" t="s">
        <v>57</v>
      </c>
      <c r="AH414">
        <v>63</v>
      </c>
      <c r="AI414">
        <v>63</v>
      </c>
      <c r="AM414" s="23">
        <f t="shared" si="12"/>
        <v>175.875</v>
      </c>
      <c r="AN414" s="23">
        <v>469</v>
      </c>
      <c r="AO414" s="24">
        <v>0.2</v>
      </c>
      <c r="AP414" s="23">
        <f t="shared" si="13"/>
        <v>562.79999999999995</v>
      </c>
    </row>
    <row r="415" spans="1:42" ht="15" customHeight="1" x14ac:dyDescent="0.3">
      <c r="A415" t="s">
        <v>1975</v>
      </c>
      <c r="B415" t="s">
        <v>2738</v>
      </c>
      <c r="C415" t="s">
        <v>1977</v>
      </c>
      <c r="D415" s="22" t="s">
        <v>2739</v>
      </c>
      <c r="E415" t="s">
        <v>1979</v>
      </c>
      <c r="F415" t="s">
        <v>1980</v>
      </c>
      <c r="P415" t="s">
        <v>1830</v>
      </c>
      <c r="Q415" t="s">
        <v>1981</v>
      </c>
      <c r="R415" t="s">
        <v>1994</v>
      </c>
      <c r="S415" t="s">
        <v>1894</v>
      </c>
      <c r="T415" t="s">
        <v>2731</v>
      </c>
      <c r="V415">
        <v>1</v>
      </c>
      <c r="AE415" t="s">
        <v>56</v>
      </c>
      <c r="AF415" t="s">
        <v>57</v>
      </c>
      <c r="AH415">
        <v>68</v>
      </c>
      <c r="AI415">
        <v>68</v>
      </c>
      <c r="AM415" s="23">
        <f t="shared" si="12"/>
        <v>190.5</v>
      </c>
      <c r="AN415" s="23">
        <v>508</v>
      </c>
      <c r="AO415" s="24">
        <v>0.2</v>
      </c>
      <c r="AP415" s="23">
        <f t="shared" si="13"/>
        <v>609.6</v>
      </c>
    </row>
    <row r="416" spans="1:42" ht="15" customHeight="1" x14ac:dyDescent="0.3">
      <c r="A416" t="s">
        <v>1975</v>
      </c>
      <c r="B416" t="s">
        <v>2740</v>
      </c>
      <c r="C416" t="s">
        <v>1977</v>
      </c>
      <c r="D416" s="22" t="s">
        <v>2741</v>
      </c>
      <c r="E416" t="s">
        <v>1979</v>
      </c>
      <c r="F416" t="s">
        <v>1980</v>
      </c>
      <c r="P416" t="s">
        <v>1830</v>
      </c>
      <c r="Q416" t="s">
        <v>1981</v>
      </c>
      <c r="R416" t="s">
        <v>1997</v>
      </c>
      <c r="S416" t="s">
        <v>1894</v>
      </c>
      <c r="T416" t="s">
        <v>2731</v>
      </c>
      <c r="V416">
        <v>1</v>
      </c>
      <c r="AE416" t="s">
        <v>56</v>
      </c>
      <c r="AF416" t="s">
        <v>57</v>
      </c>
      <c r="AH416">
        <v>72</v>
      </c>
      <c r="AI416">
        <v>72</v>
      </c>
      <c r="AM416" s="23">
        <f t="shared" si="12"/>
        <v>202.875</v>
      </c>
      <c r="AN416" s="23">
        <v>541</v>
      </c>
      <c r="AO416" s="24">
        <v>0.2</v>
      </c>
      <c r="AP416" s="23">
        <f t="shared" si="13"/>
        <v>649.19999999999993</v>
      </c>
    </row>
    <row r="417" spans="1:42" ht="15" customHeight="1" x14ac:dyDescent="0.3">
      <c r="A417" t="s">
        <v>1975</v>
      </c>
      <c r="B417" t="s">
        <v>2742</v>
      </c>
      <c r="C417" t="s">
        <v>1977</v>
      </c>
      <c r="D417" s="22" t="s">
        <v>2743</v>
      </c>
      <c r="E417" t="s">
        <v>1979</v>
      </c>
      <c r="F417" t="s">
        <v>1980</v>
      </c>
      <c r="P417" t="s">
        <v>1830</v>
      </c>
      <c r="Q417" t="s">
        <v>1981</v>
      </c>
      <c r="R417" t="s">
        <v>2000</v>
      </c>
      <c r="S417" t="s">
        <v>1894</v>
      </c>
      <c r="T417" t="s">
        <v>2731</v>
      </c>
      <c r="V417">
        <v>1</v>
      </c>
      <c r="AE417" t="s">
        <v>56</v>
      </c>
      <c r="AF417" t="s">
        <v>57</v>
      </c>
      <c r="AH417">
        <v>77</v>
      </c>
      <c r="AI417">
        <v>77</v>
      </c>
      <c r="AM417" s="23">
        <f t="shared" si="12"/>
        <v>215.25</v>
      </c>
      <c r="AN417" s="23">
        <v>574</v>
      </c>
      <c r="AO417" s="24">
        <v>0.2</v>
      </c>
      <c r="AP417" s="23">
        <f t="shared" si="13"/>
        <v>688.8</v>
      </c>
    </row>
    <row r="418" spans="1:42" ht="15" customHeight="1" x14ac:dyDescent="0.3">
      <c r="A418" t="s">
        <v>1975</v>
      </c>
      <c r="B418" t="s">
        <v>2744</v>
      </c>
      <c r="C418" t="s">
        <v>1977</v>
      </c>
      <c r="D418" s="22" t="s">
        <v>2745</v>
      </c>
      <c r="E418" t="s">
        <v>1979</v>
      </c>
      <c r="F418" t="s">
        <v>1980</v>
      </c>
      <c r="P418" t="s">
        <v>1830</v>
      </c>
      <c r="Q418" t="s">
        <v>1981</v>
      </c>
      <c r="R418" t="s">
        <v>2003</v>
      </c>
      <c r="S418" t="s">
        <v>1894</v>
      </c>
      <c r="T418" t="s">
        <v>2731</v>
      </c>
      <c r="V418">
        <v>1</v>
      </c>
      <c r="AE418" t="s">
        <v>56</v>
      </c>
      <c r="AF418" t="s">
        <v>57</v>
      </c>
      <c r="AH418">
        <v>82</v>
      </c>
      <c r="AI418">
        <v>82</v>
      </c>
      <c r="AM418" s="23">
        <f t="shared" si="12"/>
        <v>226.5</v>
      </c>
      <c r="AN418" s="23">
        <v>604</v>
      </c>
      <c r="AO418" s="24">
        <v>0.2</v>
      </c>
      <c r="AP418" s="23">
        <f t="shared" si="13"/>
        <v>724.8</v>
      </c>
    </row>
    <row r="419" spans="1:42" ht="15" customHeight="1" x14ac:dyDescent="0.3">
      <c r="A419" t="s">
        <v>1975</v>
      </c>
      <c r="B419" t="s">
        <v>2746</v>
      </c>
      <c r="C419" t="s">
        <v>1977</v>
      </c>
      <c r="D419" s="22" t="s">
        <v>2747</v>
      </c>
      <c r="E419" t="s">
        <v>1979</v>
      </c>
      <c r="F419" t="s">
        <v>1980</v>
      </c>
      <c r="P419" t="s">
        <v>1830</v>
      </c>
      <c r="Q419" t="s">
        <v>1981</v>
      </c>
      <c r="R419" t="s">
        <v>2006</v>
      </c>
      <c r="S419" t="s">
        <v>1894</v>
      </c>
      <c r="T419" t="s">
        <v>2731</v>
      </c>
      <c r="V419">
        <v>1</v>
      </c>
      <c r="AE419" t="s">
        <v>56</v>
      </c>
      <c r="AF419" t="s">
        <v>57</v>
      </c>
      <c r="AH419">
        <v>87</v>
      </c>
      <c r="AI419">
        <v>87</v>
      </c>
      <c r="AM419" s="23">
        <f t="shared" si="12"/>
        <v>242.25</v>
      </c>
      <c r="AN419" s="23">
        <v>646</v>
      </c>
      <c r="AO419" s="24">
        <v>0.2</v>
      </c>
      <c r="AP419" s="23">
        <f t="shared" si="13"/>
        <v>775.19999999999993</v>
      </c>
    </row>
    <row r="420" spans="1:42" ht="15" customHeight="1" x14ac:dyDescent="0.3">
      <c r="A420" t="s">
        <v>1975</v>
      </c>
      <c r="B420" t="s">
        <v>2748</v>
      </c>
      <c r="C420" t="s">
        <v>1977</v>
      </c>
      <c r="D420" s="22" t="s">
        <v>2749</v>
      </c>
      <c r="E420" t="s">
        <v>1979</v>
      </c>
      <c r="F420" t="s">
        <v>1980</v>
      </c>
      <c r="P420" t="s">
        <v>1830</v>
      </c>
      <c r="Q420" t="s">
        <v>1981</v>
      </c>
      <c r="R420" t="s">
        <v>2009</v>
      </c>
      <c r="S420" t="s">
        <v>1894</v>
      </c>
      <c r="T420" t="s">
        <v>2731</v>
      </c>
      <c r="V420">
        <v>1</v>
      </c>
      <c r="AE420" t="s">
        <v>56</v>
      </c>
      <c r="AF420" t="s">
        <v>57</v>
      </c>
      <c r="AH420">
        <v>92</v>
      </c>
      <c r="AI420">
        <v>92</v>
      </c>
      <c r="AM420" s="23">
        <f t="shared" si="12"/>
        <v>253.875</v>
      </c>
      <c r="AN420" s="23">
        <v>677</v>
      </c>
      <c r="AO420" s="24">
        <v>0.2</v>
      </c>
      <c r="AP420" s="23">
        <f t="shared" si="13"/>
        <v>812.4</v>
      </c>
    </row>
    <row r="421" spans="1:42" ht="15" customHeight="1" x14ac:dyDescent="0.3">
      <c r="A421" t="s">
        <v>1975</v>
      </c>
      <c r="B421" t="s">
        <v>2750</v>
      </c>
      <c r="C421" t="s">
        <v>1977</v>
      </c>
      <c r="D421" s="22" t="s">
        <v>2751</v>
      </c>
      <c r="E421" t="s">
        <v>1979</v>
      </c>
      <c r="F421" t="s">
        <v>1980</v>
      </c>
      <c r="P421" t="s">
        <v>1830</v>
      </c>
      <c r="Q421" t="s">
        <v>1981</v>
      </c>
      <c r="R421" t="s">
        <v>2012</v>
      </c>
      <c r="S421" t="s">
        <v>1894</v>
      </c>
      <c r="T421" t="s">
        <v>2731</v>
      </c>
      <c r="V421">
        <v>1</v>
      </c>
      <c r="AE421" t="s">
        <v>56</v>
      </c>
      <c r="AF421" t="s">
        <v>57</v>
      </c>
      <c r="AH421">
        <v>96</v>
      </c>
      <c r="AI421">
        <v>96</v>
      </c>
      <c r="AM421" s="23">
        <f t="shared" si="12"/>
        <v>266.25</v>
      </c>
      <c r="AN421" s="23">
        <v>710</v>
      </c>
      <c r="AO421" s="24">
        <v>0.2</v>
      </c>
      <c r="AP421" s="23">
        <f t="shared" si="13"/>
        <v>852</v>
      </c>
    </row>
    <row r="422" spans="1:42" ht="15" customHeight="1" x14ac:dyDescent="0.3">
      <c r="A422" t="s">
        <v>1975</v>
      </c>
      <c r="B422" t="s">
        <v>2752</v>
      </c>
      <c r="C422" t="s">
        <v>1977</v>
      </c>
      <c r="D422" s="22" t="s">
        <v>2753</v>
      </c>
      <c r="E422" t="s">
        <v>1979</v>
      </c>
      <c r="F422" t="s">
        <v>1980</v>
      </c>
      <c r="P422" t="s">
        <v>1830</v>
      </c>
      <c r="Q422" t="s">
        <v>1981</v>
      </c>
      <c r="R422" t="s">
        <v>2015</v>
      </c>
      <c r="S422" t="s">
        <v>1894</v>
      </c>
      <c r="T422" t="s">
        <v>2731</v>
      </c>
      <c r="V422">
        <v>1</v>
      </c>
      <c r="AE422" t="s">
        <v>56</v>
      </c>
      <c r="AF422" t="s">
        <v>57</v>
      </c>
      <c r="AH422">
        <v>34</v>
      </c>
      <c r="AI422">
        <v>34</v>
      </c>
      <c r="AM422" s="23">
        <f t="shared" si="12"/>
        <v>108</v>
      </c>
      <c r="AN422" s="23">
        <v>288</v>
      </c>
      <c r="AO422" s="24">
        <v>0.2</v>
      </c>
      <c r="AP422" s="23">
        <f t="shared" si="13"/>
        <v>345.59999999999997</v>
      </c>
    </row>
    <row r="423" spans="1:42" ht="15" customHeight="1" x14ac:dyDescent="0.3">
      <c r="A423" t="s">
        <v>1975</v>
      </c>
      <c r="B423" t="s">
        <v>2754</v>
      </c>
      <c r="C423" t="s">
        <v>1977</v>
      </c>
      <c r="D423" s="22" t="s">
        <v>2755</v>
      </c>
      <c r="E423" t="s">
        <v>1979</v>
      </c>
      <c r="F423" t="s">
        <v>1980</v>
      </c>
      <c r="P423" t="s">
        <v>1830</v>
      </c>
      <c r="Q423" t="s">
        <v>1981</v>
      </c>
      <c r="R423" t="s">
        <v>2018</v>
      </c>
      <c r="S423" t="s">
        <v>1894</v>
      </c>
      <c r="T423" t="s">
        <v>2731</v>
      </c>
      <c r="V423">
        <v>1</v>
      </c>
      <c r="AE423" t="s">
        <v>56</v>
      </c>
      <c r="AF423" t="s">
        <v>57</v>
      </c>
      <c r="AH423">
        <v>37</v>
      </c>
      <c r="AI423">
        <v>37</v>
      </c>
      <c r="AM423" s="23">
        <f t="shared" si="12"/>
        <v>126.75</v>
      </c>
      <c r="AN423" s="23">
        <v>338</v>
      </c>
      <c r="AO423" s="24">
        <v>0.2</v>
      </c>
      <c r="AP423" s="23">
        <f t="shared" si="13"/>
        <v>405.59999999999997</v>
      </c>
    </row>
    <row r="424" spans="1:42" ht="15" customHeight="1" x14ac:dyDescent="0.3">
      <c r="A424" t="s">
        <v>1975</v>
      </c>
      <c r="B424" t="s">
        <v>2756</v>
      </c>
      <c r="C424" t="s">
        <v>1977</v>
      </c>
      <c r="D424" s="22" t="s">
        <v>2757</v>
      </c>
      <c r="E424" t="s">
        <v>1979</v>
      </c>
      <c r="F424" t="s">
        <v>1980</v>
      </c>
      <c r="P424" t="s">
        <v>1830</v>
      </c>
      <c r="Q424" t="s">
        <v>1981</v>
      </c>
      <c r="R424" t="s">
        <v>2021</v>
      </c>
      <c r="S424" t="s">
        <v>1894</v>
      </c>
      <c r="T424" t="s">
        <v>2731</v>
      </c>
      <c r="V424">
        <v>1</v>
      </c>
      <c r="AE424" t="s">
        <v>56</v>
      </c>
      <c r="AF424" t="s">
        <v>57</v>
      </c>
      <c r="AH424">
        <v>41</v>
      </c>
      <c r="AI424">
        <v>41</v>
      </c>
      <c r="AM424" s="23">
        <f t="shared" si="12"/>
        <v>129.375</v>
      </c>
      <c r="AN424" s="23">
        <v>345</v>
      </c>
      <c r="AO424" s="24">
        <v>0.2</v>
      </c>
      <c r="AP424" s="23">
        <f t="shared" si="13"/>
        <v>414</v>
      </c>
    </row>
    <row r="425" spans="1:42" ht="15" customHeight="1" x14ac:dyDescent="0.3">
      <c r="A425" t="s">
        <v>1975</v>
      </c>
      <c r="B425" t="s">
        <v>2758</v>
      </c>
      <c r="C425" t="s">
        <v>1977</v>
      </c>
      <c r="D425" s="22" t="s">
        <v>2759</v>
      </c>
      <c r="E425" t="s">
        <v>1979</v>
      </c>
      <c r="F425" t="s">
        <v>1980</v>
      </c>
      <c r="P425" t="s">
        <v>1830</v>
      </c>
      <c r="Q425" t="s">
        <v>1981</v>
      </c>
      <c r="R425" t="s">
        <v>2024</v>
      </c>
      <c r="S425" t="s">
        <v>1894</v>
      </c>
      <c r="T425" t="s">
        <v>2731</v>
      </c>
      <c r="V425">
        <v>1</v>
      </c>
      <c r="AE425" t="s">
        <v>56</v>
      </c>
      <c r="AF425" t="s">
        <v>57</v>
      </c>
      <c r="AH425">
        <v>44</v>
      </c>
      <c r="AI425">
        <v>44</v>
      </c>
      <c r="AM425" s="23">
        <f t="shared" si="12"/>
        <v>139.875</v>
      </c>
      <c r="AN425" s="23">
        <v>373</v>
      </c>
      <c r="AO425" s="24">
        <v>0.2</v>
      </c>
      <c r="AP425" s="23">
        <f t="shared" si="13"/>
        <v>447.59999999999997</v>
      </c>
    </row>
    <row r="426" spans="1:42" ht="15" customHeight="1" x14ac:dyDescent="0.3">
      <c r="A426" t="s">
        <v>1975</v>
      </c>
      <c r="B426" t="s">
        <v>2760</v>
      </c>
      <c r="C426" t="s">
        <v>1977</v>
      </c>
      <c r="D426" s="22" t="s">
        <v>2761</v>
      </c>
      <c r="E426" t="s">
        <v>1979</v>
      </c>
      <c r="F426" t="s">
        <v>1980</v>
      </c>
      <c r="P426" t="s">
        <v>1830</v>
      </c>
      <c r="Q426" t="s">
        <v>1981</v>
      </c>
      <c r="R426" t="s">
        <v>2027</v>
      </c>
      <c r="S426" t="s">
        <v>1894</v>
      </c>
      <c r="T426" t="s">
        <v>2731</v>
      </c>
      <c r="V426">
        <v>1</v>
      </c>
      <c r="AE426" t="s">
        <v>56</v>
      </c>
      <c r="AF426" t="s">
        <v>57</v>
      </c>
      <c r="AH426">
        <v>48</v>
      </c>
      <c r="AI426">
        <v>48</v>
      </c>
      <c r="AM426" s="23">
        <f t="shared" si="12"/>
        <v>139.875</v>
      </c>
      <c r="AN426" s="23">
        <v>373</v>
      </c>
      <c r="AO426" s="24">
        <v>0.2</v>
      </c>
      <c r="AP426" s="23">
        <f t="shared" si="13"/>
        <v>447.59999999999997</v>
      </c>
    </row>
    <row r="427" spans="1:42" ht="15" customHeight="1" x14ac:dyDescent="0.3">
      <c r="A427" t="s">
        <v>1975</v>
      </c>
      <c r="B427" t="s">
        <v>2762</v>
      </c>
      <c r="C427" t="s">
        <v>1977</v>
      </c>
      <c r="D427" s="22" t="s">
        <v>2763</v>
      </c>
      <c r="E427" t="s">
        <v>1979</v>
      </c>
      <c r="F427" t="s">
        <v>1980</v>
      </c>
      <c r="P427" t="s">
        <v>1830</v>
      </c>
      <c r="Q427" t="s">
        <v>1981</v>
      </c>
      <c r="R427" t="s">
        <v>2030</v>
      </c>
      <c r="S427" t="s">
        <v>1894</v>
      </c>
      <c r="T427" t="s">
        <v>2731</v>
      </c>
      <c r="V427">
        <v>1</v>
      </c>
      <c r="AE427" t="s">
        <v>56</v>
      </c>
      <c r="AF427" t="s">
        <v>57</v>
      </c>
      <c r="AH427">
        <v>51</v>
      </c>
      <c r="AI427">
        <v>51</v>
      </c>
      <c r="AM427" s="23">
        <f t="shared" si="12"/>
        <v>148.125</v>
      </c>
      <c r="AN427" s="23">
        <v>395</v>
      </c>
      <c r="AO427" s="24">
        <v>0.2</v>
      </c>
      <c r="AP427" s="23">
        <f t="shared" si="13"/>
        <v>474</v>
      </c>
    </row>
    <row r="428" spans="1:42" ht="15" customHeight="1" x14ac:dyDescent="0.3">
      <c r="A428" t="s">
        <v>1975</v>
      </c>
      <c r="B428" t="s">
        <v>2764</v>
      </c>
      <c r="C428" t="s">
        <v>1977</v>
      </c>
      <c r="D428" s="22" t="s">
        <v>2765</v>
      </c>
      <c r="E428" t="s">
        <v>1979</v>
      </c>
      <c r="F428" t="s">
        <v>1980</v>
      </c>
      <c r="P428" t="s">
        <v>1830</v>
      </c>
      <c r="Q428" t="s">
        <v>1981</v>
      </c>
      <c r="R428" t="s">
        <v>2033</v>
      </c>
      <c r="S428" t="s">
        <v>1894</v>
      </c>
      <c r="T428" t="s">
        <v>2731</v>
      </c>
      <c r="V428">
        <v>1</v>
      </c>
      <c r="AE428" t="s">
        <v>56</v>
      </c>
      <c r="AF428" t="s">
        <v>57</v>
      </c>
      <c r="AH428">
        <v>54</v>
      </c>
      <c r="AI428">
        <v>54</v>
      </c>
      <c r="AM428" s="23">
        <f t="shared" si="12"/>
        <v>156.75</v>
      </c>
      <c r="AN428" s="23">
        <v>418</v>
      </c>
      <c r="AO428" s="24">
        <v>0.2</v>
      </c>
      <c r="AP428" s="23">
        <f t="shared" si="13"/>
        <v>501.59999999999997</v>
      </c>
    </row>
    <row r="429" spans="1:42" ht="15" customHeight="1" x14ac:dyDescent="0.3">
      <c r="A429" t="s">
        <v>1975</v>
      </c>
      <c r="B429" t="s">
        <v>2766</v>
      </c>
      <c r="C429" t="s">
        <v>1977</v>
      </c>
      <c r="D429" s="22" t="s">
        <v>2767</v>
      </c>
      <c r="E429" t="s">
        <v>1979</v>
      </c>
      <c r="F429" t="s">
        <v>1980</v>
      </c>
      <c r="P429" t="s">
        <v>1830</v>
      </c>
      <c r="Q429" t="s">
        <v>1981</v>
      </c>
      <c r="R429" t="s">
        <v>2036</v>
      </c>
      <c r="S429" t="s">
        <v>1894</v>
      </c>
      <c r="T429" t="s">
        <v>2731</v>
      </c>
      <c r="V429">
        <v>1</v>
      </c>
      <c r="AE429" t="s">
        <v>56</v>
      </c>
      <c r="AF429" t="s">
        <v>57</v>
      </c>
      <c r="AH429">
        <v>58</v>
      </c>
      <c r="AI429">
        <v>58</v>
      </c>
      <c r="AM429" s="23">
        <f t="shared" si="12"/>
        <v>165</v>
      </c>
      <c r="AN429" s="23">
        <v>440</v>
      </c>
      <c r="AO429" s="24">
        <v>0.2</v>
      </c>
      <c r="AP429" s="23">
        <f t="shared" si="13"/>
        <v>528</v>
      </c>
    </row>
    <row r="430" spans="1:42" ht="15" customHeight="1" x14ac:dyDescent="0.3">
      <c r="A430" t="s">
        <v>1975</v>
      </c>
      <c r="B430" t="s">
        <v>2768</v>
      </c>
      <c r="C430" t="s">
        <v>1977</v>
      </c>
      <c r="D430" s="22" t="s">
        <v>2769</v>
      </c>
      <c r="E430" t="s">
        <v>1979</v>
      </c>
      <c r="F430" t="s">
        <v>1980</v>
      </c>
      <c r="P430" t="s">
        <v>1830</v>
      </c>
      <c r="Q430" t="s">
        <v>1981</v>
      </c>
      <c r="R430" t="s">
        <v>2039</v>
      </c>
      <c r="S430" t="s">
        <v>1894</v>
      </c>
      <c r="T430" t="s">
        <v>2731</v>
      </c>
      <c r="V430">
        <v>1</v>
      </c>
      <c r="AE430" t="s">
        <v>56</v>
      </c>
      <c r="AF430" t="s">
        <v>57</v>
      </c>
      <c r="AH430">
        <v>61</v>
      </c>
      <c r="AI430">
        <v>61</v>
      </c>
      <c r="AM430" s="23">
        <f t="shared" si="12"/>
        <v>175.875</v>
      </c>
      <c r="AN430" s="23">
        <v>469</v>
      </c>
      <c r="AO430" s="24">
        <v>0.2</v>
      </c>
      <c r="AP430" s="23">
        <f t="shared" si="13"/>
        <v>562.79999999999995</v>
      </c>
    </row>
    <row r="431" spans="1:42" ht="15" customHeight="1" x14ac:dyDescent="0.3">
      <c r="A431" t="s">
        <v>1975</v>
      </c>
      <c r="B431" t="s">
        <v>2770</v>
      </c>
      <c r="C431" t="s">
        <v>1977</v>
      </c>
      <c r="D431" s="22" t="s">
        <v>2771</v>
      </c>
      <c r="E431" t="s">
        <v>1979</v>
      </c>
      <c r="F431" t="s">
        <v>1980</v>
      </c>
      <c r="P431" t="s">
        <v>1830</v>
      </c>
      <c r="Q431" t="s">
        <v>1981</v>
      </c>
      <c r="R431" t="s">
        <v>2042</v>
      </c>
      <c r="S431" t="s">
        <v>1894</v>
      </c>
      <c r="T431" t="s">
        <v>2731</v>
      </c>
      <c r="V431">
        <v>1</v>
      </c>
      <c r="AE431" t="s">
        <v>56</v>
      </c>
      <c r="AF431" t="s">
        <v>57</v>
      </c>
      <c r="AH431">
        <v>64</v>
      </c>
      <c r="AI431">
        <v>64</v>
      </c>
      <c r="AM431" s="23">
        <f t="shared" si="12"/>
        <v>196.125</v>
      </c>
      <c r="AN431" s="23">
        <v>523</v>
      </c>
      <c r="AO431" s="24">
        <v>0.2</v>
      </c>
      <c r="AP431" s="23">
        <f t="shared" si="13"/>
        <v>627.6</v>
      </c>
    </row>
    <row r="432" spans="1:42" ht="15" customHeight="1" x14ac:dyDescent="0.3">
      <c r="A432" t="s">
        <v>1975</v>
      </c>
      <c r="B432" t="s">
        <v>2772</v>
      </c>
      <c r="C432" t="s">
        <v>1977</v>
      </c>
      <c r="D432" s="22" t="s">
        <v>2773</v>
      </c>
      <c r="E432" t="s">
        <v>1979</v>
      </c>
      <c r="F432" t="s">
        <v>1980</v>
      </c>
      <c r="P432" t="s">
        <v>1830</v>
      </c>
      <c r="Q432" t="s">
        <v>1981</v>
      </c>
      <c r="R432" t="s">
        <v>2045</v>
      </c>
      <c r="S432" t="s">
        <v>1894</v>
      </c>
      <c r="T432" t="s">
        <v>2731</v>
      </c>
      <c r="V432">
        <v>1</v>
      </c>
      <c r="AE432" t="s">
        <v>56</v>
      </c>
      <c r="AF432" t="s">
        <v>57</v>
      </c>
      <c r="AH432">
        <v>68</v>
      </c>
      <c r="AI432">
        <v>68</v>
      </c>
      <c r="AM432" s="23">
        <f t="shared" si="12"/>
        <v>200.625</v>
      </c>
      <c r="AN432" s="23">
        <v>535</v>
      </c>
      <c r="AO432" s="24">
        <v>0.2</v>
      </c>
      <c r="AP432" s="23">
        <f t="shared" si="13"/>
        <v>642</v>
      </c>
    </row>
    <row r="433" spans="1:42" ht="15" customHeight="1" x14ac:dyDescent="0.3">
      <c r="A433" t="s">
        <v>1975</v>
      </c>
      <c r="B433" t="s">
        <v>2774</v>
      </c>
      <c r="C433" t="s">
        <v>1977</v>
      </c>
      <c r="D433" s="22" t="s">
        <v>2775</v>
      </c>
      <c r="E433" t="s">
        <v>1979</v>
      </c>
      <c r="F433" t="s">
        <v>1980</v>
      </c>
      <c r="P433" t="s">
        <v>1830</v>
      </c>
      <c r="Q433" t="s">
        <v>1981</v>
      </c>
      <c r="R433" t="s">
        <v>2048</v>
      </c>
      <c r="S433" t="s">
        <v>1894</v>
      </c>
      <c r="T433" t="s">
        <v>2731</v>
      </c>
      <c r="V433">
        <v>1</v>
      </c>
      <c r="AE433" t="s">
        <v>56</v>
      </c>
      <c r="AF433" t="s">
        <v>57</v>
      </c>
      <c r="AH433">
        <v>24</v>
      </c>
      <c r="AI433">
        <v>24</v>
      </c>
      <c r="AM433" s="23">
        <f t="shared" si="12"/>
        <v>95.625</v>
      </c>
      <c r="AN433" s="23">
        <v>255</v>
      </c>
      <c r="AO433" s="24">
        <v>0.2</v>
      </c>
      <c r="AP433" s="23">
        <f t="shared" si="13"/>
        <v>306</v>
      </c>
    </row>
    <row r="434" spans="1:42" ht="15" customHeight="1" x14ac:dyDescent="0.3">
      <c r="A434" t="s">
        <v>1975</v>
      </c>
      <c r="B434" t="s">
        <v>2776</v>
      </c>
      <c r="C434" t="s">
        <v>1977</v>
      </c>
      <c r="D434" s="22" t="s">
        <v>2777</v>
      </c>
      <c r="E434" t="s">
        <v>1979</v>
      </c>
      <c r="F434" t="s">
        <v>1980</v>
      </c>
      <c r="P434" t="s">
        <v>1830</v>
      </c>
      <c r="Q434" t="s">
        <v>1981</v>
      </c>
      <c r="R434" t="s">
        <v>2051</v>
      </c>
      <c r="S434" t="s">
        <v>1894</v>
      </c>
      <c r="T434" t="s">
        <v>2731</v>
      </c>
      <c r="V434">
        <v>1</v>
      </c>
      <c r="AE434" t="s">
        <v>56</v>
      </c>
      <c r="AF434" t="s">
        <v>57</v>
      </c>
      <c r="AH434">
        <v>27</v>
      </c>
      <c r="AI434">
        <v>27</v>
      </c>
      <c r="AM434" s="23">
        <f t="shared" si="12"/>
        <v>100.5</v>
      </c>
      <c r="AN434" s="23">
        <v>268</v>
      </c>
      <c r="AO434" s="24">
        <v>0.2</v>
      </c>
      <c r="AP434" s="23">
        <f t="shared" si="13"/>
        <v>321.59999999999997</v>
      </c>
    </row>
    <row r="435" spans="1:42" ht="15" customHeight="1" x14ac:dyDescent="0.3">
      <c r="A435" t="s">
        <v>1975</v>
      </c>
      <c r="B435" t="s">
        <v>2778</v>
      </c>
      <c r="C435" t="s">
        <v>1977</v>
      </c>
      <c r="D435" s="22" t="s">
        <v>2779</v>
      </c>
      <c r="E435" t="s">
        <v>1979</v>
      </c>
      <c r="F435" t="s">
        <v>1980</v>
      </c>
      <c r="P435" t="s">
        <v>1830</v>
      </c>
      <c r="Q435" t="s">
        <v>1981</v>
      </c>
      <c r="R435" t="s">
        <v>2054</v>
      </c>
      <c r="S435" t="s">
        <v>1894</v>
      </c>
      <c r="T435" t="s">
        <v>2731</v>
      </c>
      <c r="V435">
        <v>1</v>
      </c>
      <c r="AE435" t="s">
        <v>56</v>
      </c>
      <c r="AF435" t="s">
        <v>57</v>
      </c>
      <c r="AH435">
        <v>31</v>
      </c>
      <c r="AI435">
        <v>31</v>
      </c>
      <c r="AM435" s="23">
        <f t="shared" si="12"/>
        <v>104.25</v>
      </c>
      <c r="AN435" s="23">
        <v>278</v>
      </c>
      <c r="AO435" s="24">
        <v>0.2</v>
      </c>
      <c r="AP435" s="23">
        <f t="shared" si="13"/>
        <v>333.59999999999997</v>
      </c>
    </row>
    <row r="436" spans="1:42" ht="15" customHeight="1" x14ac:dyDescent="0.3">
      <c r="A436" t="s">
        <v>1975</v>
      </c>
      <c r="B436" t="s">
        <v>2780</v>
      </c>
      <c r="C436" t="s">
        <v>1977</v>
      </c>
      <c r="D436" s="22" t="s">
        <v>2781</v>
      </c>
      <c r="E436" t="s">
        <v>1979</v>
      </c>
      <c r="F436" t="s">
        <v>1980</v>
      </c>
      <c r="P436" t="s">
        <v>1830</v>
      </c>
      <c r="Q436" t="s">
        <v>1981</v>
      </c>
      <c r="R436" t="s">
        <v>2057</v>
      </c>
      <c r="S436" t="s">
        <v>1894</v>
      </c>
      <c r="T436" t="s">
        <v>2731</v>
      </c>
      <c r="V436">
        <v>1</v>
      </c>
      <c r="AE436" t="s">
        <v>56</v>
      </c>
      <c r="AF436" t="s">
        <v>57</v>
      </c>
      <c r="AH436">
        <v>39</v>
      </c>
      <c r="AI436">
        <v>39</v>
      </c>
      <c r="AM436" s="23">
        <f t="shared" si="12"/>
        <v>113.625</v>
      </c>
      <c r="AN436" s="23">
        <v>303</v>
      </c>
      <c r="AO436" s="24">
        <v>0.2</v>
      </c>
      <c r="AP436" s="23">
        <f t="shared" si="13"/>
        <v>363.59999999999997</v>
      </c>
    </row>
    <row r="437" spans="1:42" ht="15" customHeight="1" x14ac:dyDescent="0.3">
      <c r="A437" t="s">
        <v>1975</v>
      </c>
      <c r="B437" t="s">
        <v>2782</v>
      </c>
      <c r="C437" t="s">
        <v>1977</v>
      </c>
      <c r="D437" s="22" t="s">
        <v>2783</v>
      </c>
      <c r="E437" t="s">
        <v>1979</v>
      </c>
      <c r="F437" t="s">
        <v>1980</v>
      </c>
      <c r="P437" t="s">
        <v>1830</v>
      </c>
      <c r="Q437" t="s">
        <v>1981</v>
      </c>
      <c r="R437" t="s">
        <v>2060</v>
      </c>
      <c r="S437" t="s">
        <v>1894</v>
      </c>
      <c r="T437" t="s">
        <v>2731</v>
      </c>
      <c r="V437">
        <v>1</v>
      </c>
      <c r="AE437" t="s">
        <v>56</v>
      </c>
      <c r="AF437" t="s">
        <v>57</v>
      </c>
      <c r="AH437">
        <v>43</v>
      </c>
      <c r="AI437">
        <v>43</v>
      </c>
      <c r="AM437" s="23">
        <f t="shared" si="12"/>
        <v>130.5</v>
      </c>
      <c r="AN437" s="23">
        <v>348</v>
      </c>
      <c r="AO437" s="24">
        <v>0.2</v>
      </c>
      <c r="AP437" s="23">
        <f t="shared" si="13"/>
        <v>417.59999999999997</v>
      </c>
    </row>
    <row r="438" spans="1:42" ht="15" customHeight="1" x14ac:dyDescent="0.3">
      <c r="A438" t="s">
        <v>1975</v>
      </c>
      <c r="B438" t="s">
        <v>2784</v>
      </c>
      <c r="C438" t="s">
        <v>1977</v>
      </c>
      <c r="D438" s="22" t="s">
        <v>2785</v>
      </c>
      <c r="E438" t="s">
        <v>1979</v>
      </c>
      <c r="F438" t="s">
        <v>1980</v>
      </c>
      <c r="P438" t="s">
        <v>1830</v>
      </c>
      <c r="Q438" t="s">
        <v>1981</v>
      </c>
      <c r="R438" t="s">
        <v>2063</v>
      </c>
      <c r="S438" t="s">
        <v>1894</v>
      </c>
      <c r="T438" t="s">
        <v>2731</v>
      </c>
      <c r="V438">
        <v>1</v>
      </c>
      <c r="AE438" t="s">
        <v>56</v>
      </c>
      <c r="AF438" t="s">
        <v>57</v>
      </c>
      <c r="AH438">
        <v>47</v>
      </c>
      <c r="AI438">
        <v>47</v>
      </c>
      <c r="AM438" s="23">
        <f t="shared" si="12"/>
        <v>136.125</v>
      </c>
      <c r="AN438" s="23">
        <v>363</v>
      </c>
      <c r="AO438" s="24">
        <v>0.2</v>
      </c>
      <c r="AP438" s="23">
        <f t="shared" si="13"/>
        <v>435.59999999999997</v>
      </c>
    </row>
    <row r="439" spans="1:42" ht="15" customHeight="1" x14ac:dyDescent="0.3">
      <c r="A439" t="s">
        <v>1975</v>
      </c>
      <c r="B439" t="s">
        <v>2786</v>
      </c>
      <c r="C439" t="s">
        <v>1977</v>
      </c>
      <c r="D439" s="22" t="s">
        <v>2787</v>
      </c>
      <c r="E439" t="s">
        <v>1979</v>
      </c>
      <c r="F439" t="s">
        <v>1980</v>
      </c>
      <c r="P439" t="s">
        <v>1830</v>
      </c>
      <c r="Q439" t="s">
        <v>1981</v>
      </c>
      <c r="R439" t="s">
        <v>2066</v>
      </c>
      <c r="S439" t="s">
        <v>1894</v>
      </c>
      <c r="T439" t="s">
        <v>2731</v>
      </c>
      <c r="V439">
        <v>1</v>
      </c>
      <c r="AE439" t="s">
        <v>56</v>
      </c>
      <c r="AF439" t="s">
        <v>57</v>
      </c>
      <c r="AH439">
        <v>50</v>
      </c>
      <c r="AI439">
        <v>50</v>
      </c>
      <c r="AM439" s="23">
        <f t="shared" si="12"/>
        <v>153.75</v>
      </c>
      <c r="AN439" s="23">
        <v>410</v>
      </c>
      <c r="AO439" s="24">
        <v>0.2</v>
      </c>
      <c r="AP439" s="23">
        <f t="shared" si="13"/>
        <v>492</v>
      </c>
    </row>
    <row r="440" spans="1:42" ht="15" customHeight="1" x14ac:dyDescent="0.3">
      <c r="A440" t="s">
        <v>1975</v>
      </c>
      <c r="B440" t="s">
        <v>2788</v>
      </c>
      <c r="C440" t="s">
        <v>1977</v>
      </c>
      <c r="D440" s="22" t="s">
        <v>2789</v>
      </c>
      <c r="E440" t="s">
        <v>1979</v>
      </c>
      <c r="F440" t="s">
        <v>1980</v>
      </c>
      <c r="P440" t="s">
        <v>1830</v>
      </c>
      <c r="Q440" t="s">
        <v>1981</v>
      </c>
      <c r="R440" t="s">
        <v>2069</v>
      </c>
      <c r="S440" t="s">
        <v>1894</v>
      </c>
      <c r="T440" t="s">
        <v>2731</v>
      </c>
      <c r="V440">
        <v>1</v>
      </c>
      <c r="AE440" t="s">
        <v>56</v>
      </c>
      <c r="AF440" t="s">
        <v>57</v>
      </c>
      <c r="AH440">
        <v>54</v>
      </c>
      <c r="AI440">
        <v>54</v>
      </c>
      <c r="AM440" s="23">
        <f t="shared" si="12"/>
        <v>156.75</v>
      </c>
      <c r="AN440" s="23">
        <v>418</v>
      </c>
      <c r="AO440" s="24">
        <v>0.2</v>
      </c>
      <c r="AP440" s="23">
        <f t="shared" si="13"/>
        <v>501.59999999999997</v>
      </c>
    </row>
    <row r="441" spans="1:42" ht="15" customHeight="1" x14ac:dyDescent="0.3">
      <c r="A441" t="s">
        <v>1975</v>
      </c>
      <c r="B441" t="s">
        <v>2790</v>
      </c>
      <c r="C441" t="s">
        <v>1977</v>
      </c>
      <c r="D441" s="22" t="s">
        <v>2791</v>
      </c>
      <c r="E441" t="s">
        <v>1979</v>
      </c>
      <c r="F441" t="s">
        <v>1980</v>
      </c>
      <c r="P441" t="s">
        <v>1830</v>
      </c>
      <c r="Q441" t="s">
        <v>1981</v>
      </c>
      <c r="R441" t="s">
        <v>2072</v>
      </c>
      <c r="S441" t="s">
        <v>1894</v>
      </c>
      <c r="T441" t="s">
        <v>2731</v>
      </c>
      <c r="V441">
        <v>1</v>
      </c>
      <c r="AE441" t="s">
        <v>56</v>
      </c>
      <c r="AF441" t="s">
        <v>57</v>
      </c>
      <c r="AH441">
        <v>58</v>
      </c>
      <c r="AI441">
        <v>58</v>
      </c>
      <c r="AM441" s="23">
        <f t="shared" si="12"/>
        <v>166.5</v>
      </c>
      <c r="AN441" s="23">
        <v>444</v>
      </c>
      <c r="AO441" s="24">
        <v>0.2</v>
      </c>
      <c r="AP441" s="23">
        <f t="shared" si="13"/>
        <v>532.79999999999995</v>
      </c>
    </row>
    <row r="442" spans="1:42" ht="15" customHeight="1" x14ac:dyDescent="0.3">
      <c r="A442" t="s">
        <v>1975</v>
      </c>
      <c r="B442" t="s">
        <v>2792</v>
      </c>
      <c r="C442" t="s">
        <v>1977</v>
      </c>
      <c r="D442" s="22" t="s">
        <v>2793</v>
      </c>
      <c r="E442" t="s">
        <v>1979</v>
      </c>
      <c r="F442" t="s">
        <v>1980</v>
      </c>
      <c r="P442" t="s">
        <v>1830</v>
      </c>
      <c r="Q442" t="s">
        <v>1981</v>
      </c>
      <c r="R442" t="s">
        <v>2075</v>
      </c>
      <c r="S442" t="s">
        <v>1894</v>
      </c>
      <c r="T442" t="s">
        <v>2731</v>
      </c>
      <c r="V442">
        <v>1</v>
      </c>
      <c r="AE442" t="s">
        <v>56</v>
      </c>
      <c r="AF442" t="s">
        <v>57</v>
      </c>
      <c r="AH442">
        <v>62</v>
      </c>
      <c r="AI442">
        <v>62</v>
      </c>
      <c r="AM442" s="23">
        <f t="shared" si="12"/>
        <v>175.875</v>
      </c>
      <c r="AN442" s="23">
        <v>469</v>
      </c>
      <c r="AO442" s="24">
        <v>0.2</v>
      </c>
      <c r="AP442" s="23">
        <f t="shared" si="13"/>
        <v>562.79999999999995</v>
      </c>
    </row>
    <row r="443" spans="1:42" ht="15" customHeight="1" x14ac:dyDescent="0.3">
      <c r="A443" t="s">
        <v>1975</v>
      </c>
      <c r="B443" t="s">
        <v>2794</v>
      </c>
      <c r="C443" t="s">
        <v>1977</v>
      </c>
      <c r="D443" s="22" t="s">
        <v>2795</v>
      </c>
      <c r="E443" t="s">
        <v>1979</v>
      </c>
      <c r="F443" t="s">
        <v>1980</v>
      </c>
      <c r="P443" t="s">
        <v>1830</v>
      </c>
      <c r="Q443" t="s">
        <v>1981</v>
      </c>
      <c r="R443" t="s">
        <v>2078</v>
      </c>
      <c r="S443" t="s">
        <v>1894</v>
      </c>
      <c r="T443" t="s">
        <v>2731</v>
      </c>
      <c r="V443">
        <v>1</v>
      </c>
      <c r="AE443" t="s">
        <v>56</v>
      </c>
      <c r="AF443" t="s">
        <v>57</v>
      </c>
      <c r="AH443">
        <v>66</v>
      </c>
      <c r="AI443">
        <v>66</v>
      </c>
      <c r="AM443" s="23">
        <f t="shared" si="12"/>
        <v>185.625</v>
      </c>
      <c r="AN443" s="23">
        <v>495</v>
      </c>
      <c r="AO443" s="24">
        <v>0.2</v>
      </c>
      <c r="AP443" s="23">
        <f t="shared" si="13"/>
        <v>594</v>
      </c>
    </row>
    <row r="444" spans="1:42" ht="15" customHeight="1" x14ac:dyDescent="0.3">
      <c r="A444" t="s">
        <v>1975</v>
      </c>
      <c r="B444" t="s">
        <v>2796</v>
      </c>
      <c r="C444" t="s">
        <v>1977</v>
      </c>
      <c r="D444" s="22" t="s">
        <v>2797</v>
      </c>
      <c r="E444" t="s">
        <v>1979</v>
      </c>
      <c r="F444" t="s">
        <v>1980</v>
      </c>
      <c r="P444" t="s">
        <v>1830</v>
      </c>
      <c r="Q444" t="s">
        <v>1981</v>
      </c>
      <c r="R444" t="s">
        <v>2081</v>
      </c>
      <c r="S444" t="s">
        <v>1894</v>
      </c>
      <c r="T444" t="s">
        <v>2731</v>
      </c>
      <c r="V444">
        <v>1</v>
      </c>
      <c r="AE444" t="s">
        <v>56</v>
      </c>
      <c r="AF444" t="s">
        <v>57</v>
      </c>
      <c r="AH444">
        <v>70</v>
      </c>
      <c r="AI444">
        <v>70</v>
      </c>
      <c r="AM444" s="23">
        <f t="shared" si="12"/>
        <v>198</v>
      </c>
      <c r="AN444" s="23">
        <v>528</v>
      </c>
      <c r="AO444" s="24">
        <v>0.2</v>
      </c>
      <c r="AP444" s="23">
        <f t="shared" si="13"/>
        <v>633.6</v>
      </c>
    </row>
    <row r="445" spans="1:42" ht="15" customHeight="1" x14ac:dyDescent="0.3">
      <c r="A445" t="s">
        <v>1975</v>
      </c>
      <c r="B445" t="s">
        <v>2798</v>
      </c>
      <c r="C445" t="s">
        <v>1977</v>
      </c>
      <c r="D445" s="22" t="s">
        <v>2799</v>
      </c>
      <c r="E445" t="s">
        <v>1979</v>
      </c>
      <c r="F445" t="s">
        <v>1980</v>
      </c>
      <c r="P445" t="s">
        <v>1830</v>
      </c>
      <c r="Q445" t="s">
        <v>1981</v>
      </c>
      <c r="R445" t="s">
        <v>2084</v>
      </c>
      <c r="S445" t="s">
        <v>1894</v>
      </c>
      <c r="T445" t="s">
        <v>2731</v>
      </c>
      <c r="V445">
        <v>1</v>
      </c>
      <c r="AE445" t="s">
        <v>56</v>
      </c>
      <c r="AF445" t="s">
        <v>57</v>
      </c>
      <c r="AH445">
        <v>73</v>
      </c>
      <c r="AI445">
        <v>73</v>
      </c>
      <c r="AM445" s="23">
        <f t="shared" si="12"/>
        <v>219.375</v>
      </c>
      <c r="AN445" s="23">
        <v>585</v>
      </c>
      <c r="AO445" s="24">
        <v>0.2</v>
      </c>
      <c r="AP445" s="23">
        <f t="shared" si="13"/>
        <v>702</v>
      </c>
    </row>
    <row r="446" spans="1:42" ht="15" customHeight="1" x14ac:dyDescent="0.3">
      <c r="A446" t="s">
        <v>1975</v>
      </c>
      <c r="B446" t="s">
        <v>2800</v>
      </c>
      <c r="C446" t="s">
        <v>1977</v>
      </c>
      <c r="D446" s="22" t="s">
        <v>2801</v>
      </c>
      <c r="E446" t="s">
        <v>1979</v>
      </c>
      <c r="F446" t="s">
        <v>1980</v>
      </c>
      <c r="P446" t="s">
        <v>1830</v>
      </c>
      <c r="Q446" t="s">
        <v>1981</v>
      </c>
      <c r="R446" t="s">
        <v>2087</v>
      </c>
      <c r="S446" t="s">
        <v>1894</v>
      </c>
      <c r="T446" t="s">
        <v>2731</v>
      </c>
      <c r="V446">
        <v>1</v>
      </c>
      <c r="AE446" t="s">
        <v>56</v>
      </c>
      <c r="AF446" t="s">
        <v>57</v>
      </c>
      <c r="AH446">
        <v>77</v>
      </c>
      <c r="AI446">
        <v>77</v>
      </c>
      <c r="AM446" s="23">
        <f t="shared" si="12"/>
        <v>223.125</v>
      </c>
      <c r="AN446" s="23">
        <v>595</v>
      </c>
      <c r="AO446" s="24">
        <v>0.2</v>
      </c>
      <c r="AP446" s="23">
        <f t="shared" si="13"/>
        <v>714</v>
      </c>
    </row>
    <row r="447" spans="1:42" ht="15" customHeight="1" x14ac:dyDescent="0.3">
      <c r="A447" t="s">
        <v>1975</v>
      </c>
      <c r="B447" t="s">
        <v>2802</v>
      </c>
      <c r="C447" t="s">
        <v>1977</v>
      </c>
      <c r="D447" s="22" t="s">
        <v>2803</v>
      </c>
      <c r="E447" t="s">
        <v>1979</v>
      </c>
      <c r="F447" t="s">
        <v>1980</v>
      </c>
      <c r="P447" t="s">
        <v>1830</v>
      </c>
      <c r="Q447" t="s">
        <v>1981</v>
      </c>
      <c r="R447" t="s">
        <v>242</v>
      </c>
      <c r="S447" t="s">
        <v>1894</v>
      </c>
      <c r="T447" t="s">
        <v>2731</v>
      </c>
      <c r="V447">
        <v>1</v>
      </c>
      <c r="AE447" t="s">
        <v>56</v>
      </c>
      <c r="AF447" t="s">
        <v>57</v>
      </c>
      <c r="AH447">
        <v>31</v>
      </c>
      <c r="AI447">
        <v>31</v>
      </c>
      <c r="AM447" s="23">
        <f t="shared" si="12"/>
        <v>103.125</v>
      </c>
      <c r="AN447" s="23">
        <v>275</v>
      </c>
      <c r="AO447" s="24">
        <v>0.2</v>
      </c>
      <c r="AP447" s="23">
        <f t="shared" si="13"/>
        <v>330</v>
      </c>
    </row>
    <row r="448" spans="1:42" ht="15" customHeight="1" x14ac:dyDescent="0.3">
      <c r="A448" t="s">
        <v>1975</v>
      </c>
      <c r="B448" t="s">
        <v>2804</v>
      </c>
      <c r="C448" t="s">
        <v>1977</v>
      </c>
      <c r="D448" s="22" t="s">
        <v>2805</v>
      </c>
      <c r="E448" t="s">
        <v>1979</v>
      </c>
      <c r="F448" t="s">
        <v>1980</v>
      </c>
      <c r="P448" t="s">
        <v>1830</v>
      </c>
      <c r="Q448" t="s">
        <v>1981</v>
      </c>
      <c r="R448" t="s">
        <v>2092</v>
      </c>
      <c r="S448" t="s">
        <v>1894</v>
      </c>
      <c r="T448" t="s">
        <v>2731</v>
      </c>
      <c r="V448">
        <v>1</v>
      </c>
      <c r="AE448" t="s">
        <v>56</v>
      </c>
      <c r="AF448" t="s">
        <v>57</v>
      </c>
      <c r="AH448">
        <v>35</v>
      </c>
      <c r="AI448">
        <v>35</v>
      </c>
      <c r="AM448" s="23">
        <f t="shared" si="12"/>
        <v>110.625</v>
      </c>
      <c r="AN448" s="23">
        <v>295</v>
      </c>
      <c r="AO448" s="24">
        <v>0.2</v>
      </c>
      <c r="AP448" s="23">
        <f t="shared" si="13"/>
        <v>354</v>
      </c>
    </row>
    <row r="449" spans="1:42" ht="15" customHeight="1" x14ac:dyDescent="0.3">
      <c r="A449" t="s">
        <v>1975</v>
      </c>
      <c r="B449" t="s">
        <v>2806</v>
      </c>
      <c r="C449" t="s">
        <v>1977</v>
      </c>
      <c r="D449" s="22" t="s">
        <v>2807</v>
      </c>
      <c r="E449" t="s">
        <v>1979</v>
      </c>
      <c r="F449" t="s">
        <v>1980</v>
      </c>
      <c r="P449" t="s">
        <v>1830</v>
      </c>
      <c r="Q449" t="s">
        <v>1981</v>
      </c>
      <c r="R449" t="s">
        <v>2095</v>
      </c>
      <c r="S449" t="s">
        <v>1894</v>
      </c>
      <c r="T449" t="s">
        <v>2731</v>
      </c>
      <c r="V449">
        <v>1</v>
      </c>
      <c r="AE449" t="s">
        <v>56</v>
      </c>
      <c r="AF449" t="s">
        <v>57</v>
      </c>
      <c r="AH449">
        <v>44</v>
      </c>
      <c r="AI449">
        <v>44</v>
      </c>
      <c r="AM449" s="23">
        <f t="shared" si="12"/>
        <v>126.75</v>
      </c>
      <c r="AN449" s="23">
        <v>338</v>
      </c>
      <c r="AO449" s="24">
        <v>0.2</v>
      </c>
      <c r="AP449" s="23">
        <f t="shared" si="13"/>
        <v>405.59999999999997</v>
      </c>
    </row>
    <row r="450" spans="1:42" ht="15" customHeight="1" x14ac:dyDescent="0.3">
      <c r="A450" t="s">
        <v>1975</v>
      </c>
      <c r="B450" t="s">
        <v>2808</v>
      </c>
      <c r="C450" t="s">
        <v>1977</v>
      </c>
      <c r="D450" s="22" t="s">
        <v>2809</v>
      </c>
      <c r="E450" t="s">
        <v>1979</v>
      </c>
      <c r="F450" t="s">
        <v>1980</v>
      </c>
      <c r="P450" t="s">
        <v>1830</v>
      </c>
      <c r="Q450" t="s">
        <v>1981</v>
      </c>
      <c r="R450" t="s">
        <v>2098</v>
      </c>
      <c r="S450" t="s">
        <v>1894</v>
      </c>
      <c r="T450" t="s">
        <v>2731</v>
      </c>
      <c r="V450">
        <v>1</v>
      </c>
      <c r="AE450" t="s">
        <v>56</v>
      </c>
      <c r="AF450" t="s">
        <v>57</v>
      </c>
      <c r="AH450">
        <v>48</v>
      </c>
      <c r="AI450">
        <v>48</v>
      </c>
      <c r="AM450" s="23">
        <f t="shared" ref="AM450:AM513" si="14">AN450*0.5*0.75</f>
        <v>148.125</v>
      </c>
      <c r="AN450" s="23">
        <v>395</v>
      </c>
      <c r="AO450" s="24">
        <v>0.2</v>
      </c>
      <c r="AP450" s="23">
        <f t="shared" ref="AP450:AP513" si="15">AN450*1.2</f>
        <v>474</v>
      </c>
    </row>
    <row r="451" spans="1:42" ht="15" customHeight="1" x14ac:dyDescent="0.3">
      <c r="A451" t="s">
        <v>1975</v>
      </c>
      <c r="B451" t="s">
        <v>2810</v>
      </c>
      <c r="C451" t="s">
        <v>1977</v>
      </c>
      <c r="D451" s="22" t="s">
        <v>2811</v>
      </c>
      <c r="E451" t="s">
        <v>1979</v>
      </c>
      <c r="F451" t="s">
        <v>1980</v>
      </c>
      <c r="P451" t="s">
        <v>1830</v>
      </c>
      <c r="Q451" t="s">
        <v>1981</v>
      </c>
      <c r="R451" t="s">
        <v>2101</v>
      </c>
      <c r="S451" t="s">
        <v>1894</v>
      </c>
      <c r="T451" t="s">
        <v>2731</v>
      </c>
      <c r="V451">
        <v>1</v>
      </c>
      <c r="AE451" t="s">
        <v>56</v>
      </c>
      <c r="AF451" t="s">
        <v>57</v>
      </c>
      <c r="AH451">
        <v>52</v>
      </c>
      <c r="AI451">
        <v>52</v>
      </c>
      <c r="AM451" s="23">
        <f t="shared" si="14"/>
        <v>153</v>
      </c>
      <c r="AN451" s="23">
        <v>408</v>
      </c>
      <c r="AO451" s="24">
        <v>0.2</v>
      </c>
      <c r="AP451" s="23">
        <f t="shared" si="15"/>
        <v>489.59999999999997</v>
      </c>
    </row>
    <row r="452" spans="1:42" ht="15" customHeight="1" x14ac:dyDescent="0.3">
      <c r="A452" t="s">
        <v>1975</v>
      </c>
      <c r="B452" t="s">
        <v>2812</v>
      </c>
      <c r="C452" t="s">
        <v>1977</v>
      </c>
      <c r="D452" s="22" t="s">
        <v>2813</v>
      </c>
      <c r="E452" t="s">
        <v>1979</v>
      </c>
      <c r="F452" t="s">
        <v>1980</v>
      </c>
      <c r="P452" t="s">
        <v>1830</v>
      </c>
      <c r="Q452" t="s">
        <v>1981</v>
      </c>
      <c r="R452" t="s">
        <v>2104</v>
      </c>
      <c r="S452" t="s">
        <v>1894</v>
      </c>
      <c r="T452" t="s">
        <v>2731</v>
      </c>
      <c r="V452">
        <v>1</v>
      </c>
      <c r="AE452" t="s">
        <v>56</v>
      </c>
      <c r="AF452" t="s">
        <v>57</v>
      </c>
      <c r="AH452">
        <v>57</v>
      </c>
      <c r="AI452">
        <v>57</v>
      </c>
      <c r="AM452" s="23">
        <f t="shared" si="14"/>
        <v>168</v>
      </c>
      <c r="AN452" s="23">
        <v>448</v>
      </c>
      <c r="AO452" s="24">
        <v>0.2</v>
      </c>
      <c r="AP452" s="23">
        <f t="shared" si="15"/>
        <v>537.6</v>
      </c>
    </row>
    <row r="453" spans="1:42" ht="15" customHeight="1" x14ac:dyDescent="0.3">
      <c r="A453" t="s">
        <v>1975</v>
      </c>
      <c r="B453" t="s">
        <v>2814</v>
      </c>
      <c r="C453" t="s">
        <v>1977</v>
      </c>
      <c r="D453" s="22" t="s">
        <v>2815</v>
      </c>
      <c r="E453" t="s">
        <v>1979</v>
      </c>
      <c r="F453" t="s">
        <v>1980</v>
      </c>
      <c r="P453" t="s">
        <v>1830</v>
      </c>
      <c r="Q453" t="s">
        <v>1981</v>
      </c>
      <c r="R453" t="s">
        <v>2107</v>
      </c>
      <c r="S453" t="s">
        <v>1894</v>
      </c>
      <c r="T453" t="s">
        <v>2731</v>
      </c>
      <c r="V453">
        <v>1</v>
      </c>
      <c r="AE453" t="s">
        <v>56</v>
      </c>
      <c r="AF453" t="s">
        <v>57</v>
      </c>
      <c r="AH453">
        <v>61</v>
      </c>
      <c r="AI453">
        <v>61</v>
      </c>
      <c r="AM453" s="23">
        <f t="shared" si="14"/>
        <v>173.625</v>
      </c>
      <c r="AN453" s="23">
        <v>463</v>
      </c>
      <c r="AO453" s="24">
        <v>0.2</v>
      </c>
      <c r="AP453" s="23">
        <f t="shared" si="15"/>
        <v>555.6</v>
      </c>
    </row>
    <row r="454" spans="1:42" ht="15" customHeight="1" x14ac:dyDescent="0.3">
      <c r="A454" t="s">
        <v>1975</v>
      </c>
      <c r="B454" t="s">
        <v>2816</v>
      </c>
      <c r="C454" t="s">
        <v>1977</v>
      </c>
      <c r="D454" s="22" t="s">
        <v>2817</v>
      </c>
      <c r="E454" t="s">
        <v>1979</v>
      </c>
      <c r="F454" t="s">
        <v>1980</v>
      </c>
      <c r="P454" t="s">
        <v>1830</v>
      </c>
      <c r="Q454" t="s">
        <v>1981</v>
      </c>
      <c r="R454" t="s">
        <v>2110</v>
      </c>
      <c r="S454" t="s">
        <v>1894</v>
      </c>
      <c r="T454" t="s">
        <v>2731</v>
      </c>
      <c r="V454">
        <v>1</v>
      </c>
      <c r="AE454" t="s">
        <v>56</v>
      </c>
      <c r="AF454" t="s">
        <v>57</v>
      </c>
      <c r="AH454">
        <v>65</v>
      </c>
      <c r="AI454">
        <v>65</v>
      </c>
      <c r="AM454" s="23">
        <f t="shared" si="14"/>
        <v>184.125</v>
      </c>
      <c r="AN454" s="23">
        <v>491</v>
      </c>
      <c r="AO454" s="24">
        <v>0.2</v>
      </c>
      <c r="AP454" s="23">
        <f t="shared" si="15"/>
        <v>589.19999999999993</v>
      </c>
    </row>
    <row r="455" spans="1:42" ht="15" customHeight="1" x14ac:dyDescent="0.3">
      <c r="A455" t="s">
        <v>1975</v>
      </c>
      <c r="B455" t="s">
        <v>2818</v>
      </c>
      <c r="C455" t="s">
        <v>1977</v>
      </c>
      <c r="D455" s="22" t="s">
        <v>2819</v>
      </c>
      <c r="E455" t="s">
        <v>1979</v>
      </c>
      <c r="F455" t="s">
        <v>1980</v>
      </c>
      <c r="P455" t="s">
        <v>1830</v>
      </c>
      <c r="Q455" t="s">
        <v>1981</v>
      </c>
      <c r="R455" t="s">
        <v>2113</v>
      </c>
      <c r="S455" t="s">
        <v>1894</v>
      </c>
      <c r="T455" t="s">
        <v>2731</v>
      </c>
      <c r="V455">
        <v>1</v>
      </c>
      <c r="AE455" t="s">
        <v>56</v>
      </c>
      <c r="AF455" t="s">
        <v>57</v>
      </c>
      <c r="AH455">
        <v>70</v>
      </c>
      <c r="AI455">
        <v>70</v>
      </c>
      <c r="AM455" s="23">
        <f t="shared" si="14"/>
        <v>194.625</v>
      </c>
      <c r="AN455" s="23">
        <v>519</v>
      </c>
      <c r="AO455" s="24">
        <v>0.2</v>
      </c>
      <c r="AP455" s="23">
        <f t="shared" si="15"/>
        <v>622.79999999999995</v>
      </c>
    </row>
    <row r="456" spans="1:42" ht="15" customHeight="1" x14ac:dyDescent="0.3">
      <c r="A456" t="s">
        <v>1975</v>
      </c>
      <c r="B456" t="s">
        <v>2820</v>
      </c>
      <c r="C456" t="s">
        <v>1977</v>
      </c>
      <c r="D456" s="22" t="s">
        <v>2821</v>
      </c>
      <c r="E456" t="s">
        <v>1979</v>
      </c>
      <c r="F456" t="s">
        <v>1980</v>
      </c>
      <c r="P456" t="s">
        <v>1830</v>
      </c>
      <c r="Q456" t="s">
        <v>1981</v>
      </c>
      <c r="R456" t="s">
        <v>2116</v>
      </c>
      <c r="S456" t="s">
        <v>1894</v>
      </c>
      <c r="T456" t="s">
        <v>2731</v>
      </c>
      <c r="V456">
        <v>1</v>
      </c>
      <c r="AE456" t="s">
        <v>56</v>
      </c>
      <c r="AF456" t="s">
        <v>57</v>
      </c>
      <c r="AH456">
        <v>74</v>
      </c>
      <c r="AI456">
        <v>74</v>
      </c>
      <c r="AM456" s="23">
        <f t="shared" si="14"/>
        <v>205.5</v>
      </c>
      <c r="AN456" s="23">
        <v>548</v>
      </c>
      <c r="AO456" s="24">
        <v>0.2</v>
      </c>
      <c r="AP456" s="23">
        <f t="shared" si="15"/>
        <v>657.6</v>
      </c>
    </row>
    <row r="457" spans="1:42" ht="15" customHeight="1" x14ac:dyDescent="0.3">
      <c r="A457" t="s">
        <v>1975</v>
      </c>
      <c r="B457" t="s">
        <v>2822</v>
      </c>
      <c r="C457" t="s">
        <v>1977</v>
      </c>
      <c r="D457" s="22" t="s">
        <v>2823</v>
      </c>
      <c r="E457" t="s">
        <v>1979</v>
      </c>
      <c r="F457" t="s">
        <v>1980</v>
      </c>
      <c r="P457" t="s">
        <v>1830</v>
      </c>
      <c r="Q457" t="s">
        <v>1981</v>
      </c>
      <c r="R457" t="s">
        <v>2119</v>
      </c>
      <c r="S457" t="s">
        <v>1894</v>
      </c>
      <c r="T457" t="s">
        <v>2731</v>
      </c>
      <c r="V457">
        <v>1</v>
      </c>
      <c r="AE457" t="s">
        <v>56</v>
      </c>
      <c r="AF457" t="s">
        <v>57</v>
      </c>
      <c r="AH457">
        <v>78</v>
      </c>
      <c r="AI457">
        <v>78</v>
      </c>
      <c r="AM457" s="23">
        <f t="shared" si="14"/>
        <v>219.375</v>
      </c>
      <c r="AN457" s="23">
        <v>585</v>
      </c>
      <c r="AO457" s="24">
        <v>0.2</v>
      </c>
      <c r="AP457" s="23">
        <f t="shared" si="15"/>
        <v>702</v>
      </c>
    </row>
    <row r="458" spans="1:42" ht="15" customHeight="1" x14ac:dyDescent="0.3">
      <c r="A458" t="s">
        <v>1975</v>
      </c>
      <c r="B458" t="s">
        <v>2824</v>
      </c>
      <c r="C458" t="s">
        <v>1977</v>
      </c>
      <c r="D458" s="22" t="s">
        <v>2825</v>
      </c>
      <c r="E458" t="s">
        <v>1979</v>
      </c>
      <c r="F458" t="s">
        <v>1980</v>
      </c>
      <c r="P458" t="s">
        <v>1830</v>
      </c>
      <c r="Q458" t="s">
        <v>1981</v>
      </c>
      <c r="R458" t="s">
        <v>2122</v>
      </c>
      <c r="S458" t="s">
        <v>1894</v>
      </c>
      <c r="T458" t="s">
        <v>2731</v>
      </c>
      <c r="V458">
        <v>1</v>
      </c>
      <c r="AE458" t="s">
        <v>56</v>
      </c>
      <c r="AF458" t="s">
        <v>57</v>
      </c>
      <c r="AH458">
        <v>83</v>
      </c>
      <c r="AI458">
        <v>83</v>
      </c>
      <c r="AM458" s="23">
        <f t="shared" si="14"/>
        <v>236.25</v>
      </c>
      <c r="AN458" s="23">
        <v>630</v>
      </c>
      <c r="AO458" s="24">
        <v>0.2</v>
      </c>
      <c r="AP458" s="23">
        <f t="shared" si="15"/>
        <v>756</v>
      </c>
    </row>
    <row r="459" spans="1:42" ht="15" customHeight="1" x14ac:dyDescent="0.3">
      <c r="A459" t="s">
        <v>1975</v>
      </c>
      <c r="B459" t="s">
        <v>2826</v>
      </c>
      <c r="C459" t="s">
        <v>1977</v>
      </c>
      <c r="D459" s="22" t="s">
        <v>2827</v>
      </c>
      <c r="E459" t="s">
        <v>1979</v>
      </c>
      <c r="F459" t="s">
        <v>1980</v>
      </c>
      <c r="P459" t="s">
        <v>1830</v>
      </c>
      <c r="Q459" t="s">
        <v>1981</v>
      </c>
      <c r="R459" t="s">
        <v>2125</v>
      </c>
      <c r="S459" t="s">
        <v>1894</v>
      </c>
      <c r="T459" t="s">
        <v>2731</v>
      </c>
      <c r="V459">
        <v>1</v>
      </c>
      <c r="AE459" t="s">
        <v>56</v>
      </c>
      <c r="AF459" t="s">
        <v>57</v>
      </c>
      <c r="AH459">
        <v>87</v>
      </c>
      <c r="AI459">
        <v>87</v>
      </c>
      <c r="AM459" s="23">
        <f t="shared" si="14"/>
        <v>241.125</v>
      </c>
      <c r="AN459" s="23">
        <v>643</v>
      </c>
      <c r="AO459" s="24">
        <v>0.2</v>
      </c>
      <c r="AP459" s="23">
        <f t="shared" si="15"/>
        <v>771.6</v>
      </c>
    </row>
    <row r="460" spans="1:42" ht="15" customHeight="1" x14ac:dyDescent="0.3">
      <c r="A460" t="s">
        <v>1975</v>
      </c>
      <c r="B460" t="s">
        <v>2828</v>
      </c>
      <c r="C460" t="s">
        <v>1977</v>
      </c>
      <c r="D460" s="22" t="s">
        <v>2829</v>
      </c>
      <c r="E460" t="s">
        <v>1979</v>
      </c>
      <c r="F460" t="s">
        <v>1980</v>
      </c>
      <c r="P460" t="s">
        <v>1830</v>
      </c>
      <c r="Q460" t="s">
        <v>1981</v>
      </c>
      <c r="R460" t="s">
        <v>2128</v>
      </c>
      <c r="S460" t="s">
        <v>1894</v>
      </c>
      <c r="T460" t="s">
        <v>2731</v>
      </c>
      <c r="V460">
        <v>1</v>
      </c>
      <c r="AE460" t="s">
        <v>56</v>
      </c>
      <c r="AF460" t="s">
        <v>57</v>
      </c>
      <c r="AH460">
        <v>39</v>
      </c>
      <c r="AI460">
        <v>39</v>
      </c>
      <c r="AM460" s="23">
        <f t="shared" si="14"/>
        <v>114.375</v>
      </c>
      <c r="AN460" s="23">
        <v>305</v>
      </c>
      <c r="AO460" s="24">
        <v>0.2</v>
      </c>
      <c r="AP460" s="23">
        <f t="shared" si="15"/>
        <v>366</v>
      </c>
    </row>
    <row r="461" spans="1:42" ht="15" customHeight="1" x14ac:dyDescent="0.3">
      <c r="A461" t="s">
        <v>1975</v>
      </c>
      <c r="B461" t="s">
        <v>2830</v>
      </c>
      <c r="C461" t="s">
        <v>1977</v>
      </c>
      <c r="D461" s="22" t="s">
        <v>2831</v>
      </c>
      <c r="E461" t="s">
        <v>1979</v>
      </c>
      <c r="F461" t="s">
        <v>1980</v>
      </c>
      <c r="P461" t="s">
        <v>1830</v>
      </c>
      <c r="Q461" t="s">
        <v>1981</v>
      </c>
      <c r="R461" t="s">
        <v>1982</v>
      </c>
      <c r="S461" t="s">
        <v>1894</v>
      </c>
      <c r="T461" s="22" t="s">
        <v>1883</v>
      </c>
      <c r="V461">
        <v>1</v>
      </c>
      <c r="AE461" t="s">
        <v>56</v>
      </c>
      <c r="AF461" t="s">
        <v>57</v>
      </c>
      <c r="AH461">
        <v>48</v>
      </c>
      <c r="AI461">
        <v>48</v>
      </c>
      <c r="AM461" s="23">
        <f t="shared" si="14"/>
        <v>137.625</v>
      </c>
      <c r="AN461" s="23">
        <v>367</v>
      </c>
      <c r="AO461" s="24">
        <v>0.2</v>
      </c>
      <c r="AP461" s="23">
        <f t="shared" si="15"/>
        <v>440.4</v>
      </c>
    </row>
    <row r="462" spans="1:42" ht="15" customHeight="1" x14ac:dyDescent="0.3">
      <c r="A462" t="s">
        <v>1975</v>
      </c>
      <c r="B462" t="s">
        <v>2832</v>
      </c>
      <c r="C462" t="s">
        <v>1977</v>
      </c>
      <c r="D462" s="22" t="s">
        <v>2833</v>
      </c>
      <c r="E462" t="s">
        <v>1979</v>
      </c>
      <c r="F462" t="s">
        <v>1980</v>
      </c>
      <c r="P462" t="s">
        <v>1830</v>
      </c>
      <c r="Q462" t="s">
        <v>1981</v>
      </c>
      <c r="R462" t="s">
        <v>1985</v>
      </c>
      <c r="S462" t="s">
        <v>1894</v>
      </c>
      <c r="T462" s="22" t="s">
        <v>1883</v>
      </c>
      <c r="V462">
        <v>1</v>
      </c>
      <c r="AE462" t="s">
        <v>56</v>
      </c>
      <c r="AF462" t="s">
        <v>57</v>
      </c>
      <c r="AH462">
        <v>53</v>
      </c>
      <c r="AI462">
        <v>53</v>
      </c>
      <c r="AM462" s="23">
        <f t="shared" si="14"/>
        <v>149.25</v>
      </c>
      <c r="AN462" s="23">
        <v>398</v>
      </c>
      <c r="AO462" s="24">
        <v>0.2</v>
      </c>
      <c r="AP462" s="23">
        <f t="shared" si="15"/>
        <v>477.59999999999997</v>
      </c>
    </row>
    <row r="463" spans="1:42" ht="15" customHeight="1" x14ac:dyDescent="0.3">
      <c r="A463" t="s">
        <v>1975</v>
      </c>
      <c r="B463" t="s">
        <v>2834</v>
      </c>
      <c r="C463" t="s">
        <v>1977</v>
      </c>
      <c r="D463" s="22" t="s">
        <v>2835</v>
      </c>
      <c r="E463" t="s">
        <v>1979</v>
      </c>
      <c r="F463" t="s">
        <v>1980</v>
      </c>
      <c r="P463" t="s">
        <v>1830</v>
      </c>
      <c r="Q463" t="s">
        <v>1981</v>
      </c>
      <c r="R463" t="s">
        <v>1988</v>
      </c>
      <c r="S463" t="s">
        <v>1894</v>
      </c>
      <c r="T463" s="22" t="s">
        <v>1883</v>
      </c>
      <c r="V463">
        <v>1</v>
      </c>
      <c r="AE463" t="s">
        <v>56</v>
      </c>
      <c r="AF463" t="s">
        <v>57</v>
      </c>
      <c r="AH463">
        <v>58</v>
      </c>
      <c r="AI463">
        <v>58</v>
      </c>
      <c r="AM463" s="23">
        <f t="shared" si="14"/>
        <v>164.25</v>
      </c>
      <c r="AN463" s="23">
        <v>438</v>
      </c>
      <c r="AO463" s="24">
        <v>0.2</v>
      </c>
      <c r="AP463" s="23">
        <f t="shared" si="15"/>
        <v>525.6</v>
      </c>
    </row>
    <row r="464" spans="1:42" ht="15" customHeight="1" x14ac:dyDescent="0.3">
      <c r="A464" t="s">
        <v>1975</v>
      </c>
      <c r="B464" t="s">
        <v>2836</v>
      </c>
      <c r="C464" t="s">
        <v>1977</v>
      </c>
      <c r="D464" s="22" t="s">
        <v>2837</v>
      </c>
      <c r="E464" t="s">
        <v>1979</v>
      </c>
      <c r="F464" t="s">
        <v>1980</v>
      </c>
      <c r="P464" t="s">
        <v>1830</v>
      </c>
      <c r="Q464" t="s">
        <v>1981</v>
      </c>
      <c r="R464" t="s">
        <v>1991</v>
      </c>
      <c r="S464" t="s">
        <v>1894</v>
      </c>
      <c r="T464" s="22" t="s">
        <v>1883</v>
      </c>
      <c r="V464">
        <v>1</v>
      </c>
      <c r="AE464" t="s">
        <v>56</v>
      </c>
      <c r="AF464" t="s">
        <v>57</v>
      </c>
      <c r="AH464">
        <v>63</v>
      </c>
      <c r="AI464">
        <v>63</v>
      </c>
      <c r="AM464" s="23">
        <f t="shared" si="14"/>
        <v>175.875</v>
      </c>
      <c r="AN464" s="23">
        <v>469</v>
      </c>
      <c r="AO464" s="24">
        <v>0.2</v>
      </c>
      <c r="AP464" s="23">
        <f t="shared" si="15"/>
        <v>562.79999999999995</v>
      </c>
    </row>
    <row r="465" spans="1:42" ht="15" customHeight="1" x14ac:dyDescent="0.3">
      <c r="A465" t="s">
        <v>1975</v>
      </c>
      <c r="B465" t="s">
        <v>2838</v>
      </c>
      <c r="C465" t="s">
        <v>1977</v>
      </c>
      <c r="D465" s="22" t="s">
        <v>2839</v>
      </c>
      <c r="E465" t="s">
        <v>1979</v>
      </c>
      <c r="F465" t="s">
        <v>1980</v>
      </c>
      <c r="P465" t="s">
        <v>1830</v>
      </c>
      <c r="Q465" t="s">
        <v>1981</v>
      </c>
      <c r="R465" t="s">
        <v>1994</v>
      </c>
      <c r="S465" t="s">
        <v>1894</v>
      </c>
      <c r="T465" s="22" t="s">
        <v>1883</v>
      </c>
      <c r="V465">
        <v>1</v>
      </c>
      <c r="AE465" t="s">
        <v>56</v>
      </c>
      <c r="AF465" t="s">
        <v>57</v>
      </c>
      <c r="AH465">
        <v>68</v>
      </c>
      <c r="AI465">
        <v>68</v>
      </c>
      <c r="AM465" s="23">
        <f t="shared" si="14"/>
        <v>190.5</v>
      </c>
      <c r="AN465" s="23">
        <v>508</v>
      </c>
      <c r="AO465" s="24">
        <v>0.2</v>
      </c>
      <c r="AP465" s="23">
        <f t="shared" si="15"/>
        <v>609.6</v>
      </c>
    </row>
    <row r="466" spans="1:42" ht="15" customHeight="1" x14ac:dyDescent="0.3">
      <c r="A466" t="s">
        <v>1975</v>
      </c>
      <c r="B466" t="s">
        <v>2840</v>
      </c>
      <c r="C466" t="s">
        <v>1977</v>
      </c>
      <c r="D466" s="22" t="s">
        <v>2841</v>
      </c>
      <c r="E466" t="s">
        <v>1979</v>
      </c>
      <c r="F466" t="s">
        <v>1980</v>
      </c>
      <c r="P466" t="s">
        <v>1830</v>
      </c>
      <c r="Q466" t="s">
        <v>1981</v>
      </c>
      <c r="R466" t="s">
        <v>1997</v>
      </c>
      <c r="S466" t="s">
        <v>1894</v>
      </c>
      <c r="T466" s="22" t="s">
        <v>1883</v>
      </c>
      <c r="V466">
        <v>1</v>
      </c>
      <c r="AE466" t="s">
        <v>56</v>
      </c>
      <c r="AF466" t="s">
        <v>57</v>
      </c>
      <c r="AH466">
        <v>72</v>
      </c>
      <c r="AI466">
        <v>72</v>
      </c>
      <c r="AM466" s="23">
        <f t="shared" si="14"/>
        <v>202.875</v>
      </c>
      <c r="AN466" s="23">
        <v>541</v>
      </c>
      <c r="AO466" s="24">
        <v>0.2</v>
      </c>
      <c r="AP466" s="23">
        <f t="shared" si="15"/>
        <v>649.19999999999993</v>
      </c>
    </row>
    <row r="467" spans="1:42" ht="15" customHeight="1" x14ac:dyDescent="0.3">
      <c r="A467" t="s">
        <v>1975</v>
      </c>
      <c r="B467" t="s">
        <v>2842</v>
      </c>
      <c r="C467" t="s">
        <v>1977</v>
      </c>
      <c r="D467" s="22" t="s">
        <v>2843</v>
      </c>
      <c r="E467" t="s">
        <v>1979</v>
      </c>
      <c r="F467" t="s">
        <v>1980</v>
      </c>
      <c r="P467" t="s">
        <v>1830</v>
      </c>
      <c r="Q467" t="s">
        <v>1981</v>
      </c>
      <c r="R467" t="s">
        <v>2000</v>
      </c>
      <c r="S467" t="s">
        <v>1894</v>
      </c>
      <c r="T467" s="22" t="s">
        <v>1883</v>
      </c>
      <c r="V467">
        <v>1</v>
      </c>
      <c r="AE467" t="s">
        <v>56</v>
      </c>
      <c r="AF467" t="s">
        <v>57</v>
      </c>
      <c r="AH467">
        <v>77</v>
      </c>
      <c r="AI467">
        <v>77</v>
      </c>
      <c r="AM467" s="23">
        <f t="shared" si="14"/>
        <v>215.25</v>
      </c>
      <c r="AN467" s="23">
        <v>574</v>
      </c>
      <c r="AO467" s="24">
        <v>0.2</v>
      </c>
      <c r="AP467" s="23">
        <f t="shared" si="15"/>
        <v>688.8</v>
      </c>
    </row>
    <row r="468" spans="1:42" ht="15" customHeight="1" x14ac:dyDescent="0.3">
      <c r="A468" t="s">
        <v>1975</v>
      </c>
      <c r="B468" t="s">
        <v>2844</v>
      </c>
      <c r="C468" t="s">
        <v>1977</v>
      </c>
      <c r="D468" s="22" t="s">
        <v>2845</v>
      </c>
      <c r="E468" t="s">
        <v>1979</v>
      </c>
      <c r="F468" t="s">
        <v>1980</v>
      </c>
      <c r="P468" t="s">
        <v>1830</v>
      </c>
      <c r="Q468" t="s">
        <v>1981</v>
      </c>
      <c r="R468" t="s">
        <v>2003</v>
      </c>
      <c r="S468" t="s">
        <v>1894</v>
      </c>
      <c r="T468" s="22" t="s">
        <v>1883</v>
      </c>
      <c r="V468">
        <v>1</v>
      </c>
      <c r="AE468" t="s">
        <v>56</v>
      </c>
      <c r="AF468" t="s">
        <v>57</v>
      </c>
      <c r="AH468">
        <v>82</v>
      </c>
      <c r="AI468">
        <v>82</v>
      </c>
      <c r="AM468" s="23">
        <f t="shared" si="14"/>
        <v>226.5</v>
      </c>
      <c r="AN468" s="23">
        <v>604</v>
      </c>
      <c r="AO468" s="24">
        <v>0.2</v>
      </c>
      <c r="AP468" s="23">
        <f t="shared" si="15"/>
        <v>724.8</v>
      </c>
    </row>
    <row r="469" spans="1:42" ht="15" customHeight="1" x14ac:dyDescent="0.3">
      <c r="A469" t="s">
        <v>1975</v>
      </c>
      <c r="B469" t="s">
        <v>2846</v>
      </c>
      <c r="C469" t="s">
        <v>1977</v>
      </c>
      <c r="D469" s="22" t="s">
        <v>2847</v>
      </c>
      <c r="E469" t="s">
        <v>1979</v>
      </c>
      <c r="F469" t="s">
        <v>1980</v>
      </c>
      <c r="P469" t="s">
        <v>1830</v>
      </c>
      <c r="Q469" t="s">
        <v>1981</v>
      </c>
      <c r="R469" t="s">
        <v>2006</v>
      </c>
      <c r="S469" t="s">
        <v>1894</v>
      </c>
      <c r="T469" s="22" t="s">
        <v>1883</v>
      </c>
      <c r="V469">
        <v>1</v>
      </c>
      <c r="AE469" t="s">
        <v>56</v>
      </c>
      <c r="AF469" t="s">
        <v>57</v>
      </c>
      <c r="AH469">
        <v>87</v>
      </c>
      <c r="AI469">
        <v>87</v>
      </c>
      <c r="AM469" s="23">
        <f t="shared" si="14"/>
        <v>242.25</v>
      </c>
      <c r="AN469" s="23">
        <v>646</v>
      </c>
      <c r="AO469" s="24">
        <v>0.2</v>
      </c>
      <c r="AP469" s="23">
        <f t="shared" si="15"/>
        <v>775.19999999999993</v>
      </c>
    </row>
    <row r="470" spans="1:42" ht="15" customHeight="1" x14ac:dyDescent="0.3">
      <c r="A470" t="s">
        <v>1975</v>
      </c>
      <c r="B470" t="s">
        <v>2848</v>
      </c>
      <c r="C470" t="s">
        <v>1977</v>
      </c>
      <c r="D470" s="22" t="s">
        <v>2849</v>
      </c>
      <c r="E470" t="s">
        <v>1979</v>
      </c>
      <c r="F470" t="s">
        <v>1980</v>
      </c>
      <c r="P470" t="s">
        <v>1830</v>
      </c>
      <c r="Q470" t="s">
        <v>1981</v>
      </c>
      <c r="R470" t="s">
        <v>2009</v>
      </c>
      <c r="S470" t="s">
        <v>1894</v>
      </c>
      <c r="T470" s="22" t="s">
        <v>1883</v>
      </c>
      <c r="V470">
        <v>1</v>
      </c>
      <c r="AE470" t="s">
        <v>56</v>
      </c>
      <c r="AF470" t="s">
        <v>57</v>
      </c>
      <c r="AH470">
        <v>92</v>
      </c>
      <c r="AI470">
        <v>92</v>
      </c>
      <c r="AM470" s="23">
        <f t="shared" si="14"/>
        <v>253.875</v>
      </c>
      <c r="AN470" s="23">
        <v>677</v>
      </c>
      <c r="AO470" s="24">
        <v>0.2</v>
      </c>
      <c r="AP470" s="23">
        <f t="shared" si="15"/>
        <v>812.4</v>
      </c>
    </row>
    <row r="471" spans="1:42" ht="15" customHeight="1" x14ac:dyDescent="0.3">
      <c r="A471" t="s">
        <v>1975</v>
      </c>
      <c r="B471" t="s">
        <v>2850</v>
      </c>
      <c r="C471" t="s">
        <v>1977</v>
      </c>
      <c r="D471" s="22" t="s">
        <v>2851</v>
      </c>
      <c r="E471" t="s">
        <v>1979</v>
      </c>
      <c r="F471" t="s">
        <v>1980</v>
      </c>
      <c r="P471" t="s">
        <v>1830</v>
      </c>
      <c r="Q471" t="s">
        <v>1981</v>
      </c>
      <c r="R471" t="s">
        <v>2012</v>
      </c>
      <c r="S471" t="s">
        <v>1894</v>
      </c>
      <c r="T471" s="22" t="s">
        <v>1883</v>
      </c>
      <c r="V471">
        <v>1</v>
      </c>
      <c r="AE471" t="s">
        <v>56</v>
      </c>
      <c r="AF471" t="s">
        <v>57</v>
      </c>
      <c r="AH471">
        <v>96</v>
      </c>
      <c r="AI471">
        <v>96</v>
      </c>
      <c r="AM471" s="23">
        <f t="shared" si="14"/>
        <v>266.25</v>
      </c>
      <c r="AN471" s="23">
        <v>710</v>
      </c>
      <c r="AO471" s="24">
        <v>0.2</v>
      </c>
      <c r="AP471" s="23">
        <f t="shared" si="15"/>
        <v>852</v>
      </c>
    </row>
    <row r="472" spans="1:42" ht="15" customHeight="1" x14ac:dyDescent="0.3">
      <c r="A472" t="s">
        <v>1975</v>
      </c>
      <c r="B472" t="s">
        <v>2852</v>
      </c>
      <c r="C472" t="s">
        <v>1977</v>
      </c>
      <c r="D472" s="22" t="s">
        <v>2853</v>
      </c>
      <c r="E472" t="s">
        <v>1979</v>
      </c>
      <c r="F472" t="s">
        <v>1980</v>
      </c>
      <c r="P472" t="s">
        <v>1830</v>
      </c>
      <c r="Q472" t="s">
        <v>1981</v>
      </c>
      <c r="R472" t="s">
        <v>2015</v>
      </c>
      <c r="S472" t="s">
        <v>1894</v>
      </c>
      <c r="T472" s="22" t="s">
        <v>1883</v>
      </c>
      <c r="V472">
        <v>1</v>
      </c>
      <c r="AE472" t="s">
        <v>56</v>
      </c>
      <c r="AF472" t="s">
        <v>57</v>
      </c>
      <c r="AH472">
        <v>34</v>
      </c>
      <c r="AI472">
        <v>34</v>
      </c>
      <c r="AM472" s="23">
        <f t="shared" si="14"/>
        <v>108</v>
      </c>
      <c r="AN472" s="23">
        <v>288</v>
      </c>
      <c r="AO472" s="24">
        <v>0.2</v>
      </c>
      <c r="AP472" s="23">
        <f t="shared" si="15"/>
        <v>345.59999999999997</v>
      </c>
    </row>
    <row r="473" spans="1:42" ht="15" customHeight="1" x14ac:dyDescent="0.3">
      <c r="A473" t="s">
        <v>1975</v>
      </c>
      <c r="B473" t="s">
        <v>2854</v>
      </c>
      <c r="C473" t="s">
        <v>1977</v>
      </c>
      <c r="D473" s="22" t="s">
        <v>2855</v>
      </c>
      <c r="E473" t="s">
        <v>1979</v>
      </c>
      <c r="F473" t="s">
        <v>1980</v>
      </c>
      <c r="P473" t="s">
        <v>1830</v>
      </c>
      <c r="Q473" t="s">
        <v>1981</v>
      </c>
      <c r="R473" t="s">
        <v>2018</v>
      </c>
      <c r="S473" t="s">
        <v>1894</v>
      </c>
      <c r="T473" s="22" t="s">
        <v>1883</v>
      </c>
      <c r="V473">
        <v>1</v>
      </c>
      <c r="AE473" t="s">
        <v>56</v>
      </c>
      <c r="AF473" t="s">
        <v>57</v>
      </c>
      <c r="AH473">
        <v>37</v>
      </c>
      <c r="AI473">
        <v>37</v>
      </c>
      <c r="AM473" s="23">
        <f t="shared" si="14"/>
        <v>126.75</v>
      </c>
      <c r="AN473" s="23">
        <v>338</v>
      </c>
      <c r="AO473" s="24">
        <v>0.2</v>
      </c>
      <c r="AP473" s="23">
        <f t="shared" si="15"/>
        <v>405.59999999999997</v>
      </c>
    </row>
    <row r="474" spans="1:42" ht="15" customHeight="1" x14ac:dyDescent="0.3">
      <c r="A474" t="s">
        <v>1975</v>
      </c>
      <c r="B474" t="s">
        <v>2856</v>
      </c>
      <c r="C474" t="s">
        <v>1977</v>
      </c>
      <c r="D474" s="22" t="s">
        <v>2857</v>
      </c>
      <c r="E474" t="s">
        <v>1979</v>
      </c>
      <c r="F474" t="s">
        <v>1980</v>
      </c>
      <c r="P474" t="s">
        <v>1830</v>
      </c>
      <c r="Q474" t="s">
        <v>1981</v>
      </c>
      <c r="R474" t="s">
        <v>2021</v>
      </c>
      <c r="S474" t="s">
        <v>1894</v>
      </c>
      <c r="T474" s="22" t="s">
        <v>1883</v>
      </c>
      <c r="V474">
        <v>1</v>
      </c>
      <c r="AE474" t="s">
        <v>56</v>
      </c>
      <c r="AF474" t="s">
        <v>57</v>
      </c>
      <c r="AH474">
        <v>41</v>
      </c>
      <c r="AI474">
        <v>41</v>
      </c>
      <c r="AM474" s="23">
        <f t="shared" si="14"/>
        <v>129.375</v>
      </c>
      <c r="AN474" s="23">
        <v>345</v>
      </c>
      <c r="AO474" s="24">
        <v>0.2</v>
      </c>
      <c r="AP474" s="23">
        <f t="shared" si="15"/>
        <v>414</v>
      </c>
    </row>
    <row r="475" spans="1:42" ht="15" customHeight="1" x14ac:dyDescent="0.3">
      <c r="A475" t="s">
        <v>1975</v>
      </c>
      <c r="B475" t="s">
        <v>2858</v>
      </c>
      <c r="C475" t="s">
        <v>1977</v>
      </c>
      <c r="D475" s="22" t="s">
        <v>2859</v>
      </c>
      <c r="E475" t="s">
        <v>1979</v>
      </c>
      <c r="F475" t="s">
        <v>1980</v>
      </c>
      <c r="P475" t="s">
        <v>1830</v>
      </c>
      <c r="Q475" t="s">
        <v>1981</v>
      </c>
      <c r="R475" t="s">
        <v>2024</v>
      </c>
      <c r="S475" t="s">
        <v>1894</v>
      </c>
      <c r="T475" s="22" t="s">
        <v>1883</v>
      </c>
      <c r="V475">
        <v>1</v>
      </c>
      <c r="AE475" t="s">
        <v>56</v>
      </c>
      <c r="AF475" t="s">
        <v>57</v>
      </c>
      <c r="AH475">
        <v>44</v>
      </c>
      <c r="AI475">
        <v>44</v>
      </c>
      <c r="AM475" s="23">
        <f t="shared" si="14"/>
        <v>139.875</v>
      </c>
      <c r="AN475" s="23">
        <v>373</v>
      </c>
      <c r="AO475" s="24">
        <v>0.2</v>
      </c>
      <c r="AP475" s="23">
        <f t="shared" si="15"/>
        <v>447.59999999999997</v>
      </c>
    </row>
    <row r="476" spans="1:42" ht="15" customHeight="1" x14ac:dyDescent="0.3">
      <c r="A476" t="s">
        <v>1975</v>
      </c>
      <c r="B476" t="s">
        <v>2860</v>
      </c>
      <c r="C476" t="s">
        <v>1977</v>
      </c>
      <c r="D476" s="22" t="s">
        <v>2861</v>
      </c>
      <c r="E476" t="s">
        <v>1979</v>
      </c>
      <c r="F476" t="s">
        <v>1980</v>
      </c>
      <c r="P476" t="s">
        <v>1830</v>
      </c>
      <c r="Q476" t="s">
        <v>1981</v>
      </c>
      <c r="R476" t="s">
        <v>2027</v>
      </c>
      <c r="S476" t="s">
        <v>1894</v>
      </c>
      <c r="T476" s="22" t="s">
        <v>1883</v>
      </c>
      <c r="V476">
        <v>1</v>
      </c>
      <c r="AE476" t="s">
        <v>56</v>
      </c>
      <c r="AF476" t="s">
        <v>57</v>
      </c>
      <c r="AH476">
        <v>48</v>
      </c>
      <c r="AI476">
        <v>48</v>
      </c>
      <c r="AM476" s="23">
        <f t="shared" si="14"/>
        <v>139.875</v>
      </c>
      <c r="AN476" s="23">
        <v>373</v>
      </c>
      <c r="AO476" s="24">
        <v>0.2</v>
      </c>
      <c r="AP476" s="23">
        <f t="shared" si="15"/>
        <v>447.59999999999997</v>
      </c>
    </row>
    <row r="477" spans="1:42" ht="15" customHeight="1" x14ac:dyDescent="0.3">
      <c r="A477" t="s">
        <v>1975</v>
      </c>
      <c r="B477" t="s">
        <v>2862</v>
      </c>
      <c r="C477" t="s">
        <v>1977</v>
      </c>
      <c r="D477" s="22" t="s">
        <v>2863</v>
      </c>
      <c r="E477" t="s">
        <v>1979</v>
      </c>
      <c r="F477" t="s">
        <v>1980</v>
      </c>
      <c r="P477" t="s">
        <v>1830</v>
      </c>
      <c r="Q477" t="s">
        <v>1981</v>
      </c>
      <c r="R477" t="s">
        <v>2030</v>
      </c>
      <c r="S477" t="s">
        <v>1894</v>
      </c>
      <c r="T477" s="22" t="s">
        <v>1883</v>
      </c>
      <c r="V477">
        <v>1</v>
      </c>
      <c r="AE477" t="s">
        <v>56</v>
      </c>
      <c r="AF477" t="s">
        <v>57</v>
      </c>
      <c r="AH477">
        <v>51</v>
      </c>
      <c r="AI477">
        <v>51</v>
      </c>
      <c r="AM477" s="23">
        <f t="shared" si="14"/>
        <v>148.125</v>
      </c>
      <c r="AN477" s="23">
        <v>395</v>
      </c>
      <c r="AO477" s="24">
        <v>0.2</v>
      </c>
      <c r="AP477" s="23">
        <f t="shared" si="15"/>
        <v>474</v>
      </c>
    </row>
    <row r="478" spans="1:42" ht="15" customHeight="1" x14ac:dyDescent="0.3">
      <c r="A478" t="s">
        <v>1975</v>
      </c>
      <c r="B478" t="s">
        <v>2864</v>
      </c>
      <c r="C478" t="s">
        <v>1977</v>
      </c>
      <c r="D478" s="22" t="s">
        <v>2865</v>
      </c>
      <c r="E478" t="s">
        <v>1979</v>
      </c>
      <c r="F478" t="s">
        <v>1980</v>
      </c>
      <c r="P478" t="s">
        <v>1830</v>
      </c>
      <c r="Q478" t="s">
        <v>1981</v>
      </c>
      <c r="R478" t="s">
        <v>2033</v>
      </c>
      <c r="S478" t="s">
        <v>1894</v>
      </c>
      <c r="T478" s="22" t="s">
        <v>1883</v>
      </c>
      <c r="V478">
        <v>1</v>
      </c>
      <c r="AE478" t="s">
        <v>56</v>
      </c>
      <c r="AF478" t="s">
        <v>57</v>
      </c>
      <c r="AH478">
        <v>54</v>
      </c>
      <c r="AI478">
        <v>54</v>
      </c>
      <c r="AM478" s="23">
        <f t="shared" si="14"/>
        <v>156.75</v>
      </c>
      <c r="AN478" s="23">
        <v>418</v>
      </c>
      <c r="AO478" s="24">
        <v>0.2</v>
      </c>
      <c r="AP478" s="23">
        <f t="shared" si="15"/>
        <v>501.59999999999997</v>
      </c>
    </row>
    <row r="479" spans="1:42" ht="15" customHeight="1" x14ac:dyDescent="0.3">
      <c r="A479" t="s">
        <v>1975</v>
      </c>
      <c r="B479" t="s">
        <v>2866</v>
      </c>
      <c r="C479" t="s">
        <v>1977</v>
      </c>
      <c r="D479" s="22" t="s">
        <v>2867</v>
      </c>
      <c r="E479" t="s">
        <v>1979</v>
      </c>
      <c r="F479" t="s">
        <v>1980</v>
      </c>
      <c r="P479" t="s">
        <v>1830</v>
      </c>
      <c r="Q479" t="s">
        <v>1981</v>
      </c>
      <c r="R479" t="s">
        <v>2036</v>
      </c>
      <c r="S479" t="s">
        <v>1894</v>
      </c>
      <c r="T479" s="22" t="s">
        <v>1883</v>
      </c>
      <c r="V479">
        <v>1</v>
      </c>
      <c r="AE479" t="s">
        <v>56</v>
      </c>
      <c r="AF479" t="s">
        <v>57</v>
      </c>
      <c r="AH479">
        <v>58</v>
      </c>
      <c r="AI479">
        <v>58</v>
      </c>
      <c r="AM479" s="23">
        <f t="shared" si="14"/>
        <v>165</v>
      </c>
      <c r="AN479" s="23">
        <v>440</v>
      </c>
      <c r="AO479" s="24">
        <v>0.2</v>
      </c>
      <c r="AP479" s="23">
        <f t="shared" si="15"/>
        <v>528</v>
      </c>
    </row>
    <row r="480" spans="1:42" ht="15" customHeight="1" x14ac:dyDescent="0.3">
      <c r="A480" t="s">
        <v>1975</v>
      </c>
      <c r="B480" t="s">
        <v>2868</v>
      </c>
      <c r="C480" t="s">
        <v>1977</v>
      </c>
      <c r="D480" s="22" t="s">
        <v>2869</v>
      </c>
      <c r="E480" t="s">
        <v>1979</v>
      </c>
      <c r="F480" t="s">
        <v>1980</v>
      </c>
      <c r="P480" t="s">
        <v>1830</v>
      </c>
      <c r="Q480" t="s">
        <v>1981</v>
      </c>
      <c r="R480" t="s">
        <v>2039</v>
      </c>
      <c r="S480" t="s">
        <v>1894</v>
      </c>
      <c r="T480" s="22" t="s">
        <v>1883</v>
      </c>
      <c r="V480">
        <v>1</v>
      </c>
      <c r="AE480" t="s">
        <v>56</v>
      </c>
      <c r="AF480" t="s">
        <v>57</v>
      </c>
      <c r="AH480">
        <v>61</v>
      </c>
      <c r="AI480">
        <v>61</v>
      </c>
      <c r="AM480" s="23">
        <f t="shared" si="14"/>
        <v>175.875</v>
      </c>
      <c r="AN480" s="23">
        <v>469</v>
      </c>
      <c r="AO480" s="24">
        <v>0.2</v>
      </c>
      <c r="AP480" s="23">
        <f t="shared" si="15"/>
        <v>562.79999999999995</v>
      </c>
    </row>
    <row r="481" spans="1:42" ht="15" customHeight="1" x14ac:dyDescent="0.3">
      <c r="A481" t="s">
        <v>1975</v>
      </c>
      <c r="B481" t="s">
        <v>2870</v>
      </c>
      <c r="C481" t="s">
        <v>1977</v>
      </c>
      <c r="D481" s="22" t="s">
        <v>2871</v>
      </c>
      <c r="E481" t="s">
        <v>1979</v>
      </c>
      <c r="F481" t="s">
        <v>1980</v>
      </c>
      <c r="P481" t="s">
        <v>1830</v>
      </c>
      <c r="Q481" t="s">
        <v>1981</v>
      </c>
      <c r="R481" t="s">
        <v>2042</v>
      </c>
      <c r="S481" t="s">
        <v>1894</v>
      </c>
      <c r="T481" s="22" t="s">
        <v>1883</v>
      </c>
      <c r="V481">
        <v>1</v>
      </c>
      <c r="AE481" t="s">
        <v>56</v>
      </c>
      <c r="AF481" t="s">
        <v>57</v>
      </c>
      <c r="AH481">
        <v>64</v>
      </c>
      <c r="AI481">
        <v>64</v>
      </c>
      <c r="AM481" s="23">
        <f t="shared" si="14"/>
        <v>196.125</v>
      </c>
      <c r="AN481" s="23">
        <v>523</v>
      </c>
      <c r="AO481" s="24">
        <v>0.2</v>
      </c>
      <c r="AP481" s="23">
        <f t="shared" si="15"/>
        <v>627.6</v>
      </c>
    </row>
    <row r="482" spans="1:42" ht="15" customHeight="1" x14ac:dyDescent="0.3">
      <c r="A482" t="s">
        <v>1975</v>
      </c>
      <c r="B482" t="s">
        <v>2872</v>
      </c>
      <c r="C482" t="s">
        <v>1977</v>
      </c>
      <c r="D482" s="22" t="s">
        <v>2873</v>
      </c>
      <c r="E482" t="s">
        <v>1979</v>
      </c>
      <c r="F482" t="s">
        <v>1980</v>
      </c>
      <c r="P482" t="s">
        <v>1830</v>
      </c>
      <c r="Q482" t="s">
        <v>1981</v>
      </c>
      <c r="R482" t="s">
        <v>2045</v>
      </c>
      <c r="S482" t="s">
        <v>1894</v>
      </c>
      <c r="T482" s="22" t="s">
        <v>1883</v>
      </c>
      <c r="V482">
        <v>1</v>
      </c>
      <c r="AE482" t="s">
        <v>56</v>
      </c>
      <c r="AF482" t="s">
        <v>57</v>
      </c>
      <c r="AH482">
        <v>68</v>
      </c>
      <c r="AI482">
        <v>68</v>
      </c>
      <c r="AM482" s="23">
        <f t="shared" si="14"/>
        <v>200.625</v>
      </c>
      <c r="AN482" s="23">
        <v>535</v>
      </c>
      <c r="AO482" s="24">
        <v>0.2</v>
      </c>
      <c r="AP482" s="23">
        <f t="shared" si="15"/>
        <v>642</v>
      </c>
    </row>
    <row r="483" spans="1:42" ht="15" customHeight="1" x14ac:dyDescent="0.3">
      <c r="A483" t="s">
        <v>1975</v>
      </c>
      <c r="B483" t="s">
        <v>2874</v>
      </c>
      <c r="C483" t="s">
        <v>1977</v>
      </c>
      <c r="D483" s="22" t="s">
        <v>2875</v>
      </c>
      <c r="E483" t="s">
        <v>1979</v>
      </c>
      <c r="F483" t="s">
        <v>1980</v>
      </c>
      <c r="P483" t="s">
        <v>1830</v>
      </c>
      <c r="Q483" t="s">
        <v>1981</v>
      </c>
      <c r="R483" t="s">
        <v>2048</v>
      </c>
      <c r="S483" t="s">
        <v>1894</v>
      </c>
      <c r="T483" s="22" t="s">
        <v>1883</v>
      </c>
      <c r="V483">
        <v>1</v>
      </c>
      <c r="AE483" t="s">
        <v>56</v>
      </c>
      <c r="AF483" t="s">
        <v>57</v>
      </c>
      <c r="AH483">
        <v>24</v>
      </c>
      <c r="AI483">
        <v>24</v>
      </c>
      <c r="AM483" s="23">
        <f t="shared" si="14"/>
        <v>95.625</v>
      </c>
      <c r="AN483" s="23">
        <v>255</v>
      </c>
      <c r="AO483" s="24">
        <v>0.2</v>
      </c>
      <c r="AP483" s="23">
        <f t="shared" si="15"/>
        <v>306</v>
      </c>
    </row>
    <row r="484" spans="1:42" ht="15" customHeight="1" x14ac:dyDescent="0.3">
      <c r="A484" t="s">
        <v>1975</v>
      </c>
      <c r="B484" t="s">
        <v>2876</v>
      </c>
      <c r="C484" t="s">
        <v>1977</v>
      </c>
      <c r="D484" s="22" t="s">
        <v>2877</v>
      </c>
      <c r="E484" t="s">
        <v>1979</v>
      </c>
      <c r="F484" t="s">
        <v>1980</v>
      </c>
      <c r="P484" t="s">
        <v>1830</v>
      </c>
      <c r="Q484" t="s">
        <v>1981</v>
      </c>
      <c r="R484" t="s">
        <v>2051</v>
      </c>
      <c r="S484" t="s">
        <v>1894</v>
      </c>
      <c r="T484" s="22" t="s">
        <v>1883</v>
      </c>
      <c r="V484">
        <v>1</v>
      </c>
      <c r="AE484" t="s">
        <v>56</v>
      </c>
      <c r="AF484" t="s">
        <v>57</v>
      </c>
      <c r="AH484">
        <v>27</v>
      </c>
      <c r="AI484">
        <v>27</v>
      </c>
      <c r="AM484" s="23">
        <f t="shared" si="14"/>
        <v>100.5</v>
      </c>
      <c r="AN484" s="23">
        <v>268</v>
      </c>
      <c r="AO484" s="24">
        <v>0.2</v>
      </c>
      <c r="AP484" s="23">
        <f t="shared" si="15"/>
        <v>321.59999999999997</v>
      </c>
    </row>
    <row r="485" spans="1:42" ht="15" customHeight="1" x14ac:dyDescent="0.3">
      <c r="A485" t="s">
        <v>1975</v>
      </c>
      <c r="B485" t="s">
        <v>2878</v>
      </c>
      <c r="C485" t="s">
        <v>1977</v>
      </c>
      <c r="D485" s="22" t="s">
        <v>2879</v>
      </c>
      <c r="E485" t="s">
        <v>1979</v>
      </c>
      <c r="F485" t="s">
        <v>1980</v>
      </c>
      <c r="P485" t="s">
        <v>1830</v>
      </c>
      <c r="Q485" t="s">
        <v>1981</v>
      </c>
      <c r="R485" t="s">
        <v>2054</v>
      </c>
      <c r="S485" t="s">
        <v>1894</v>
      </c>
      <c r="T485" s="22" t="s">
        <v>1883</v>
      </c>
      <c r="V485">
        <v>1</v>
      </c>
      <c r="AE485" t="s">
        <v>56</v>
      </c>
      <c r="AF485" t="s">
        <v>57</v>
      </c>
      <c r="AH485">
        <v>31</v>
      </c>
      <c r="AI485">
        <v>31</v>
      </c>
      <c r="AM485" s="23">
        <f t="shared" si="14"/>
        <v>104.25</v>
      </c>
      <c r="AN485" s="23">
        <v>278</v>
      </c>
      <c r="AO485" s="24">
        <v>0.2</v>
      </c>
      <c r="AP485" s="23">
        <f t="shared" si="15"/>
        <v>333.59999999999997</v>
      </c>
    </row>
    <row r="486" spans="1:42" ht="15" customHeight="1" x14ac:dyDescent="0.3">
      <c r="A486" t="s">
        <v>1975</v>
      </c>
      <c r="B486" t="s">
        <v>2880</v>
      </c>
      <c r="C486" t="s">
        <v>1977</v>
      </c>
      <c r="D486" s="22" t="s">
        <v>2881</v>
      </c>
      <c r="E486" t="s">
        <v>1979</v>
      </c>
      <c r="F486" t="s">
        <v>1980</v>
      </c>
      <c r="P486" t="s">
        <v>1830</v>
      </c>
      <c r="Q486" t="s">
        <v>1981</v>
      </c>
      <c r="R486" t="s">
        <v>2057</v>
      </c>
      <c r="S486" t="s">
        <v>1894</v>
      </c>
      <c r="T486" s="22" t="s">
        <v>1883</v>
      </c>
      <c r="V486">
        <v>1</v>
      </c>
      <c r="AE486" t="s">
        <v>56</v>
      </c>
      <c r="AF486" t="s">
        <v>57</v>
      </c>
      <c r="AH486">
        <v>39</v>
      </c>
      <c r="AI486">
        <v>39</v>
      </c>
      <c r="AM486" s="23">
        <f t="shared" si="14"/>
        <v>113.625</v>
      </c>
      <c r="AN486" s="23">
        <v>303</v>
      </c>
      <c r="AO486" s="24">
        <v>0.2</v>
      </c>
      <c r="AP486" s="23">
        <f t="shared" si="15"/>
        <v>363.59999999999997</v>
      </c>
    </row>
    <row r="487" spans="1:42" ht="15" customHeight="1" x14ac:dyDescent="0.3">
      <c r="A487" t="s">
        <v>1975</v>
      </c>
      <c r="B487" t="s">
        <v>2882</v>
      </c>
      <c r="C487" t="s">
        <v>1977</v>
      </c>
      <c r="D487" s="22" t="s">
        <v>2883</v>
      </c>
      <c r="E487" t="s">
        <v>1979</v>
      </c>
      <c r="F487" t="s">
        <v>1980</v>
      </c>
      <c r="P487" t="s">
        <v>1830</v>
      </c>
      <c r="Q487" t="s">
        <v>1981</v>
      </c>
      <c r="R487" t="s">
        <v>2060</v>
      </c>
      <c r="S487" t="s">
        <v>1894</v>
      </c>
      <c r="T487" s="22" t="s">
        <v>1883</v>
      </c>
      <c r="V487">
        <v>1</v>
      </c>
      <c r="AE487" t="s">
        <v>56</v>
      </c>
      <c r="AF487" t="s">
        <v>57</v>
      </c>
      <c r="AH487">
        <v>43</v>
      </c>
      <c r="AI487">
        <v>43</v>
      </c>
      <c r="AM487" s="23">
        <f t="shared" si="14"/>
        <v>130.5</v>
      </c>
      <c r="AN487" s="23">
        <v>348</v>
      </c>
      <c r="AO487" s="24">
        <v>0.2</v>
      </c>
      <c r="AP487" s="23">
        <f t="shared" si="15"/>
        <v>417.59999999999997</v>
      </c>
    </row>
    <row r="488" spans="1:42" ht="15" customHeight="1" x14ac:dyDescent="0.3">
      <c r="A488" t="s">
        <v>1975</v>
      </c>
      <c r="B488" t="s">
        <v>2884</v>
      </c>
      <c r="C488" t="s">
        <v>1977</v>
      </c>
      <c r="D488" s="22" t="s">
        <v>2885</v>
      </c>
      <c r="E488" t="s">
        <v>1979</v>
      </c>
      <c r="F488" t="s">
        <v>1980</v>
      </c>
      <c r="P488" t="s">
        <v>1830</v>
      </c>
      <c r="Q488" t="s">
        <v>1981</v>
      </c>
      <c r="R488" t="s">
        <v>2063</v>
      </c>
      <c r="S488" t="s">
        <v>1894</v>
      </c>
      <c r="T488" s="22" t="s">
        <v>1883</v>
      </c>
      <c r="V488">
        <v>1</v>
      </c>
      <c r="AE488" t="s">
        <v>56</v>
      </c>
      <c r="AF488" t="s">
        <v>57</v>
      </c>
      <c r="AH488">
        <v>47</v>
      </c>
      <c r="AI488">
        <v>47</v>
      </c>
      <c r="AM488" s="23">
        <f t="shared" si="14"/>
        <v>136.125</v>
      </c>
      <c r="AN488" s="23">
        <v>363</v>
      </c>
      <c r="AO488" s="24">
        <v>0.2</v>
      </c>
      <c r="AP488" s="23">
        <f t="shared" si="15"/>
        <v>435.59999999999997</v>
      </c>
    </row>
    <row r="489" spans="1:42" ht="15" customHeight="1" x14ac:dyDescent="0.3">
      <c r="A489" t="s">
        <v>1975</v>
      </c>
      <c r="B489" t="s">
        <v>2886</v>
      </c>
      <c r="C489" t="s">
        <v>1977</v>
      </c>
      <c r="D489" s="22" t="s">
        <v>2887</v>
      </c>
      <c r="E489" t="s">
        <v>1979</v>
      </c>
      <c r="F489" t="s">
        <v>1980</v>
      </c>
      <c r="P489" t="s">
        <v>1830</v>
      </c>
      <c r="Q489" t="s">
        <v>1981</v>
      </c>
      <c r="R489" t="s">
        <v>2066</v>
      </c>
      <c r="S489" t="s">
        <v>1894</v>
      </c>
      <c r="T489" s="22" t="s">
        <v>1883</v>
      </c>
      <c r="V489">
        <v>1</v>
      </c>
      <c r="AE489" t="s">
        <v>56</v>
      </c>
      <c r="AF489" t="s">
        <v>57</v>
      </c>
      <c r="AH489">
        <v>50</v>
      </c>
      <c r="AI489">
        <v>50</v>
      </c>
      <c r="AM489" s="23">
        <f t="shared" si="14"/>
        <v>153.75</v>
      </c>
      <c r="AN489" s="23">
        <v>410</v>
      </c>
      <c r="AO489" s="24">
        <v>0.2</v>
      </c>
      <c r="AP489" s="23">
        <f t="shared" si="15"/>
        <v>492</v>
      </c>
    </row>
    <row r="490" spans="1:42" ht="15" customHeight="1" x14ac:dyDescent="0.3">
      <c r="A490" t="s">
        <v>1975</v>
      </c>
      <c r="B490" t="s">
        <v>2888</v>
      </c>
      <c r="C490" t="s">
        <v>1977</v>
      </c>
      <c r="D490" s="22" t="s">
        <v>2889</v>
      </c>
      <c r="E490" t="s">
        <v>1979</v>
      </c>
      <c r="F490" t="s">
        <v>1980</v>
      </c>
      <c r="P490" t="s">
        <v>1830</v>
      </c>
      <c r="Q490" t="s">
        <v>1981</v>
      </c>
      <c r="R490" t="s">
        <v>2069</v>
      </c>
      <c r="S490" t="s">
        <v>1894</v>
      </c>
      <c r="T490" s="22" t="s">
        <v>1883</v>
      </c>
      <c r="V490">
        <v>1</v>
      </c>
      <c r="AE490" t="s">
        <v>56</v>
      </c>
      <c r="AF490" t="s">
        <v>57</v>
      </c>
      <c r="AH490">
        <v>54</v>
      </c>
      <c r="AI490">
        <v>54</v>
      </c>
      <c r="AM490" s="23">
        <f t="shared" si="14"/>
        <v>156.75</v>
      </c>
      <c r="AN490" s="23">
        <v>418</v>
      </c>
      <c r="AO490" s="24">
        <v>0.2</v>
      </c>
      <c r="AP490" s="23">
        <f t="shared" si="15"/>
        <v>501.59999999999997</v>
      </c>
    </row>
    <row r="491" spans="1:42" ht="15" customHeight="1" x14ac:dyDescent="0.3">
      <c r="A491" t="s">
        <v>1975</v>
      </c>
      <c r="B491" t="s">
        <v>2890</v>
      </c>
      <c r="C491" t="s">
        <v>1977</v>
      </c>
      <c r="D491" s="22" t="s">
        <v>2891</v>
      </c>
      <c r="E491" t="s">
        <v>1979</v>
      </c>
      <c r="F491" t="s">
        <v>1980</v>
      </c>
      <c r="P491" t="s">
        <v>1830</v>
      </c>
      <c r="Q491" t="s">
        <v>1981</v>
      </c>
      <c r="R491" t="s">
        <v>2072</v>
      </c>
      <c r="S491" t="s">
        <v>1894</v>
      </c>
      <c r="T491" s="22" t="s">
        <v>1883</v>
      </c>
      <c r="V491">
        <v>1</v>
      </c>
      <c r="AE491" t="s">
        <v>56</v>
      </c>
      <c r="AF491" t="s">
        <v>57</v>
      </c>
      <c r="AH491">
        <v>58</v>
      </c>
      <c r="AI491">
        <v>58</v>
      </c>
      <c r="AM491" s="23">
        <f t="shared" si="14"/>
        <v>166.5</v>
      </c>
      <c r="AN491" s="23">
        <v>444</v>
      </c>
      <c r="AO491" s="24">
        <v>0.2</v>
      </c>
      <c r="AP491" s="23">
        <f t="shared" si="15"/>
        <v>532.79999999999995</v>
      </c>
    </row>
    <row r="492" spans="1:42" ht="15" customHeight="1" x14ac:dyDescent="0.3">
      <c r="A492" t="s">
        <v>1975</v>
      </c>
      <c r="B492" t="s">
        <v>2892</v>
      </c>
      <c r="C492" t="s">
        <v>1977</v>
      </c>
      <c r="D492" s="22" t="s">
        <v>2893</v>
      </c>
      <c r="E492" t="s">
        <v>1979</v>
      </c>
      <c r="F492" t="s">
        <v>1980</v>
      </c>
      <c r="P492" t="s">
        <v>1830</v>
      </c>
      <c r="Q492" t="s">
        <v>1981</v>
      </c>
      <c r="R492" t="s">
        <v>2075</v>
      </c>
      <c r="S492" t="s">
        <v>1894</v>
      </c>
      <c r="T492" s="22" t="s">
        <v>1883</v>
      </c>
      <c r="V492">
        <v>1</v>
      </c>
      <c r="AE492" t="s">
        <v>56</v>
      </c>
      <c r="AF492" t="s">
        <v>57</v>
      </c>
      <c r="AH492">
        <v>62</v>
      </c>
      <c r="AI492">
        <v>62</v>
      </c>
      <c r="AM492" s="23">
        <f t="shared" si="14"/>
        <v>175.875</v>
      </c>
      <c r="AN492" s="23">
        <v>469</v>
      </c>
      <c r="AO492" s="24">
        <v>0.2</v>
      </c>
      <c r="AP492" s="23">
        <f t="shared" si="15"/>
        <v>562.79999999999995</v>
      </c>
    </row>
    <row r="493" spans="1:42" ht="15" customHeight="1" x14ac:dyDescent="0.3">
      <c r="A493" t="s">
        <v>1975</v>
      </c>
      <c r="B493" t="s">
        <v>2894</v>
      </c>
      <c r="C493" t="s">
        <v>1977</v>
      </c>
      <c r="D493" s="22" t="s">
        <v>2895</v>
      </c>
      <c r="E493" t="s">
        <v>1979</v>
      </c>
      <c r="F493" t="s">
        <v>1980</v>
      </c>
      <c r="P493" t="s">
        <v>1830</v>
      </c>
      <c r="Q493" t="s">
        <v>1981</v>
      </c>
      <c r="R493" t="s">
        <v>2078</v>
      </c>
      <c r="S493" t="s">
        <v>1894</v>
      </c>
      <c r="T493" s="22" t="s">
        <v>1883</v>
      </c>
      <c r="V493">
        <v>1</v>
      </c>
      <c r="AE493" t="s">
        <v>56</v>
      </c>
      <c r="AF493" t="s">
        <v>57</v>
      </c>
      <c r="AH493">
        <v>66</v>
      </c>
      <c r="AI493">
        <v>66</v>
      </c>
      <c r="AM493" s="23">
        <f t="shared" si="14"/>
        <v>185.625</v>
      </c>
      <c r="AN493" s="23">
        <v>495</v>
      </c>
      <c r="AO493" s="24">
        <v>0.2</v>
      </c>
      <c r="AP493" s="23">
        <f t="shared" si="15"/>
        <v>594</v>
      </c>
    </row>
    <row r="494" spans="1:42" ht="15" customHeight="1" x14ac:dyDescent="0.3">
      <c r="A494" t="s">
        <v>1975</v>
      </c>
      <c r="B494" t="s">
        <v>2896</v>
      </c>
      <c r="C494" t="s">
        <v>1977</v>
      </c>
      <c r="D494" s="22" t="s">
        <v>2897</v>
      </c>
      <c r="E494" t="s">
        <v>1979</v>
      </c>
      <c r="F494" t="s">
        <v>1980</v>
      </c>
      <c r="P494" t="s">
        <v>1830</v>
      </c>
      <c r="Q494" t="s">
        <v>1981</v>
      </c>
      <c r="R494" t="s">
        <v>2081</v>
      </c>
      <c r="S494" t="s">
        <v>1894</v>
      </c>
      <c r="T494" s="22" t="s">
        <v>1883</v>
      </c>
      <c r="V494">
        <v>1</v>
      </c>
      <c r="AE494" t="s">
        <v>56</v>
      </c>
      <c r="AF494" t="s">
        <v>57</v>
      </c>
      <c r="AH494">
        <v>70</v>
      </c>
      <c r="AI494">
        <v>70</v>
      </c>
      <c r="AM494" s="23">
        <f t="shared" si="14"/>
        <v>198</v>
      </c>
      <c r="AN494" s="23">
        <v>528</v>
      </c>
      <c r="AO494" s="24">
        <v>0.2</v>
      </c>
      <c r="AP494" s="23">
        <f t="shared" si="15"/>
        <v>633.6</v>
      </c>
    </row>
    <row r="495" spans="1:42" ht="15" customHeight="1" x14ac:dyDescent="0.3">
      <c r="A495" t="s">
        <v>1975</v>
      </c>
      <c r="B495" t="s">
        <v>2898</v>
      </c>
      <c r="C495" t="s">
        <v>1977</v>
      </c>
      <c r="D495" s="22" t="s">
        <v>2899</v>
      </c>
      <c r="E495" t="s">
        <v>1979</v>
      </c>
      <c r="F495" t="s">
        <v>1980</v>
      </c>
      <c r="P495" t="s">
        <v>1830</v>
      </c>
      <c r="Q495" t="s">
        <v>1981</v>
      </c>
      <c r="R495" t="s">
        <v>2084</v>
      </c>
      <c r="S495" t="s">
        <v>1894</v>
      </c>
      <c r="T495" s="22" t="s">
        <v>1883</v>
      </c>
      <c r="V495">
        <v>1</v>
      </c>
      <c r="AE495" t="s">
        <v>56</v>
      </c>
      <c r="AF495" t="s">
        <v>57</v>
      </c>
      <c r="AH495">
        <v>73</v>
      </c>
      <c r="AI495">
        <v>73</v>
      </c>
      <c r="AM495" s="23">
        <f t="shared" si="14"/>
        <v>219.375</v>
      </c>
      <c r="AN495" s="23">
        <v>585</v>
      </c>
      <c r="AO495" s="24">
        <v>0.2</v>
      </c>
      <c r="AP495" s="23">
        <f t="shared" si="15"/>
        <v>702</v>
      </c>
    </row>
    <row r="496" spans="1:42" ht="15" customHeight="1" x14ac:dyDescent="0.3">
      <c r="A496" t="s">
        <v>1975</v>
      </c>
      <c r="B496" t="s">
        <v>2900</v>
      </c>
      <c r="C496" t="s">
        <v>1977</v>
      </c>
      <c r="D496" s="22" t="s">
        <v>2901</v>
      </c>
      <c r="E496" t="s">
        <v>1979</v>
      </c>
      <c r="F496" t="s">
        <v>1980</v>
      </c>
      <c r="P496" t="s">
        <v>1830</v>
      </c>
      <c r="Q496" t="s">
        <v>1981</v>
      </c>
      <c r="R496" t="s">
        <v>2087</v>
      </c>
      <c r="S496" t="s">
        <v>1894</v>
      </c>
      <c r="T496" s="22" t="s">
        <v>1883</v>
      </c>
      <c r="V496">
        <v>1</v>
      </c>
      <c r="AE496" t="s">
        <v>56</v>
      </c>
      <c r="AF496" t="s">
        <v>57</v>
      </c>
      <c r="AH496">
        <v>77</v>
      </c>
      <c r="AI496">
        <v>77</v>
      </c>
      <c r="AM496" s="23">
        <f t="shared" si="14"/>
        <v>223.125</v>
      </c>
      <c r="AN496" s="23">
        <v>595</v>
      </c>
      <c r="AO496" s="24">
        <v>0.2</v>
      </c>
      <c r="AP496" s="23">
        <f t="shared" si="15"/>
        <v>714</v>
      </c>
    </row>
    <row r="497" spans="1:42" ht="15" customHeight="1" x14ac:dyDescent="0.3">
      <c r="A497" t="s">
        <v>1975</v>
      </c>
      <c r="B497" t="s">
        <v>2902</v>
      </c>
      <c r="C497" t="s">
        <v>1977</v>
      </c>
      <c r="D497" s="22" t="s">
        <v>2903</v>
      </c>
      <c r="E497" t="s">
        <v>1979</v>
      </c>
      <c r="F497" t="s">
        <v>1980</v>
      </c>
      <c r="P497" t="s">
        <v>1830</v>
      </c>
      <c r="Q497" t="s">
        <v>1981</v>
      </c>
      <c r="R497" t="s">
        <v>242</v>
      </c>
      <c r="S497" t="s">
        <v>1894</v>
      </c>
      <c r="T497" s="22" t="s">
        <v>1883</v>
      </c>
      <c r="V497">
        <v>1</v>
      </c>
      <c r="AE497" t="s">
        <v>56</v>
      </c>
      <c r="AF497" t="s">
        <v>57</v>
      </c>
      <c r="AH497">
        <v>31</v>
      </c>
      <c r="AI497">
        <v>31</v>
      </c>
      <c r="AM497" s="23">
        <f t="shared" si="14"/>
        <v>103.125</v>
      </c>
      <c r="AN497" s="23">
        <v>275</v>
      </c>
      <c r="AO497" s="24">
        <v>0.2</v>
      </c>
      <c r="AP497" s="23">
        <f t="shared" si="15"/>
        <v>330</v>
      </c>
    </row>
    <row r="498" spans="1:42" ht="15" customHeight="1" x14ac:dyDescent="0.3">
      <c r="A498" t="s">
        <v>1975</v>
      </c>
      <c r="B498" t="s">
        <v>2904</v>
      </c>
      <c r="C498" t="s">
        <v>1977</v>
      </c>
      <c r="D498" s="22" t="s">
        <v>2905</v>
      </c>
      <c r="E498" t="s">
        <v>1979</v>
      </c>
      <c r="F498" t="s">
        <v>1980</v>
      </c>
      <c r="P498" t="s">
        <v>1830</v>
      </c>
      <c r="Q498" t="s">
        <v>1981</v>
      </c>
      <c r="R498" t="s">
        <v>2092</v>
      </c>
      <c r="S498" t="s">
        <v>1894</v>
      </c>
      <c r="T498" s="22" t="s">
        <v>1883</v>
      </c>
      <c r="V498">
        <v>1</v>
      </c>
      <c r="AE498" t="s">
        <v>56</v>
      </c>
      <c r="AF498" t="s">
        <v>57</v>
      </c>
      <c r="AH498">
        <v>35</v>
      </c>
      <c r="AI498">
        <v>35</v>
      </c>
      <c r="AM498" s="23">
        <f t="shared" si="14"/>
        <v>110.625</v>
      </c>
      <c r="AN498" s="23">
        <v>295</v>
      </c>
      <c r="AO498" s="24">
        <v>0.2</v>
      </c>
      <c r="AP498" s="23">
        <f t="shared" si="15"/>
        <v>354</v>
      </c>
    </row>
    <row r="499" spans="1:42" ht="15" customHeight="1" x14ac:dyDescent="0.3">
      <c r="A499" t="s">
        <v>1975</v>
      </c>
      <c r="B499" t="s">
        <v>2906</v>
      </c>
      <c r="C499" t="s">
        <v>1977</v>
      </c>
      <c r="D499" s="22" t="s">
        <v>2907</v>
      </c>
      <c r="E499" t="s">
        <v>1979</v>
      </c>
      <c r="F499" t="s">
        <v>1980</v>
      </c>
      <c r="P499" t="s">
        <v>1830</v>
      </c>
      <c r="Q499" t="s">
        <v>1981</v>
      </c>
      <c r="R499" t="s">
        <v>2095</v>
      </c>
      <c r="S499" t="s">
        <v>1894</v>
      </c>
      <c r="T499" s="22" t="s">
        <v>1883</v>
      </c>
      <c r="V499">
        <v>1</v>
      </c>
      <c r="AE499" t="s">
        <v>56</v>
      </c>
      <c r="AF499" t="s">
        <v>57</v>
      </c>
      <c r="AH499">
        <v>44</v>
      </c>
      <c r="AI499">
        <v>44</v>
      </c>
      <c r="AM499" s="23">
        <f t="shared" si="14"/>
        <v>126.75</v>
      </c>
      <c r="AN499" s="23">
        <v>338</v>
      </c>
      <c r="AO499" s="24">
        <v>0.2</v>
      </c>
      <c r="AP499" s="23">
        <f t="shared" si="15"/>
        <v>405.59999999999997</v>
      </c>
    </row>
    <row r="500" spans="1:42" ht="15" customHeight="1" x14ac:dyDescent="0.3">
      <c r="A500" t="s">
        <v>1975</v>
      </c>
      <c r="B500" t="s">
        <v>2908</v>
      </c>
      <c r="C500" t="s">
        <v>1977</v>
      </c>
      <c r="D500" s="22" t="s">
        <v>2909</v>
      </c>
      <c r="E500" t="s">
        <v>1979</v>
      </c>
      <c r="F500" t="s">
        <v>1980</v>
      </c>
      <c r="P500" t="s">
        <v>1830</v>
      </c>
      <c r="Q500" t="s">
        <v>1981</v>
      </c>
      <c r="R500" t="s">
        <v>2098</v>
      </c>
      <c r="S500" t="s">
        <v>1894</v>
      </c>
      <c r="T500" s="22" t="s">
        <v>1883</v>
      </c>
      <c r="V500">
        <v>1</v>
      </c>
      <c r="AE500" t="s">
        <v>56</v>
      </c>
      <c r="AF500" t="s">
        <v>57</v>
      </c>
      <c r="AH500">
        <v>48</v>
      </c>
      <c r="AI500">
        <v>48</v>
      </c>
      <c r="AM500" s="23">
        <f t="shared" si="14"/>
        <v>148.125</v>
      </c>
      <c r="AN500" s="23">
        <v>395</v>
      </c>
      <c r="AO500" s="24">
        <v>0.2</v>
      </c>
      <c r="AP500" s="23">
        <f t="shared" si="15"/>
        <v>474</v>
      </c>
    </row>
    <row r="501" spans="1:42" ht="15" customHeight="1" x14ac:dyDescent="0.3">
      <c r="A501" t="s">
        <v>1975</v>
      </c>
      <c r="B501" t="s">
        <v>2910</v>
      </c>
      <c r="C501" t="s">
        <v>1977</v>
      </c>
      <c r="D501" s="22" t="s">
        <v>2911</v>
      </c>
      <c r="E501" t="s">
        <v>1979</v>
      </c>
      <c r="F501" t="s">
        <v>1980</v>
      </c>
      <c r="P501" t="s">
        <v>1830</v>
      </c>
      <c r="Q501" t="s">
        <v>1981</v>
      </c>
      <c r="R501" t="s">
        <v>2101</v>
      </c>
      <c r="S501" t="s">
        <v>1894</v>
      </c>
      <c r="T501" s="22" t="s">
        <v>1883</v>
      </c>
      <c r="V501">
        <v>1</v>
      </c>
      <c r="AE501" t="s">
        <v>56</v>
      </c>
      <c r="AF501" t="s">
        <v>57</v>
      </c>
      <c r="AH501">
        <v>52</v>
      </c>
      <c r="AI501">
        <v>52</v>
      </c>
      <c r="AM501" s="23">
        <f t="shared" si="14"/>
        <v>153</v>
      </c>
      <c r="AN501" s="23">
        <v>408</v>
      </c>
      <c r="AO501" s="24">
        <v>0.2</v>
      </c>
      <c r="AP501" s="23">
        <f t="shared" si="15"/>
        <v>489.59999999999997</v>
      </c>
    </row>
    <row r="502" spans="1:42" ht="15" customHeight="1" x14ac:dyDescent="0.3">
      <c r="A502" t="s">
        <v>1975</v>
      </c>
      <c r="B502" t="s">
        <v>2912</v>
      </c>
      <c r="C502" t="s">
        <v>1977</v>
      </c>
      <c r="D502" s="22" t="s">
        <v>2913</v>
      </c>
      <c r="E502" t="s">
        <v>1979</v>
      </c>
      <c r="F502" t="s">
        <v>1980</v>
      </c>
      <c r="P502" t="s">
        <v>1830</v>
      </c>
      <c r="Q502" t="s">
        <v>1981</v>
      </c>
      <c r="R502" t="s">
        <v>2104</v>
      </c>
      <c r="S502" t="s">
        <v>1894</v>
      </c>
      <c r="T502" s="22" t="s">
        <v>1883</v>
      </c>
      <c r="V502">
        <v>1</v>
      </c>
      <c r="AE502" t="s">
        <v>56</v>
      </c>
      <c r="AF502" t="s">
        <v>57</v>
      </c>
      <c r="AH502">
        <v>57</v>
      </c>
      <c r="AI502">
        <v>57</v>
      </c>
      <c r="AM502" s="23">
        <f t="shared" si="14"/>
        <v>168</v>
      </c>
      <c r="AN502" s="23">
        <v>448</v>
      </c>
      <c r="AO502" s="24">
        <v>0.2</v>
      </c>
      <c r="AP502" s="23">
        <f t="shared" si="15"/>
        <v>537.6</v>
      </c>
    </row>
    <row r="503" spans="1:42" ht="15" customHeight="1" x14ac:dyDescent="0.3">
      <c r="A503" t="s">
        <v>1975</v>
      </c>
      <c r="B503" t="s">
        <v>2914</v>
      </c>
      <c r="C503" t="s">
        <v>1977</v>
      </c>
      <c r="D503" s="22" t="s">
        <v>2915</v>
      </c>
      <c r="E503" t="s">
        <v>1979</v>
      </c>
      <c r="F503" t="s">
        <v>1980</v>
      </c>
      <c r="P503" t="s">
        <v>1830</v>
      </c>
      <c r="Q503" t="s">
        <v>1981</v>
      </c>
      <c r="R503" t="s">
        <v>2107</v>
      </c>
      <c r="S503" t="s">
        <v>1894</v>
      </c>
      <c r="T503" s="22" t="s">
        <v>1883</v>
      </c>
      <c r="V503">
        <v>1</v>
      </c>
      <c r="AE503" t="s">
        <v>56</v>
      </c>
      <c r="AF503" t="s">
        <v>57</v>
      </c>
      <c r="AH503">
        <v>61</v>
      </c>
      <c r="AI503">
        <v>61</v>
      </c>
      <c r="AM503" s="23">
        <f t="shared" si="14"/>
        <v>173.625</v>
      </c>
      <c r="AN503" s="23">
        <v>463</v>
      </c>
      <c r="AO503" s="24">
        <v>0.2</v>
      </c>
      <c r="AP503" s="23">
        <f t="shared" si="15"/>
        <v>555.6</v>
      </c>
    </row>
    <row r="504" spans="1:42" ht="15" customHeight="1" x14ac:dyDescent="0.3">
      <c r="A504" t="s">
        <v>1975</v>
      </c>
      <c r="B504" t="s">
        <v>2916</v>
      </c>
      <c r="C504" t="s">
        <v>1977</v>
      </c>
      <c r="D504" s="22" t="s">
        <v>2917</v>
      </c>
      <c r="E504" t="s">
        <v>1979</v>
      </c>
      <c r="F504" t="s">
        <v>1980</v>
      </c>
      <c r="P504" t="s">
        <v>1830</v>
      </c>
      <c r="Q504" t="s">
        <v>1981</v>
      </c>
      <c r="R504" t="s">
        <v>2110</v>
      </c>
      <c r="S504" t="s">
        <v>1894</v>
      </c>
      <c r="T504" s="22" t="s">
        <v>1883</v>
      </c>
      <c r="V504">
        <v>1</v>
      </c>
      <c r="AE504" t="s">
        <v>56</v>
      </c>
      <c r="AF504" t="s">
        <v>57</v>
      </c>
      <c r="AH504">
        <v>65</v>
      </c>
      <c r="AI504">
        <v>65</v>
      </c>
      <c r="AM504" s="23">
        <f t="shared" si="14"/>
        <v>184.125</v>
      </c>
      <c r="AN504" s="23">
        <v>491</v>
      </c>
      <c r="AO504" s="24">
        <v>0.2</v>
      </c>
      <c r="AP504" s="23">
        <f t="shared" si="15"/>
        <v>589.19999999999993</v>
      </c>
    </row>
    <row r="505" spans="1:42" ht="15" customHeight="1" x14ac:dyDescent="0.3">
      <c r="A505" t="s">
        <v>1975</v>
      </c>
      <c r="B505" t="s">
        <v>2918</v>
      </c>
      <c r="C505" t="s">
        <v>1977</v>
      </c>
      <c r="D505" s="22" t="s">
        <v>2919</v>
      </c>
      <c r="E505" t="s">
        <v>1979</v>
      </c>
      <c r="F505" t="s">
        <v>1980</v>
      </c>
      <c r="P505" t="s">
        <v>1830</v>
      </c>
      <c r="Q505" t="s">
        <v>1981</v>
      </c>
      <c r="R505" t="s">
        <v>2113</v>
      </c>
      <c r="S505" t="s">
        <v>1894</v>
      </c>
      <c r="T505" s="22" t="s">
        <v>1883</v>
      </c>
      <c r="V505">
        <v>1</v>
      </c>
      <c r="AE505" t="s">
        <v>56</v>
      </c>
      <c r="AF505" t="s">
        <v>57</v>
      </c>
      <c r="AH505">
        <v>70</v>
      </c>
      <c r="AI505">
        <v>70</v>
      </c>
      <c r="AM505" s="23">
        <f t="shared" si="14"/>
        <v>194.625</v>
      </c>
      <c r="AN505" s="23">
        <v>519</v>
      </c>
      <c r="AO505" s="24">
        <v>0.2</v>
      </c>
      <c r="AP505" s="23">
        <f t="shared" si="15"/>
        <v>622.79999999999995</v>
      </c>
    </row>
    <row r="506" spans="1:42" ht="15" customHeight="1" x14ac:dyDescent="0.3">
      <c r="A506" t="s">
        <v>1975</v>
      </c>
      <c r="B506" t="s">
        <v>2920</v>
      </c>
      <c r="C506" t="s">
        <v>1977</v>
      </c>
      <c r="D506" s="22" t="s">
        <v>2921</v>
      </c>
      <c r="E506" t="s">
        <v>1979</v>
      </c>
      <c r="F506" t="s">
        <v>1980</v>
      </c>
      <c r="P506" t="s">
        <v>1830</v>
      </c>
      <c r="Q506" t="s">
        <v>1981</v>
      </c>
      <c r="R506" t="s">
        <v>2116</v>
      </c>
      <c r="S506" t="s">
        <v>1894</v>
      </c>
      <c r="T506" s="22" t="s">
        <v>1883</v>
      </c>
      <c r="V506">
        <v>1</v>
      </c>
      <c r="AE506" t="s">
        <v>56</v>
      </c>
      <c r="AF506" t="s">
        <v>57</v>
      </c>
      <c r="AH506">
        <v>74</v>
      </c>
      <c r="AI506">
        <v>74</v>
      </c>
      <c r="AM506" s="23">
        <f t="shared" si="14"/>
        <v>205.5</v>
      </c>
      <c r="AN506" s="23">
        <v>548</v>
      </c>
      <c r="AO506" s="24">
        <v>0.2</v>
      </c>
      <c r="AP506" s="23">
        <f t="shared" si="15"/>
        <v>657.6</v>
      </c>
    </row>
    <row r="507" spans="1:42" ht="15" customHeight="1" x14ac:dyDescent="0.3">
      <c r="A507" t="s">
        <v>1975</v>
      </c>
      <c r="B507" t="s">
        <v>2922</v>
      </c>
      <c r="C507" t="s">
        <v>1977</v>
      </c>
      <c r="D507" s="22" t="s">
        <v>2923</v>
      </c>
      <c r="E507" t="s">
        <v>1979</v>
      </c>
      <c r="F507" t="s">
        <v>1980</v>
      </c>
      <c r="P507" t="s">
        <v>1830</v>
      </c>
      <c r="Q507" t="s">
        <v>1981</v>
      </c>
      <c r="R507" t="s">
        <v>2119</v>
      </c>
      <c r="S507" t="s">
        <v>1894</v>
      </c>
      <c r="T507" s="22" t="s">
        <v>1883</v>
      </c>
      <c r="V507">
        <v>1</v>
      </c>
      <c r="AE507" t="s">
        <v>56</v>
      </c>
      <c r="AF507" t="s">
        <v>57</v>
      </c>
      <c r="AH507">
        <v>78</v>
      </c>
      <c r="AI507">
        <v>78</v>
      </c>
      <c r="AM507" s="23">
        <f t="shared" si="14"/>
        <v>219.375</v>
      </c>
      <c r="AN507" s="23">
        <v>585</v>
      </c>
      <c r="AO507" s="24">
        <v>0.2</v>
      </c>
      <c r="AP507" s="23">
        <f t="shared" si="15"/>
        <v>702</v>
      </c>
    </row>
    <row r="508" spans="1:42" ht="15" customHeight="1" x14ac:dyDescent="0.3">
      <c r="A508" t="s">
        <v>1975</v>
      </c>
      <c r="B508" t="s">
        <v>2924</v>
      </c>
      <c r="C508" t="s">
        <v>1977</v>
      </c>
      <c r="D508" s="22" t="s">
        <v>2925</v>
      </c>
      <c r="E508" t="s">
        <v>1979</v>
      </c>
      <c r="F508" t="s">
        <v>1980</v>
      </c>
      <c r="P508" t="s">
        <v>1830</v>
      </c>
      <c r="Q508" t="s">
        <v>1981</v>
      </c>
      <c r="R508" t="s">
        <v>2122</v>
      </c>
      <c r="S508" t="s">
        <v>1894</v>
      </c>
      <c r="T508" s="22" t="s">
        <v>1883</v>
      </c>
      <c r="V508">
        <v>1</v>
      </c>
      <c r="AE508" t="s">
        <v>56</v>
      </c>
      <c r="AF508" t="s">
        <v>57</v>
      </c>
      <c r="AH508">
        <v>83</v>
      </c>
      <c r="AI508">
        <v>83</v>
      </c>
      <c r="AM508" s="23">
        <f t="shared" si="14"/>
        <v>236.25</v>
      </c>
      <c r="AN508" s="23">
        <v>630</v>
      </c>
      <c r="AO508" s="24">
        <v>0.2</v>
      </c>
      <c r="AP508" s="23">
        <f t="shared" si="15"/>
        <v>756</v>
      </c>
    </row>
    <row r="509" spans="1:42" ht="15" customHeight="1" x14ac:dyDescent="0.3">
      <c r="A509" t="s">
        <v>1975</v>
      </c>
      <c r="B509" t="s">
        <v>2926</v>
      </c>
      <c r="C509" t="s">
        <v>1977</v>
      </c>
      <c r="D509" s="22" t="s">
        <v>2927</v>
      </c>
      <c r="E509" t="s">
        <v>1979</v>
      </c>
      <c r="F509" t="s">
        <v>1980</v>
      </c>
      <c r="P509" t="s">
        <v>1830</v>
      </c>
      <c r="Q509" t="s">
        <v>1981</v>
      </c>
      <c r="R509" t="s">
        <v>2125</v>
      </c>
      <c r="S509" t="s">
        <v>1894</v>
      </c>
      <c r="T509" s="22" t="s">
        <v>1883</v>
      </c>
      <c r="V509">
        <v>1</v>
      </c>
      <c r="AE509" t="s">
        <v>56</v>
      </c>
      <c r="AF509" t="s">
        <v>57</v>
      </c>
      <c r="AH509">
        <v>87</v>
      </c>
      <c r="AI509">
        <v>87</v>
      </c>
      <c r="AM509" s="23">
        <f t="shared" si="14"/>
        <v>241.125</v>
      </c>
      <c r="AN509" s="23">
        <v>643</v>
      </c>
      <c r="AO509" s="24">
        <v>0.2</v>
      </c>
      <c r="AP509" s="23">
        <f t="shared" si="15"/>
        <v>771.6</v>
      </c>
    </row>
    <row r="510" spans="1:42" ht="15" customHeight="1" x14ac:dyDescent="0.3">
      <c r="A510" t="s">
        <v>1975</v>
      </c>
      <c r="B510" t="s">
        <v>2928</v>
      </c>
      <c r="C510" t="s">
        <v>1977</v>
      </c>
      <c r="D510" s="22" t="s">
        <v>2929</v>
      </c>
      <c r="E510" t="s">
        <v>1979</v>
      </c>
      <c r="F510" t="s">
        <v>1980</v>
      </c>
      <c r="P510" t="s">
        <v>1830</v>
      </c>
      <c r="Q510" t="s">
        <v>1981</v>
      </c>
      <c r="R510" t="s">
        <v>2128</v>
      </c>
      <c r="S510" t="s">
        <v>1894</v>
      </c>
      <c r="T510" s="22" t="s">
        <v>1883</v>
      </c>
      <c r="V510">
        <v>1</v>
      </c>
      <c r="AE510" t="s">
        <v>56</v>
      </c>
      <c r="AF510" t="s">
        <v>57</v>
      </c>
      <c r="AH510">
        <v>39</v>
      </c>
      <c r="AI510">
        <v>39</v>
      </c>
      <c r="AM510" s="23">
        <f t="shared" si="14"/>
        <v>114.375</v>
      </c>
      <c r="AN510" s="23">
        <v>305</v>
      </c>
      <c r="AO510" s="24">
        <v>0.2</v>
      </c>
      <c r="AP510" s="23">
        <f t="shared" si="15"/>
        <v>366</v>
      </c>
    </row>
    <row r="511" spans="1:42" ht="15" customHeight="1" x14ac:dyDescent="0.3">
      <c r="A511" t="s">
        <v>1975</v>
      </c>
      <c r="B511" t="s">
        <v>2930</v>
      </c>
      <c r="C511" t="s">
        <v>1977</v>
      </c>
      <c r="D511" s="22" t="s">
        <v>2931</v>
      </c>
      <c r="E511" t="s">
        <v>1979</v>
      </c>
      <c r="F511" t="s">
        <v>1980</v>
      </c>
      <c r="P511" t="s">
        <v>1830</v>
      </c>
      <c r="Q511" t="s">
        <v>1981</v>
      </c>
      <c r="R511" t="s">
        <v>1982</v>
      </c>
      <c r="S511" t="s">
        <v>1894</v>
      </c>
      <c r="T511" s="22" t="s">
        <v>1880</v>
      </c>
      <c r="V511">
        <v>1</v>
      </c>
      <c r="AE511" t="s">
        <v>56</v>
      </c>
      <c r="AF511" t="s">
        <v>57</v>
      </c>
      <c r="AH511">
        <v>48</v>
      </c>
      <c r="AI511">
        <v>48</v>
      </c>
      <c r="AM511" s="23">
        <f t="shared" si="14"/>
        <v>137.625</v>
      </c>
      <c r="AN511" s="23">
        <v>367</v>
      </c>
      <c r="AO511" s="24">
        <v>0.2</v>
      </c>
      <c r="AP511" s="23">
        <f t="shared" si="15"/>
        <v>440.4</v>
      </c>
    </row>
    <row r="512" spans="1:42" ht="15" customHeight="1" x14ac:dyDescent="0.3">
      <c r="A512" t="s">
        <v>1975</v>
      </c>
      <c r="B512" t="s">
        <v>2932</v>
      </c>
      <c r="C512" t="s">
        <v>1977</v>
      </c>
      <c r="D512" s="22" t="s">
        <v>2933</v>
      </c>
      <c r="E512" t="s">
        <v>1979</v>
      </c>
      <c r="F512" t="s">
        <v>1980</v>
      </c>
      <c r="P512" t="s">
        <v>1830</v>
      </c>
      <c r="Q512" t="s">
        <v>1981</v>
      </c>
      <c r="R512" t="s">
        <v>1985</v>
      </c>
      <c r="S512" t="s">
        <v>1894</v>
      </c>
      <c r="T512" s="22" t="s">
        <v>1880</v>
      </c>
      <c r="V512">
        <v>1</v>
      </c>
      <c r="AE512" t="s">
        <v>56</v>
      </c>
      <c r="AF512" t="s">
        <v>57</v>
      </c>
      <c r="AH512">
        <v>53</v>
      </c>
      <c r="AI512">
        <v>53</v>
      </c>
      <c r="AM512" s="23">
        <f t="shared" si="14"/>
        <v>149.25</v>
      </c>
      <c r="AN512" s="23">
        <v>398</v>
      </c>
      <c r="AO512" s="24">
        <v>0.2</v>
      </c>
      <c r="AP512" s="23">
        <f t="shared" si="15"/>
        <v>477.59999999999997</v>
      </c>
    </row>
    <row r="513" spans="1:42" ht="15" customHeight="1" x14ac:dyDescent="0.3">
      <c r="A513" t="s">
        <v>1975</v>
      </c>
      <c r="B513" t="s">
        <v>2934</v>
      </c>
      <c r="C513" t="s">
        <v>1977</v>
      </c>
      <c r="D513" s="22" t="s">
        <v>2935</v>
      </c>
      <c r="E513" t="s">
        <v>1979</v>
      </c>
      <c r="F513" t="s">
        <v>1980</v>
      </c>
      <c r="P513" t="s">
        <v>1830</v>
      </c>
      <c r="Q513" t="s">
        <v>1981</v>
      </c>
      <c r="R513" t="s">
        <v>1988</v>
      </c>
      <c r="S513" t="s">
        <v>1894</v>
      </c>
      <c r="T513" s="22" t="s">
        <v>1880</v>
      </c>
      <c r="V513">
        <v>1</v>
      </c>
      <c r="AE513" t="s">
        <v>56</v>
      </c>
      <c r="AF513" t="s">
        <v>57</v>
      </c>
      <c r="AH513">
        <v>58</v>
      </c>
      <c r="AI513">
        <v>58</v>
      </c>
      <c r="AM513" s="23">
        <f t="shared" si="14"/>
        <v>164.25</v>
      </c>
      <c r="AN513" s="23">
        <v>438</v>
      </c>
      <c r="AO513" s="24">
        <v>0.2</v>
      </c>
      <c r="AP513" s="23">
        <f t="shared" si="15"/>
        <v>525.6</v>
      </c>
    </row>
    <row r="514" spans="1:42" ht="15" customHeight="1" x14ac:dyDescent="0.3">
      <c r="A514" t="s">
        <v>1975</v>
      </c>
      <c r="B514" t="s">
        <v>2936</v>
      </c>
      <c r="C514" t="s">
        <v>1977</v>
      </c>
      <c r="D514" s="22" t="s">
        <v>2937</v>
      </c>
      <c r="E514" t="s">
        <v>1979</v>
      </c>
      <c r="F514" t="s">
        <v>1980</v>
      </c>
      <c r="P514" t="s">
        <v>1830</v>
      </c>
      <c r="Q514" t="s">
        <v>1981</v>
      </c>
      <c r="R514" t="s">
        <v>1991</v>
      </c>
      <c r="S514" t="s">
        <v>1894</v>
      </c>
      <c r="T514" s="22" t="s">
        <v>1880</v>
      </c>
      <c r="V514">
        <v>1</v>
      </c>
      <c r="AE514" t="s">
        <v>56</v>
      </c>
      <c r="AF514" t="s">
        <v>57</v>
      </c>
      <c r="AH514">
        <v>63</v>
      </c>
      <c r="AI514">
        <v>63</v>
      </c>
      <c r="AM514" s="23">
        <f t="shared" ref="AM514:AM577" si="16">AN514*0.5*0.75</f>
        <v>175.875</v>
      </c>
      <c r="AN514" s="23">
        <v>469</v>
      </c>
      <c r="AO514" s="24">
        <v>0.2</v>
      </c>
      <c r="AP514" s="23">
        <f t="shared" ref="AP514:AP577" si="17">AN514*1.2</f>
        <v>562.79999999999995</v>
      </c>
    </row>
    <row r="515" spans="1:42" ht="15" customHeight="1" x14ac:dyDescent="0.3">
      <c r="A515" t="s">
        <v>1975</v>
      </c>
      <c r="B515" t="s">
        <v>2938</v>
      </c>
      <c r="C515" t="s">
        <v>1977</v>
      </c>
      <c r="D515" s="22" t="s">
        <v>2939</v>
      </c>
      <c r="E515" t="s">
        <v>1979</v>
      </c>
      <c r="F515" t="s">
        <v>1980</v>
      </c>
      <c r="P515" t="s">
        <v>1830</v>
      </c>
      <c r="Q515" t="s">
        <v>1981</v>
      </c>
      <c r="R515" t="s">
        <v>1994</v>
      </c>
      <c r="S515" t="s">
        <v>1894</v>
      </c>
      <c r="T515" s="22" t="s">
        <v>1880</v>
      </c>
      <c r="V515">
        <v>1</v>
      </c>
      <c r="AE515" t="s">
        <v>56</v>
      </c>
      <c r="AF515" t="s">
        <v>57</v>
      </c>
      <c r="AH515">
        <v>68</v>
      </c>
      <c r="AI515">
        <v>68</v>
      </c>
      <c r="AM515" s="23">
        <f t="shared" si="16"/>
        <v>190.5</v>
      </c>
      <c r="AN515" s="23">
        <v>508</v>
      </c>
      <c r="AO515" s="24">
        <v>0.2</v>
      </c>
      <c r="AP515" s="23">
        <f t="shared" si="17"/>
        <v>609.6</v>
      </c>
    </row>
    <row r="516" spans="1:42" ht="15" customHeight="1" x14ac:dyDescent="0.3">
      <c r="A516" t="s">
        <v>1975</v>
      </c>
      <c r="B516" t="s">
        <v>2940</v>
      </c>
      <c r="C516" t="s">
        <v>1977</v>
      </c>
      <c r="D516" s="22" t="s">
        <v>2941</v>
      </c>
      <c r="E516" t="s">
        <v>1979</v>
      </c>
      <c r="F516" t="s">
        <v>1980</v>
      </c>
      <c r="P516" t="s">
        <v>1830</v>
      </c>
      <c r="Q516" t="s">
        <v>1981</v>
      </c>
      <c r="R516" t="s">
        <v>1997</v>
      </c>
      <c r="S516" t="s">
        <v>1894</v>
      </c>
      <c r="T516" s="22" t="s">
        <v>1880</v>
      </c>
      <c r="V516">
        <v>1</v>
      </c>
      <c r="AE516" t="s">
        <v>56</v>
      </c>
      <c r="AF516" t="s">
        <v>57</v>
      </c>
      <c r="AH516">
        <v>72</v>
      </c>
      <c r="AI516">
        <v>72</v>
      </c>
      <c r="AM516" s="23">
        <f t="shared" si="16"/>
        <v>202.875</v>
      </c>
      <c r="AN516" s="23">
        <v>541</v>
      </c>
      <c r="AO516" s="24">
        <v>0.2</v>
      </c>
      <c r="AP516" s="23">
        <f t="shared" si="17"/>
        <v>649.19999999999993</v>
      </c>
    </row>
    <row r="517" spans="1:42" ht="15" customHeight="1" x14ac:dyDescent="0.3">
      <c r="A517" t="s">
        <v>1975</v>
      </c>
      <c r="B517" t="s">
        <v>2942</v>
      </c>
      <c r="C517" t="s">
        <v>1977</v>
      </c>
      <c r="D517" s="22" t="s">
        <v>2943</v>
      </c>
      <c r="E517" t="s">
        <v>1979</v>
      </c>
      <c r="F517" t="s">
        <v>1980</v>
      </c>
      <c r="P517" t="s">
        <v>1830</v>
      </c>
      <c r="Q517" t="s">
        <v>1981</v>
      </c>
      <c r="R517" t="s">
        <v>2000</v>
      </c>
      <c r="S517" t="s">
        <v>1894</v>
      </c>
      <c r="T517" s="22" t="s">
        <v>1880</v>
      </c>
      <c r="V517">
        <v>1</v>
      </c>
      <c r="AE517" t="s">
        <v>56</v>
      </c>
      <c r="AF517" t="s">
        <v>57</v>
      </c>
      <c r="AH517">
        <v>77</v>
      </c>
      <c r="AI517">
        <v>77</v>
      </c>
      <c r="AM517" s="23">
        <f t="shared" si="16"/>
        <v>215.25</v>
      </c>
      <c r="AN517" s="23">
        <v>574</v>
      </c>
      <c r="AO517" s="24">
        <v>0.2</v>
      </c>
      <c r="AP517" s="23">
        <f t="shared" si="17"/>
        <v>688.8</v>
      </c>
    </row>
    <row r="518" spans="1:42" ht="15" customHeight="1" x14ac:dyDescent="0.3">
      <c r="A518" t="s">
        <v>1975</v>
      </c>
      <c r="B518" t="s">
        <v>2944</v>
      </c>
      <c r="C518" t="s">
        <v>1977</v>
      </c>
      <c r="D518" s="22" t="s">
        <v>2945</v>
      </c>
      <c r="E518" t="s">
        <v>1979</v>
      </c>
      <c r="F518" t="s">
        <v>1980</v>
      </c>
      <c r="P518" t="s">
        <v>1830</v>
      </c>
      <c r="Q518" t="s">
        <v>1981</v>
      </c>
      <c r="R518" t="s">
        <v>2003</v>
      </c>
      <c r="S518" t="s">
        <v>1894</v>
      </c>
      <c r="T518" s="22" t="s">
        <v>1880</v>
      </c>
      <c r="V518">
        <v>1</v>
      </c>
      <c r="AE518" t="s">
        <v>56</v>
      </c>
      <c r="AF518" t="s">
        <v>57</v>
      </c>
      <c r="AH518">
        <v>82</v>
      </c>
      <c r="AI518">
        <v>82</v>
      </c>
      <c r="AM518" s="23">
        <f t="shared" si="16"/>
        <v>226.5</v>
      </c>
      <c r="AN518" s="23">
        <v>604</v>
      </c>
      <c r="AO518" s="24">
        <v>0.2</v>
      </c>
      <c r="AP518" s="23">
        <f t="shared" si="17"/>
        <v>724.8</v>
      </c>
    </row>
    <row r="519" spans="1:42" ht="15" customHeight="1" x14ac:dyDescent="0.3">
      <c r="A519" t="s">
        <v>1975</v>
      </c>
      <c r="B519" t="s">
        <v>2946</v>
      </c>
      <c r="C519" t="s">
        <v>1977</v>
      </c>
      <c r="D519" s="22" t="s">
        <v>2947</v>
      </c>
      <c r="E519" t="s">
        <v>1979</v>
      </c>
      <c r="F519" t="s">
        <v>1980</v>
      </c>
      <c r="P519" t="s">
        <v>1830</v>
      </c>
      <c r="Q519" t="s">
        <v>1981</v>
      </c>
      <c r="R519" t="s">
        <v>2006</v>
      </c>
      <c r="S519" t="s">
        <v>1894</v>
      </c>
      <c r="T519" s="22" t="s">
        <v>1880</v>
      </c>
      <c r="V519">
        <v>1</v>
      </c>
      <c r="AE519" t="s">
        <v>56</v>
      </c>
      <c r="AF519" t="s">
        <v>57</v>
      </c>
      <c r="AH519">
        <v>87</v>
      </c>
      <c r="AI519">
        <v>87</v>
      </c>
      <c r="AM519" s="23">
        <f t="shared" si="16"/>
        <v>242.25</v>
      </c>
      <c r="AN519" s="23">
        <v>646</v>
      </c>
      <c r="AO519" s="24">
        <v>0.2</v>
      </c>
      <c r="AP519" s="23">
        <f t="shared" si="17"/>
        <v>775.19999999999993</v>
      </c>
    </row>
    <row r="520" spans="1:42" ht="15" customHeight="1" x14ac:dyDescent="0.3">
      <c r="A520" t="s">
        <v>1975</v>
      </c>
      <c r="B520" t="s">
        <v>2948</v>
      </c>
      <c r="C520" t="s">
        <v>1977</v>
      </c>
      <c r="D520" s="22" t="s">
        <v>2949</v>
      </c>
      <c r="E520" t="s">
        <v>1979</v>
      </c>
      <c r="F520" t="s">
        <v>1980</v>
      </c>
      <c r="P520" t="s">
        <v>1830</v>
      </c>
      <c r="Q520" t="s">
        <v>1981</v>
      </c>
      <c r="R520" t="s">
        <v>2009</v>
      </c>
      <c r="S520" t="s">
        <v>1894</v>
      </c>
      <c r="T520" s="22" t="s">
        <v>1880</v>
      </c>
      <c r="V520">
        <v>1</v>
      </c>
      <c r="AE520" t="s">
        <v>56</v>
      </c>
      <c r="AF520" t="s">
        <v>57</v>
      </c>
      <c r="AH520">
        <v>92</v>
      </c>
      <c r="AI520">
        <v>92</v>
      </c>
      <c r="AM520" s="23">
        <f t="shared" si="16"/>
        <v>253.875</v>
      </c>
      <c r="AN520" s="23">
        <v>677</v>
      </c>
      <c r="AO520" s="24">
        <v>0.2</v>
      </c>
      <c r="AP520" s="23">
        <f t="shared" si="17"/>
        <v>812.4</v>
      </c>
    </row>
    <row r="521" spans="1:42" ht="15" customHeight="1" x14ac:dyDescent="0.3">
      <c r="A521" t="s">
        <v>1975</v>
      </c>
      <c r="B521" t="s">
        <v>2950</v>
      </c>
      <c r="C521" t="s">
        <v>1977</v>
      </c>
      <c r="D521" s="22" t="s">
        <v>2951</v>
      </c>
      <c r="E521" t="s">
        <v>1979</v>
      </c>
      <c r="F521" t="s">
        <v>1980</v>
      </c>
      <c r="P521" t="s">
        <v>1830</v>
      </c>
      <c r="Q521" t="s">
        <v>1981</v>
      </c>
      <c r="R521" t="s">
        <v>2012</v>
      </c>
      <c r="S521" t="s">
        <v>1894</v>
      </c>
      <c r="T521" s="22" t="s">
        <v>1880</v>
      </c>
      <c r="V521">
        <v>1</v>
      </c>
      <c r="AE521" t="s">
        <v>56</v>
      </c>
      <c r="AF521" t="s">
        <v>57</v>
      </c>
      <c r="AH521">
        <v>96</v>
      </c>
      <c r="AI521">
        <v>96</v>
      </c>
      <c r="AM521" s="23">
        <f t="shared" si="16"/>
        <v>266.25</v>
      </c>
      <c r="AN521" s="23">
        <v>710</v>
      </c>
      <c r="AO521" s="24">
        <v>0.2</v>
      </c>
      <c r="AP521" s="23">
        <f t="shared" si="17"/>
        <v>852</v>
      </c>
    </row>
    <row r="522" spans="1:42" ht="15" customHeight="1" x14ac:dyDescent="0.3">
      <c r="A522" t="s">
        <v>1975</v>
      </c>
      <c r="B522" t="s">
        <v>2952</v>
      </c>
      <c r="C522" t="s">
        <v>1977</v>
      </c>
      <c r="D522" s="22" t="s">
        <v>2953</v>
      </c>
      <c r="E522" t="s">
        <v>1979</v>
      </c>
      <c r="F522" t="s">
        <v>1980</v>
      </c>
      <c r="P522" t="s">
        <v>1830</v>
      </c>
      <c r="Q522" t="s">
        <v>1981</v>
      </c>
      <c r="R522" t="s">
        <v>2015</v>
      </c>
      <c r="S522" t="s">
        <v>1894</v>
      </c>
      <c r="T522" s="22" t="s">
        <v>1880</v>
      </c>
      <c r="V522">
        <v>1</v>
      </c>
      <c r="AE522" t="s">
        <v>56</v>
      </c>
      <c r="AF522" t="s">
        <v>57</v>
      </c>
      <c r="AH522">
        <v>34</v>
      </c>
      <c r="AI522">
        <v>34</v>
      </c>
      <c r="AM522" s="23">
        <f t="shared" si="16"/>
        <v>108</v>
      </c>
      <c r="AN522" s="23">
        <v>288</v>
      </c>
      <c r="AO522" s="24">
        <v>0.2</v>
      </c>
      <c r="AP522" s="23">
        <f t="shared" si="17"/>
        <v>345.59999999999997</v>
      </c>
    </row>
    <row r="523" spans="1:42" ht="15" customHeight="1" x14ac:dyDescent="0.3">
      <c r="A523" t="s">
        <v>1975</v>
      </c>
      <c r="B523" t="s">
        <v>2954</v>
      </c>
      <c r="C523" t="s">
        <v>1977</v>
      </c>
      <c r="D523" s="22" t="s">
        <v>2955</v>
      </c>
      <c r="E523" t="s">
        <v>1979</v>
      </c>
      <c r="F523" t="s">
        <v>1980</v>
      </c>
      <c r="P523" t="s">
        <v>1830</v>
      </c>
      <c r="Q523" t="s">
        <v>1981</v>
      </c>
      <c r="R523" t="s">
        <v>2018</v>
      </c>
      <c r="S523" t="s">
        <v>1894</v>
      </c>
      <c r="T523" s="22" t="s">
        <v>1880</v>
      </c>
      <c r="V523">
        <v>1</v>
      </c>
      <c r="AE523" t="s">
        <v>56</v>
      </c>
      <c r="AF523" t="s">
        <v>57</v>
      </c>
      <c r="AH523">
        <v>37</v>
      </c>
      <c r="AI523">
        <v>37</v>
      </c>
      <c r="AM523" s="23">
        <f t="shared" si="16"/>
        <v>126.75</v>
      </c>
      <c r="AN523" s="23">
        <v>338</v>
      </c>
      <c r="AO523" s="24">
        <v>0.2</v>
      </c>
      <c r="AP523" s="23">
        <f t="shared" si="17"/>
        <v>405.59999999999997</v>
      </c>
    </row>
    <row r="524" spans="1:42" ht="15" customHeight="1" x14ac:dyDescent="0.3">
      <c r="A524" t="s">
        <v>1975</v>
      </c>
      <c r="B524" t="s">
        <v>2956</v>
      </c>
      <c r="C524" t="s">
        <v>1977</v>
      </c>
      <c r="D524" s="22" t="s">
        <v>2957</v>
      </c>
      <c r="E524" t="s">
        <v>1979</v>
      </c>
      <c r="F524" t="s">
        <v>1980</v>
      </c>
      <c r="P524" t="s">
        <v>1830</v>
      </c>
      <c r="Q524" t="s">
        <v>1981</v>
      </c>
      <c r="R524" t="s">
        <v>2021</v>
      </c>
      <c r="S524" t="s">
        <v>1894</v>
      </c>
      <c r="T524" s="22" t="s">
        <v>1880</v>
      </c>
      <c r="V524">
        <v>1</v>
      </c>
      <c r="AE524" t="s">
        <v>56</v>
      </c>
      <c r="AF524" t="s">
        <v>57</v>
      </c>
      <c r="AH524">
        <v>41</v>
      </c>
      <c r="AI524">
        <v>41</v>
      </c>
      <c r="AM524" s="23">
        <f t="shared" si="16"/>
        <v>129.375</v>
      </c>
      <c r="AN524" s="23">
        <v>345</v>
      </c>
      <c r="AO524" s="24">
        <v>0.2</v>
      </c>
      <c r="AP524" s="23">
        <f t="shared" si="17"/>
        <v>414</v>
      </c>
    </row>
    <row r="525" spans="1:42" ht="15" customHeight="1" x14ac:dyDescent="0.3">
      <c r="A525" t="s">
        <v>1975</v>
      </c>
      <c r="B525" t="s">
        <v>2958</v>
      </c>
      <c r="C525" t="s">
        <v>1977</v>
      </c>
      <c r="D525" s="22" t="s">
        <v>2959</v>
      </c>
      <c r="E525" t="s">
        <v>1979</v>
      </c>
      <c r="F525" t="s">
        <v>1980</v>
      </c>
      <c r="P525" t="s">
        <v>1830</v>
      </c>
      <c r="Q525" t="s">
        <v>1981</v>
      </c>
      <c r="R525" t="s">
        <v>2024</v>
      </c>
      <c r="S525" t="s">
        <v>1894</v>
      </c>
      <c r="T525" s="22" t="s">
        <v>1880</v>
      </c>
      <c r="V525">
        <v>1</v>
      </c>
      <c r="AE525" t="s">
        <v>56</v>
      </c>
      <c r="AF525" t="s">
        <v>57</v>
      </c>
      <c r="AH525">
        <v>44</v>
      </c>
      <c r="AI525">
        <v>44</v>
      </c>
      <c r="AM525" s="23">
        <f t="shared" si="16"/>
        <v>139.875</v>
      </c>
      <c r="AN525" s="23">
        <v>373</v>
      </c>
      <c r="AO525" s="24">
        <v>0.2</v>
      </c>
      <c r="AP525" s="23">
        <f t="shared" si="17"/>
        <v>447.59999999999997</v>
      </c>
    </row>
    <row r="526" spans="1:42" ht="15" customHeight="1" x14ac:dyDescent="0.3">
      <c r="A526" t="s">
        <v>1975</v>
      </c>
      <c r="B526" t="s">
        <v>2960</v>
      </c>
      <c r="C526" t="s">
        <v>1977</v>
      </c>
      <c r="D526" s="22" t="s">
        <v>2961</v>
      </c>
      <c r="E526" t="s">
        <v>1979</v>
      </c>
      <c r="F526" t="s">
        <v>1980</v>
      </c>
      <c r="P526" t="s">
        <v>1830</v>
      </c>
      <c r="Q526" t="s">
        <v>1981</v>
      </c>
      <c r="R526" t="s">
        <v>2027</v>
      </c>
      <c r="S526" t="s">
        <v>1894</v>
      </c>
      <c r="T526" s="22" t="s">
        <v>1880</v>
      </c>
      <c r="V526">
        <v>1</v>
      </c>
      <c r="AE526" t="s">
        <v>56</v>
      </c>
      <c r="AF526" t="s">
        <v>57</v>
      </c>
      <c r="AH526">
        <v>48</v>
      </c>
      <c r="AI526">
        <v>48</v>
      </c>
      <c r="AM526" s="23">
        <f t="shared" si="16"/>
        <v>139.875</v>
      </c>
      <c r="AN526" s="23">
        <v>373</v>
      </c>
      <c r="AO526" s="24">
        <v>0.2</v>
      </c>
      <c r="AP526" s="23">
        <f t="shared" si="17"/>
        <v>447.59999999999997</v>
      </c>
    </row>
    <row r="527" spans="1:42" ht="15" customHeight="1" x14ac:dyDescent="0.3">
      <c r="A527" t="s">
        <v>1975</v>
      </c>
      <c r="B527" t="s">
        <v>2962</v>
      </c>
      <c r="C527" t="s">
        <v>1977</v>
      </c>
      <c r="D527" s="22" t="s">
        <v>2963</v>
      </c>
      <c r="E527" t="s">
        <v>1979</v>
      </c>
      <c r="F527" t="s">
        <v>1980</v>
      </c>
      <c r="P527" t="s">
        <v>1830</v>
      </c>
      <c r="Q527" t="s">
        <v>1981</v>
      </c>
      <c r="R527" t="s">
        <v>2030</v>
      </c>
      <c r="S527" t="s">
        <v>1894</v>
      </c>
      <c r="T527" s="22" t="s">
        <v>1880</v>
      </c>
      <c r="V527">
        <v>1</v>
      </c>
      <c r="AE527" t="s">
        <v>56</v>
      </c>
      <c r="AF527" t="s">
        <v>57</v>
      </c>
      <c r="AH527">
        <v>51</v>
      </c>
      <c r="AI527">
        <v>51</v>
      </c>
      <c r="AM527" s="23">
        <f t="shared" si="16"/>
        <v>148.125</v>
      </c>
      <c r="AN527" s="23">
        <v>395</v>
      </c>
      <c r="AO527" s="24">
        <v>0.2</v>
      </c>
      <c r="AP527" s="23">
        <f t="shared" si="17"/>
        <v>474</v>
      </c>
    </row>
    <row r="528" spans="1:42" ht="15" customHeight="1" x14ac:dyDescent="0.3">
      <c r="A528" t="s">
        <v>1975</v>
      </c>
      <c r="B528" t="s">
        <v>2964</v>
      </c>
      <c r="C528" t="s">
        <v>1977</v>
      </c>
      <c r="D528" s="22" t="s">
        <v>2965</v>
      </c>
      <c r="E528" t="s">
        <v>1979</v>
      </c>
      <c r="F528" t="s">
        <v>1980</v>
      </c>
      <c r="P528" t="s">
        <v>1830</v>
      </c>
      <c r="Q528" t="s">
        <v>1981</v>
      </c>
      <c r="R528" t="s">
        <v>2033</v>
      </c>
      <c r="S528" t="s">
        <v>1894</v>
      </c>
      <c r="T528" s="22" t="s">
        <v>1880</v>
      </c>
      <c r="V528">
        <v>1</v>
      </c>
      <c r="AE528" t="s">
        <v>56</v>
      </c>
      <c r="AF528" t="s">
        <v>57</v>
      </c>
      <c r="AH528">
        <v>54</v>
      </c>
      <c r="AI528">
        <v>54</v>
      </c>
      <c r="AM528" s="23">
        <f t="shared" si="16"/>
        <v>156.75</v>
      </c>
      <c r="AN528" s="23">
        <v>418</v>
      </c>
      <c r="AO528" s="24">
        <v>0.2</v>
      </c>
      <c r="AP528" s="23">
        <f t="shared" si="17"/>
        <v>501.59999999999997</v>
      </c>
    </row>
    <row r="529" spans="1:42" ht="15" customHeight="1" x14ac:dyDescent="0.3">
      <c r="A529" t="s">
        <v>1975</v>
      </c>
      <c r="B529" t="s">
        <v>2966</v>
      </c>
      <c r="C529" t="s">
        <v>1977</v>
      </c>
      <c r="D529" s="22" t="s">
        <v>2967</v>
      </c>
      <c r="E529" t="s">
        <v>1979</v>
      </c>
      <c r="F529" t="s">
        <v>1980</v>
      </c>
      <c r="P529" t="s">
        <v>1830</v>
      </c>
      <c r="Q529" t="s">
        <v>1981</v>
      </c>
      <c r="R529" t="s">
        <v>2036</v>
      </c>
      <c r="S529" t="s">
        <v>1894</v>
      </c>
      <c r="T529" s="22" t="s">
        <v>1880</v>
      </c>
      <c r="V529">
        <v>1</v>
      </c>
      <c r="AE529" t="s">
        <v>56</v>
      </c>
      <c r="AF529" t="s">
        <v>57</v>
      </c>
      <c r="AH529">
        <v>58</v>
      </c>
      <c r="AI529">
        <v>58</v>
      </c>
      <c r="AM529" s="23">
        <f t="shared" si="16"/>
        <v>165</v>
      </c>
      <c r="AN529" s="23">
        <v>440</v>
      </c>
      <c r="AO529" s="24">
        <v>0.2</v>
      </c>
      <c r="AP529" s="23">
        <f t="shared" si="17"/>
        <v>528</v>
      </c>
    </row>
    <row r="530" spans="1:42" ht="15" customHeight="1" x14ac:dyDescent="0.3">
      <c r="A530" t="s">
        <v>1975</v>
      </c>
      <c r="B530" t="s">
        <v>2968</v>
      </c>
      <c r="C530" t="s">
        <v>1977</v>
      </c>
      <c r="D530" s="22" t="s">
        <v>2969</v>
      </c>
      <c r="E530" t="s">
        <v>1979</v>
      </c>
      <c r="F530" t="s">
        <v>1980</v>
      </c>
      <c r="P530" t="s">
        <v>1830</v>
      </c>
      <c r="Q530" t="s">
        <v>1981</v>
      </c>
      <c r="R530" t="s">
        <v>2039</v>
      </c>
      <c r="S530" t="s">
        <v>1894</v>
      </c>
      <c r="T530" s="22" t="s">
        <v>1880</v>
      </c>
      <c r="V530">
        <v>1</v>
      </c>
      <c r="AE530" t="s">
        <v>56</v>
      </c>
      <c r="AF530" t="s">
        <v>57</v>
      </c>
      <c r="AH530">
        <v>61</v>
      </c>
      <c r="AI530">
        <v>61</v>
      </c>
      <c r="AM530" s="23">
        <f t="shared" si="16"/>
        <v>175.875</v>
      </c>
      <c r="AN530" s="23">
        <v>469</v>
      </c>
      <c r="AO530" s="24">
        <v>0.2</v>
      </c>
      <c r="AP530" s="23">
        <f t="shared" si="17"/>
        <v>562.79999999999995</v>
      </c>
    </row>
    <row r="531" spans="1:42" ht="15" customHeight="1" x14ac:dyDescent="0.3">
      <c r="A531" t="s">
        <v>1975</v>
      </c>
      <c r="B531" t="s">
        <v>2970</v>
      </c>
      <c r="C531" t="s">
        <v>1977</v>
      </c>
      <c r="D531" s="22" t="s">
        <v>2971</v>
      </c>
      <c r="E531" t="s">
        <v>1979</v>
      </c>
      <c r="F531" t="s">
        <v>1980</v>
      </c>
      <c r="P531" t="s">
        <v>1830</v>
      </c>
      <c r="Q531" t="s">
        <v>1981</v>
      </c>
      <c r="R531" t="s">
        <v>2042</v>
      </c>
      <c r="S531" t="s">
        <v>1894</v>
      </c>
      <c r="T531" s="22" t="s">
        <v>1880</v>
      </c>
      <c r="V531">
        <v>1</v>
      </c>
      <c r="AE531" t="s">
        <v>56</v>
      </c>
      <c r="AF531" t="s">
        <v>57</v>
      </c>
      <c r="AH531">
        <v>64</v>
      </c>
      <c r="AI531">
        <v>64</v>
      </c>
      <c r="AM531" s="23">
        <f t="shared" si="16"/>
        <v>196.125</v>
      </c>
      <c r="AN531" s="23">
        <v>523</v>
      </c>
      <c r="AO531" s="24">
        <v>0.2</v>
      </c>
      <c r="AP531" s="23">
        <f t="shared" si="17"/>
        <v>627.6</v>
      </c>
    </row>
    <row r="532" spans="1:42" ht="15" customHeight="1" x14ac:dyDescent="0.3">
      <c r="A532" t="s">
        <v>1975</v>
      </c>
      <c r="B532" t="s">
        <v>2972</v>
      </c>
      <c r="C532" t="s">
        <v>1977</v>
      </c>
      <c r="D532" s="22" t="s">
        <v>2973</v>
      </c>
      <c r="E532" t="s">
        <v>1979</v>
      </c>
      <c r="F532" t="s">
        <v>1980</v>
      </c>
      <c r="P532" t="s">
        <v>1830</v>
      </c>
      <c r="Q532" t="s">
        <v>1981</v>
      </c>
      <c r="R532" t="s">
        <v>2045</v>
      </c>
      <c r="S532" t="s">
        <v>1894</v>
      </c>
      <c r="T532" s="22" t="s">
        <v>1880</v>
      </c>
      <c r="V532">
        <v>1</v>
      </c>
      <c r="AE532" t="s">
        <v>56</v>
      </c>
      <c r="AF532" t="s">
        <v>57</v>
      </c>
      <c r="AH532">
        <v>68</v>
      </c>
      <c r="AI532">
        <v>68</v>
      </c>
      <c r="AM532" s="23">
        <f t="shared" si="16"/>
        <v>200.625</v>
      </c>
      <c r="AN532" s="23">
        <v>535</v>
      </c>
      <c r="AO532" s="24">
        <v>0.2</v>
      </c>
      <c r="AP532" s="23">
        <f t="shared" si="17"/>
        <v>642</v>
      </c>
    </row>
    <row r="533" spans="1:42" ht="15" customHeight="1" x14ac:dyDescent="0.3">
      <c r="A533" t="s">
        <v>1975</v>
      </c>
      <c r="B533" t="s">
        <v>2974</v>
      </c>
      <c r="C533" t="s">
        <v>1977</v>
      </c>
      <c r="D533" s="22" t="s">
        <v>2975</v>
      </c>
      <c r="E533" t="s">
        <v>1979</v>
      </c>
      <c r="F533" t="s">
        <v>1980</v>
      </c>
      <c r="P533" t="s">
        <v>1830</v>
      </c>
      <c r="Q533" t="s">
        <v>1981</v>
      </c>
      <c r="R533" t="s">
        <v>2048</v>
      </c>
      <c r="S533" t="s">
        <v>1894</v>
      </c>
      <c r="T533" s="22" t="s">
        <v>1880</v>
      </c>
      <c r="V533">
        <v>1</v>
      </c>
      <c r="AE533" t="s">
        <v>56</v>
      </c>
      <c r="AF533" t="s">
        <v>57</v>
      </c>
      <c r="AH533">
        <v>24</v>
      </c>
      <c r="AI533">
        <v>24</v>
      </c>
      <c r="AM533" s="23">
        <f t="shared" si="16"/>
        <v>95.625</v>
      </c>
      <c r="AN533" s="23">
        <v>255</v>
      </c>
      <c r="AO533" s="24">
        <v>0.2</v>
      </c>
      <c r="AP533" s="23">
        <f t="shared" si="17"/>
        <v>306</v>
      </c>
    </row>
    <row r="534" spans="1:42" ht="15" customHeight="1" x14ac:dyDescent="0.3">
      <c r="A534" t="s">
        <v>1975</v>
      </c>
      <c r="B534" t="s">
        <v>2976</v>
      </c>
      <c r="C534" t="s">
        <v>1977</v>
      </c>
      <c r="D534" s="22" t="s">
        <v>2977</v>
      </c>
      <c r="E534" t="s">
        <v>1979</v>
      </c>
      <c r="F534" t="s">
        <v>1980</v>
      </c>
      <c r="P534" t="s">
        <v>1830</v>
      </c>
      <c r="Q534" t="s">
        <v>1981</v>
      </c>
      <c r="R534" t="s">
        <v>2051</v>
      </c>
      <c r="S534" t="s">
        <v>1894</v>
      </c>
      <c r="T534" s="22" t="s">
        <v>1880</v>
      </c>
      <c r="V534">
        <v>1</v>
      </c>
      <c r="AE534" t="s">
        <v>56</v>
      </c>
      <c r="AF534" t="s">
        <v>57</v>
      </c>
      <c r="AH534">
        <v>27</v>
      </c>
      <c r="AI534">
        <v>27</v>
      </c>
      <c r="AM534" s="23">
        <f t="shared" si="16"/>
        <v>100.5</v>
      </c>
      <c r="AN534" s="23">
        <v>268</v>
      </c>
      <c r="AO534" s="24">
        <v>0.2</v>
      </c>
      <c r="AP534" s="23">
        <f t="shared" si="17"/>
        <v>321.59999999999997</v>
      </c>
    </row>
    <row r="535" spans="1:42" ht="15" customHeight="1" x14ac:dyDescent="0.3">
      <c r="A535" t="s">
        <v>1975</v>
      </c>
      <c r="B535" t="s">
        <v>2978</v>
      </c>
      <c r="C535" t="s">
        <v>1977</v>
      </c>
      <c r="D535" s="22" t="s">
        <v>2979</v>
      </c>
      <c r="E535" t="s">
        <v>1979</v>
      </c>
      <c r="F535" t="s">
        <v>1980</v>
      </c>
      <c r="P535" t="s">
        <v>1830</v>
      </c>
      <c r="Q535" t="s">
        <v>1981</v>
      </c>
      <c r="R535" t="s">
        <v>2054</v>
      </c>
      <c r="S535" t="s">
        <v>1894</v>
      </c>
      <c r="T535" s="22" t="s">
        <v>1880</v>
      </c>
      <c r="V535">
        <v>1</v>
      </c>
      <c r="AE535" t="s">
        <v>56</v>
      </c>
      <c r="AF535" t="s">
        <v>57</v>
      </c>
      <c r="AH535">
        <v>31</v>
      </c>
      <c r="AI535">
        <v>31</v>
      </c>
      <c r="AM535" s="23">
        <f t="shared" si="16"/>
        <v>104.25</v>
      </c>
      <c r="AN535" s="23">
        <v>278</v>
      </c>
      <c r="AO535" s="24">
        <v>0.2</v>
      </c>
      <c r="AP535" s="23">
        <f t="shared" si="17"/>
        <v>333.59999999999997</v>
      </c>
    </row>
    <row r="536" spans="1:42" ht="15" customHeight="1" x14ac:dyDescent="0.3">
      <c r="A536" t="s">
        <v>1975</v>
      </c>
      <c r="B536" t="s">
        <v>2980</v>
      </c>
      <c r="C536" t="s">
        <v>1977</v>
      </c>
      <c r="D536" s="22" t="s">
        <v>2981</v>
      </c>
      <c r="E536" t="s">
        <v>1979</v>
      </c>
      <c r="F536" t="s">
        <v>1980</v>
      </c>
      <c r="P536" t="s">
        <v>1830</v>
      </c>
      <c r="Q536" t="s">
        <v>1981</v>
      </c>
      <c r="R536" t="s">
        <v>2057</v>
      </c>
      <c r="S536" t="s">
        <v>1894</v>
      </c>
      <c r="T536" s="22" t="s">
        <v>1880</v>
      </c>
      <c r="V536">
        <v>1</v>
      </c>
      <c r="AE536" t="s">
        <v>56</v>
      </c>
      <c r="AF536" t="s">
        <v>57</v>
      </c>
      <c r="AH536">
        <v>39</v>
      </c>
      <c r="AI536">
        <v>39</v>
      </c>
      <c r="AM536" s="23">
        <f t="shared" si="16"/>
        <v>113.625</v>
      </c>
      <c r="AN536" s="23">
        <v>303</v>
      </c>
      <c r="AO536" s="24">
        <v>0.2</v>
      </c>
      <c r="AP536" s="23">
        <f t="shared" si="17"/>
        <v>363.59999999999997</v>
      </c>
    </row>
    <row r="537" spans="1:42" ht="15" customHeight="1" x14ac:dyDescent="0.3">
      <c r="A537" t="s">
        <v>1975</v>
      </c>
      <c r="B537" t="s">
        <v>2982</v>
      </c>
      <c r="C537" t="s">
        <v>1977</v>
      </c>
      <c r="D537" s="22" t="s">
        <v>2983</v>
      </c>
      <c r="E537" t="s">
        <v>1979</v>
      </c>
      <c r="F537" t="s">
        <v>1980</v>
      </c>
      <c r="P537" t="s">
        <v>1830</v>
      </c>
      <c r="Q537" t="s">
        <v>1981</v>
      </c>
      <c r="R537" t="s">
        <v>2060</v>
      </c>
      <c r="S537" t="s">
        <v>1894</v>
      </c>
      <c r="T537" s="22" t="s">
        <v>1880</v>
      </c>
      <c r="V537">
        <v>1</v>
      </c>
      <c r="AE537" t="s">
        <v>56</v>
      </c>
      <c r="AF537" t="s">
        <v>57</v>
      </c>
      <c r="AH537">
        <v>43</v>
      </c>
      <c r="AI537">
        <v>43</v>
      </c>
      <c r="AM537" s="23">
        <f t="shared" si="16"/>
        <v>130.5</v>
      </c>
      <c r="AN537" s="23">
        <v>348</v>
      </c>
      <c r="AO537" s="24">
        <v>0.2</v>
      </c>
      <c r="AP537" s="23">
        <f t="shared" si="17"/>
        <v>417.59999999999997</v>
      </c>
    </row>
    <row r="538" spans="1:42" ht="15" customHeight="1" x14ac:dyDescent="0.3">
      <c r="A538" t="s">
        <v>1975</v>
      </c>
      <c r="B538" t="s">
        <v>2984</v>
      </c>
      <c r="C538" t="s">
        <v>1977</v>
      </c>
      <c r="D538" s="22" t="s">
        <v>2985</v>
      </c>
      <c r="E538" t="s">
        <v>1979</v>
      </c>
      <c r="F538" t="s">
        <v>1980</v>
      </c>
      <c r="P538" t="s">
        <v>1830</v>
      </c>
      <c r="Q538" t="s">
        <v>1981</v>
      </c>
      <c r="R538" t="s">
        <v>2063</v>
      </c>
      <c r="S538" t="s">
        <v>1894</v>
      </c>
      <c r="T538" s="22" t="s">
        <v>1880</v>
      </c>
      <c r="V538">
        <v>1</v>
      </c>
      <c r="AE538" t="s">
        <v>56</v>
      </c>
      <c r="AF538" t="s">
        <v>57</v>
      </c>
      <c r="AH538">
        <v>47</v>
      </c>
      <c r="AI538">
        <v>47</v>
      </c>
      <c r="AM538" s="23">
        <f t="shared" si="16"/>
        <v>136.125</v>
      </c>
      <c r="AN538" s="23">
        <v>363</v>
      </c>
      <c r="AO538" s="24">
        <v>0.2</v>
      </c>
      <c r="AP538" s="23">
        <f t="shared" si="17"/>
        <v>435.59999999999997</v>
      </c>
    </row>
    <row r="539" spans="1:42" ht="15" customHeight="1" x14ac:dyDescent="0.3">
      <c r="A539" t="s">
        <v>1975</v>
      </c>
      <c r="B539" t="s">
        <v>2986</v>
      </c>
      <c r="C539" t="s">
        <v>1977</v>
      </c>
      <c r="D539" s="22" t="s">
        <v>2987</v>
      </c>
      <c r="E539" t="s">
        <v>1979</v>
      </c>
      <c r="F539" t="s">
        <v>1980</v>
      </c>
      <c r="P539" t="s">
        <v>1830</v>
      </c>
      <c r="Q539" t="s">
        <v>1981</v>
      </c>
      <c r="R539" t="s">
        <v>2066</v>
      </c>
      <c r="S539" t="s">
        <v>1894</v>
      </c>
      <c r="T539" s="22" t="s">
        <v>1880</v>
      </c>
      <c r="V539">
        <v>1</v>
      </c>
      <c r="AE539" t="s">
        <v>56</v>
      </c>
      <c r="AF539" t="s">
        <v>57</v>
      </c>
      <c r="AH539">
        <v>50</v>
      </c>
      <c r="AI539">
        <v>50</v>
      </c>
      <c r="AM539" s="23">
        <f t="shared" si="16"/>
        <v>153.75</v>
      </c>
      <c r="AN539" s="23">
        <v>410</v>
      </c>
      <c r="AO539" s="24">
        <v>0.2</v>
      </c>
      <c r="AP539" s="23">
        <f t="shared" si="17"/>
        <v>492</v>
      </c>
    </row>
    <row r="540" spans="1:42" ht="15" customHeight="1" x14ac:dyDescent="0.3">
      <c r="A540" t="s">
        <v>1975</v>
      </c>
      <c r="B540" t="s">
        <v>2988</v>
      </c>
      <c r="C540" t="s">
        <v>1977</v>
      </c>
      <c r="D540" s="22" t="s">
        <v>2989</v>
      </c>
      <c r="E540" t="s">
        <v>1979</v>
      </c>
      <c r="F540" t="s">
        <v>1980</v>
      </c>
      <c r="P540" t="s">
        <v>1830</v>
      </c>
      <c r="Q540" t="s">
        <v>1981</v>
      </c>
      <c r="R540" t="s">
        <v>2069</v>
      </c>
      <c r="S540" t="s">
        <v>1894</v>
      </c>
      <c r="T540" s="22" t="s">
        <v>1880</v>
      </c>
      <c r="V540">
        <v>1</v>
      </c>
      <c r="AE540" t="s">
        <v>56</v>
      </c>
      <c r="AF540" t="s">
        <v>57</v>
      </c>
      <c r="AH540">
        <v>54</v>
      </c>
      <c r="AI540">
        <v>54</v>
      </c>
      <c r="AM540" s="23">
        <f t="shared" si="16"/>
        <v>156.75</v>
      </c>
      <c r="AN540" s="23">
        <v>418</v>
      </c>
      <c r="AO540" s="24">
        <v>0.2</v>
      </c>
      <c r="AP540" s="23">
        <f t="shared" si="17"/>
        <v>501.59999999999997</v>
      </c>
    </row>
    <row r="541" spans="1:42" ht="15" customHeight="1" x14ac:dyDescent="0.3">
      <c r="A541" t="s">
        <v>1975</v>
      </c>
      <c r="B541" t="s">
        <v>2990</v>
      </c>
      <c r="C541" t="s">
        <v>1977</v>
      </c>
      <c r="D541" s="22" t="s">
        <v>2991</v>
      </c>
      <c r="E541" t="s">
        <v>1979</v>
      </c>
      <c r="F541" t="s">
        <v>1980</v>
      </c>
      <c r="P541" t="s">
        <v>1830</v>
      </c>
      <c r="Q541" t="s">
        <v>1981</v>
      </c>
      <c r="R541" t="s">
        <v>2072</v>
      </c>
      <c r="S541" t="s">
        <v>1894</v>
      </c>
      <c r="T541" s="22" t="s">
        <v>1880</v>
      </c>
      <c r="V541">
        <v>1</v>
      </c>
      <c r="AE541" t="s">
        <v>56</v>
      </c>
      <c r="AF541" t="s">
        <v>57</v>
      </c>
      <c r="AH541">
        <v>58</v>
      </c>
      <c r="AI541">
        <v>58</v>
      </c>
      <c r="AM541" s="23">
        <f t="shared" si="16"/>
        <v>166.5</v>
      </c>
      <c r="AN541" s="23">
        <v>444</v>
      </c>
      <c r="AO541" s="24">
        <v>0.2</v>
      </c>
      <c r="AP541" s="23">
        <f t="shared" si="17"/>
        <v>532.79999999999995</v>
      </c>
    </row>
    <row r="542" spans="1:42" ht="15" customHeight="1" x14ac:dyDescent="0.3">
      <c r="A542" t="s">
        <v>1975</v>
      </c>
      <c r="B542" t="s">
        <v>2992</v>
      </c>
      <c r="C542" t="s">
        <v>1977</v>
      </c>
      <c r="D542" s="22" t="s">
        <v>2993</v>
      </c>
      <c r="E542" t="s">
        <v>1979</v>
      </c>
      <c r="F542" t="s">
        <v>1980</v>
      </c>
      <c r="P542" t="s">
        <v>1830</v>
      </c>
      <c r="Q542" t="s">
        <v>1981</v>
      </c>
      <c r="R542" t="s">
        <v>2075</v>
      </c>
      <c r="S542" t="s">
        <v>1894</v>
      </c>
      <c r="T542" s="22" t="s">
        <v>1880</v>
      </c>
      <c r="V542">
        <v>1</v>
      </c>
      <c r="AE542" t="s">
        <v>56</v>
      </c>
      <c r="AF542" t="s">
        <v>57</v>
      </c>
      <c r="AH542">
        <v>62</v>
      </c>
      <c r="AI542">
        <v>62</v>
      </c>
      <c r="AM542" s="23">
        <f t="shared" si="16"/>
        <v>175.875</v>
      </c>
      <c r="AN542" s="23">
        <v>469</v>
      </c>
      <c r="AO542" s="24">
        <v>0.2</v>
      </c>
      <c r="AP542" s="23">
        <f t="shared" si="17"/>
        <v>562.79999999999995</v>
      </c>
    </row>
    <row r="543" spans="1:42" ht="15" customHeight="1" x14ac:dyDescent="0.3">
      <c r="A543" t="s">
        <v>1975</v>
      </c>
      <c r="B543" t="s">
        <v>2994</v>
      </c>
      <c r="C543" t="s">
        <v>1977</v>
      </c>
      <c r="D543" s="22" t="s">
        <v>2995</v>
      </c>
      <c r="E543" t="s">
        <v>1979</v>
      </c>
      <c r="F543" t="s">
        <v>1980</v>
      </c>
      <c r="P543" t="s">
        <v>1830</v>
      </c>
      <c r="Q543" t="s">
        <v>1981</v>
      </c>
      <c r="R543" t="s">
        <v>2078</v>
      </c>
      <c r="S543" t="s">
        <v>1894</v>
      </c>
      <c r="T543" s="22" t="s">
        <v>1880</v>
      </c>
      <c r="V543">
        <v>1</v>
      </c>
      <c r="AE543" t="s">
        <v>56</v>
      </c>
      <c r="AF543" t="s">
        <v>57</v>
      </c>
      <c r="AH543">
        <v>66</v>
      </c>
      <c r="AI543">
        <v>66</v>
      </c>
      <c r="AM543" s="23">
        <f t="shared" si="16"/>
        <v>185.625</v>
      </c>
      <c r="AN543" s="23">
        <v>495</v>
      </c>
      <c r="AO543" s="24">
        <v>0.2</v>
      </c>
      <c r="AP543" s="23">
        <f t="shared" si="17"/>
        <v>594</v>
      </c>
    </row>
    <row r="544" spans="1:42" ht="15" customHeight="1" x14ac:dyDescent="0.3">
      <c r="A544" t="s">
        <v>1975</v>
      </c>
      <c r="B544" t="s">
        <v>2996</v>
      </c>
      <c r="C544" t="s">
        <v>1977</v>
      </c>
      <c r="D544" s="22" t="s">
        <v>2997</v>
      </c>
      <c r="E544" t="s">
        <v>1979</v>
      </c>
      <c r="F544" t="s">
        <v>1980</v>
      </c>
      <c r="P544" t="s">
        <v>1830</v>
      </c>
      <c r="Q544" t="s">
        <v>1981</v>
      </c>
      <c r="R544" t="s">
        <v>2081</v>
      </c>
      <c r="S544" t="s">
        <v>1894</v>
      </c>
      <c r="T544" s="22" t="s">
        <v>1880</v>
      </c>
      <c r="V544">
        <v>1</v>
      </c>
      <c r="AE544" t="s">
        <v>56</v>
      </c>
      <c r="AF544" t="s">
        <v>57</v>
      </c>
      <c r="AH544">
        <v>70</v>
      </c>
      <c r="AI544">
        <v>70</v>
      </c>
      <c r="AM544" s="23">
        <f t="shared" si="16"/>
        <v>198</v>
      </c>
      <c r="AN544" s="23">
        <v>528</v>
      </c>
      <c r="AO544" s="24">
        <v>0.2</v>
      </c>
      <c r="AP544" s="23">
        <f t="shared" si="17"/>
        <v>633.6</v>
      </c>
    </row>
    <row r="545" spans="1:42" ht="15" customHeight="1" x14ac:dyDescent="0.3">
      <c r="A545" t="s">
        <v>1975</v>
      </c>
      <c r="B545" t="s">
        <v>2998</v>
      </c>
      <c r="C545" t="s">
        <v>1977</v>
      </c>
      <c r="D545" s="22" t="s">
        <v>2999</v>
      </c>
      <c r="E545" t="s">
        <v>1979</v>
      </c>
      <c r="F545" t="s">
        <v>1980</v>
      </c>
      <c r="P545" t="s">
        <v>1830</v>
      </c>
      <c r="Q545" t="s">
        <v>1981</v>
      </c>
      <c r="R545" t="s">
        <v>2084</v>
      </c>
      <c r="S545" t="s">
        <v>1894</v>
      </c>
      <c r="T545" s="22" t="s">
        <v>1880</v>
      </c>
      <c r="V545">
        <v>1</v>
      </c>
      <c r="AE545" t="s">
        <v>56</v>
      </c>
      <c r="AF545" t="s">
        <v>57</v>
      </c>
      <c r="AH545">
        <v>73</v>
      </c>
      <c r="AI545">
        <v>73</v>
      </c>
      <c r="AM545" s="23">
        <f t="shared" si="16"/>
        <v>219.375</v>
      </c>
      <c r="AN545" s="23">
        <v>585</v>
      </c>
      <c r="AO545" s="24">
        <v>0.2</v>
      </c>
      <c r="AP545" s="23">
        <f t="shared" si="17"/>
        <v>702</v>
      </c>
    </row>
    <row r="546" spans="1:42" ht="15" customHeight="1" x14ac:dyDescent="0.3">
      <c r="A546" t="s">
        <v>1975</v>
      </c>
      <c r="B546" t="s">
        <v>3000</v>
      </c>
      <c r="C546" t="s">
        <v>1977</v>
      </c>
      <c r="D546" s="22" t="s">
        <v>3001</v>
      </c>
      <c r="E546" t="s">
        <v>1979</v>
      </c>
      <c r="F546" t="s">
        <v>1980</v>
      </c>
      <c r="P546" t="s">
        <v>1830</v>
      </c>
      <c r="Q546" t="s">
        <v>1981</v>
      </c>
      <c r="R546" t="s">
        <v>2087</v>
      </c>
      <c r="S546" t="s">
        <v>1894</v>
      </c>
      <c r="T546" s="22" t="s">
        <v>1880</v>
      </c>
      <c r="V546">
        <v>1</v>
      </c>
      <c r="AE546" t="s">
        <v>56</v>
      </c>
      <c r="AF546" t="s">
        <v>57</v>
      </c>
      <c r="AH546">
        <v>77</v>
      </c>
      <c r="AI546">
        <v>77</v>
      </c>
      <c r="AM546" s="23">
        <f t="shared" si="16"/>
        <v>223.125</v>
      </c>
      <c r="AN546" s="23">
        <v>595</v>
      </c>
      <c r="AO546" s="24">
        <v>0.2</v>
      </c>
      <c r="AP546" s="23">
        <f t="shared" si="17"/>
        <v>714</v>
      </c>
    </row>
    <row r="547" spans="1:42" ht="15" customHeight="1" x14ac:dyDescent="0.3">
      <c r="A547" t="s">
        <v>1975</v>
      </c>
      <c r="B547" t="s">
        <v>3002</v>
      </c>
      <c r="C547" t="s">
        <v>1977</v>
      </c>
      <c r="D547" s="22" t="s">
        <v>3003</v>
      </c>
      <c r="E547" t="s">
        <v>1979</v>
      </c>
      <c r="F547" t="s">
        <v>1980</v>
      </c>
      <c r="P547" t="s">
        <v>1830</v>
      </c>
      <c r="Q547" t="s">
        <v>1981</v>
      </c>
      <c r="R547" t="s">
        <v>242</v>
      </c>
      <c r="S547" t="s">
        <v>1894</v>
      </c>
      <c r="T547" s="22" t="s">
        <v>1880</v>
      </c>
      <c r="V547">
        <v>1</v>
      </c>
      <c r="AE547" t="s">
        <v>56</v>
      </c>
      <c r="AF547" t="s">
        <v>57</v>
      </c>
      <c r="AH547">
        <v>31</v>
      </c>
      <c r="AI547">
        <v>31</v>
      </c>
      <c r="AM547" s="23">
        <f t="shared" si="16"/>
        <v>103.125</v>
      </c>
      <c r="AN547" s="23">
        <v>275</v>
      </c>
      <c r="AO547" s="24">
        <v>0.2</v>
      </c>
      <c r="AP547" s="23">
        <f t="shared" si="17"/>
        <v>330</v>
      </c>
    </row>
    <row r="548" spans="1:42" ht="15" customHeight="1" x14ac:dyDescent="0.3">
      <c r="A548" t="s">
        <v>1975</v>
      </c>
      <c r="B548" t="s">
        <v>3004</v>
      </c>
      <c r="C548" t="s">
        <v>1977</v>
      </c>
      <c r="D548" s="22" t="s">
        <v>3005</v>
      </c>
      <c r="E548" t="s">
        <v>1979</v>
      </c>
      <c r="F548" t="s">
        <v>1980</v>
      </c>
      <c r="P548" t="s">
        <v>1830</v>
      </c>
      <c r="Q548" t="s">
        <v>1981</v>
      </c>
      <c r="R548" t="s">
        <v>2092</v>
      </c>
      <c r="S548" t="s">
        <v>1894</v>
      </c>
      <c r="T548" s="22" t="s">
        <v>1880</v>
      </c>
      <c r="V548">
        <v>1</v>
      </c>
      <c r="AE548" t="s">
        <v>56</v>
      </c>
      <c r="AF548" t="s">
        <v>57</v>
      </c>
      <c r="AH548">
        <v>35</v>
      </c>
      <c r="AI548">
        <v>35</v>
      </c>
      <c r="AM548" s="23">
        <f t="shared" si="16"/>
        <v>110.625</v>
      </c>
      <c r="AN548" s="23">
        <v>295</v>
      </c>
      <c r="AO548" s="24">
        <v>0.2</v>
      </c>
      <c r="AP548" s="23">
        <f t="shared" si="17"/>
        <v>354</v>
      </c>
    </row>
    <row r="549" spans="1:42" ht="15" customHeight="1" x14ac:dyDescent="0.3">
      <c r="A549" t="s">
        <v>1975</v>
      </c>
      <c r="B549" t="s">
        <v>3006</v>
      </c>
      <c r="C549" t="s">
        <v>1977</v>
      </c>
      <c r="D549" s="22" t="s">
        <v>3007</v>
      </c>
      <c r="E549" t="s">
        <v>1979</v>
      </c>
      <c r="F549" t="s">
        <v>1980</v>
      </c>
      <c r="P549" t="s">
        <v>1830</v>
      </c>
      <c r="Q549" t="s">
        <v>1981</v>
      </c>
      <c r="R549" t="s">
        <v>2095</v>
      </c>
      <c r="S549" t="s">
        <v>1894</v>
      </c>
      <c r="T549" s="22" t="s">
        <v>1880</v>
      </c>
      <c r="V549">
        <v>1</v>
      </c>
      <c r="AE549" t="s">
        <v>56</v>
      </c>
      <c r="AF549" t="s">
        <v>57</v>
      </c>
      <c r="AH549">
        <v>44</v>
      </c>
      <c r="AI549">
        <v>44</v>
      </c>
      <c r="AM549" s="23">
        <f t="shared" si="16"/>
        <v>126.75</v>
      </c>
      <c r="AN549" s="23">
        <v>338</v>
      </c>
      <c r="AO549" s="24">
        <v>0.2</v>
      </c>
      <c r="AP549" s="23">
        <f t="shared" si="17"/>
        <v>405.59999999999997</v>
      </c>
    </row>
    <row r="550" spans="1:42" ht="15" customHeight="1" x14ac:dyDescent="0.3">
      <c r="A550" t="s">
        <v>1975</v>
      </c>
      <c r="B550" t="s">
        <v>3008</v>
      </c>
      <c r="C550" t="s">
        <v>1977</v>
      </c>
      <c r="D550" s="22" t="s">
        <v>3009</v>
      </c>
      <c r="E550" t="s">
        <v>1979</v>
      </c>
      <c r="F550" t="s">
        <v>1980</v>
      </c>
      <c r="P550" t="s">
        <v>1830</v>
      </c>
      <c r="Q550" t="s">
        <v>1981</v>
      </c>
      <c r="R550" t="s">
        <v>2098</v>
      </c>
      <c r="S550" t="s">
        <v>1894</v>
      </c>
      <c r="T550" s="22" t="s">
        <v>1880</v>
      </c>
      <c r="V550">
        <v>1</v>
      </c>
      <c r="AE550" t="s">
        <v>56</v>
      </c>
      <c r="AF550" t="s">
        <v>57</v>
      </c>
      <c r="AH550">
        <v>48</v>
      </c>
      <c r="AI550">
        <v>48</v>
      </c>
      <c r="AM550" s="23">
        <f t="shared" si="16"/>
        <v>148.125</v>
      </c>
      <c r="AN550" s="23">
        <v>395</v>
      </c>
      <c r="AO550" s="24">
        <v>0.2</v>
      </c>
      <c r="AP550" s="23">
        <f t="shared" si="17"/>
        <v>474</v>
      </c>
    </row>
    <row r="551" spans="1:42" ht="15" customHeight="1" x14ac:dyDescent="0.3">
      <c r="A551" t="s">
        <v>1975</v>
      </c>
      <c r="B551" t="s">
        <v>3010</v>
      </c>
      <c r="C551" t="s">
        <v>1977</v>
      </c>
      <c r="D551" s="22" t="s">
        <v>3011</v>
      </c>
      <c r="E551" t="s">
        <v>1979</v>
      </c>
      <c r="F551" t="s">
        <v>1980</v>
      </c>
      <c r="P551" t="s">
        <v>1830</v>
      </c>
      <c r="Q551" t="s">
        <v>1981</v>
      </c>
      <c r="R551" t="s">
        <v>2101</v>
      </c>
      <c r="S551" t="s">
        <v>1894</v>
      </c>
      <c r="T551" s="22" t="s">
        <v>1880</v>
      </c>
      <c r="V551">
        <v>1</v>
      </c>
      <c r="AE551" t="s">
        <v>56</v>
      </c>
      <c r="AF551" t="s">
        <v>57</v>
      </c>
      <c r="AH551">
        <v>52</v>
      </c>
      <c r="AI551">
        <v>52</v>
      </c>
      <c r="AM551" s="23">
        <f t="shared" si="16"/>
        <v>153</v>
      </c>
      <c r="AN551" s="23">
        <v>408</v>
      </c>
      <c r="AO551" s="24">
        <v>0.2</v>
      </c>
      <c r="AP551" s="23">
        <f t="shared" si="17"/>
        <v>489.59999999999997</v>
      </c>
    </row>
    <row r="552" spans="1:42" ht="15" customHeight="1" x14ac:dyDescent="0.3">
      <c r="A552" t="s">
        <v>1975</v>
      </c>
      <c r="B552" t="s">
        <v>3012</v>
      </c>
      <c r="C552" t="s">
        <v>1977</v>
      </c>
      <c r="D552" s="22" t="s">
        <v>3013</v>
      </c>
      <c r="E552" t="s">
        <v>1979</v>
      </c>
      <c r="F552" t="s">
        <v>1980</v>
      </c>
      <c r="P552" t="s">
        <v>1830</v>
      </c>
      <c r="Q552" t="s">
        <v>1981</v>
      </c>
      <c r="R552" t="s">
        <v>2104</v>
      </c>
      <c r="S552" t="s">
        <v>1894</v>
      </c>
      <c r="T552" s="22" t="s">
        <v>1880</v>
      </c>
      <c r="V552">
        <v>1</v>
      </c>
      <c r="AE552" t="s">
        <v>56</v>
      </c>
      <c r="AF552" t="s">
        <v>57</v>
      </c>
      <c r="AH552">
        <v>57</v>
      </c>
      <c r="AI552">
        <v>57</v>
      </c>
      <c r="AM552" s="23">
        <f t="shared" si="16"/>
        <v>168</v>
      </c>
      <c r="AN552" s="23">
        <v>448</v>
      </c>
      <c r="AO552" s="24">
        <v>0.2</v>
      </c>
      <c r="AP552" s="23">
        <f t="shared" si="17"/>
        <v>537.6</v>
      </c>
    </row>
    <row r="553" spans="1:42" ht="15" customHeight="1" x14ac:dyDescent="0.3">
      <c r="A553" t="s">
        <v>1975</v>
      </c>
      <c r="B553" t="s">
        <v>3014</v>
      </c>
      <c r="C553" t="s">
        <v>1977</v>
      </c>
      <c r="D553" s="22" t="s">
        <v>3015</v>
      </c>
      <c r="E553" t="s">
        <v>1979</v>
      </c>
      <c r="F553" t="s">
        <v>1980</v>
      </c>
      <c r="P553" t="s">
        <v>1830</v>
      </c>
      <c r="Q553" t="s">
        <v>1981</v>
      </c>
      <c r="R553" t="s">
        <v>2107</v>
      </c>
      <c r="S553" t="s">
        <v>1894</v>
      </c>
      <c r="T553" s="22" t="s">
        <v>1880</v>
      </c>
      <c r="V553">
        <v>1</v>
      </c>
      <c r="AE553" t="s">
        <v>56</v>
      </c>
      <c r="AF553" t="s">
        <v>57</v>
      </c>
      <c r="AH553">
        <v>61</v>
      </c>
      <c r="AI553">
        <v>61</v>
      </c>
      <c r="AM553" s="23">
        <f t="shared" si="16"/>
        <v>173.625</v>
      </c>
      <c r="AN553" s="23">
        <v>463</v>
      </c>
      <c r="AO553" s="24">
        <v>0.2</v>
      </c>
      <c r="AP553" s="23">
        <f t="shared" si="17"/>
        <v>555.6</v>
      </c>
    </row>
    <row r="554" spans="1:42" ht="15" customHeight="1" x14ac:dyDescent="0.3">
      <c r="A554" t="s">
        <v>1975</v>
      </c>
      <c r="B554" t="s">
        <v>3016</v>
      </c>
      <c r="C554" t="s">
        <v>1977</v>
      </c>
      <c r="D554" s="22" t="s">
        <v>3017</v>
      </c>
      <c r="E554" t="s">
        <v>1979</v>
      </c>
      <c r="F554" t="s">
        <v>1980</v>
      </c>
      <c r="P554" t="s">
        <v>1830</v>
      </c>
      <c r="Q554" t="s">
        <v>1981</v>
      </c>
      <c r="R554" t="s">
        <v>2110</v>
      </c>
      <c r="S554" t="s">
        <v>1894</v>
      </c>
      <c r="T554" s="22" t="s">
        <v>1880</v>
      </c>
      <c r="V554">
        <v>1</v>
      </c>
      <c r="AE554" t="s">
        <v>56</v>
      </c>
      <c r="AF554" t="s">
        <v>57</v>
      </c>
      <c r="AH554">
        <v>65</v>
      </c>
      <c r="AI554">
        <v>65</v>
      </c>
      <c r="AM554" s="23">
        <f t="shared" si="16"/>
        <v>184.125</v>
      </c>
      <c r="AN554" s="23">
        <v>491</v>
      </c>
      <c r="AO554" s="24">
        <v>0.2</v>
      </c>
      <c r="AP554" s="23">
        <f t="shared" si="17"/>
        <v>589.19999999999993</v>
      </c>
    </row>
    <row r="555" spans="1:42" ht="15" customHeight="1" x14ac:dyDescent="0.3">
      <c r="A555" t="s">
        <v>1975</v>
      </c>
      <c r="B555" t="s">
        <v>3018</v>
      </c>
      <c r="C555" t="s">
        <v>1977</v>
      </c>
      <c r="D555" s="22" t="s">
        <v>3019</v>
      </c>
      <c r="E555" t="s">
        <v>1979</v>
      </c>
      <c r="F555" t="s">
        <v>1980</v>
      </c>
      <c r="P555" t="s">
        <v>1830</v>
      </c>
      <c r="Q555" t="s">
        <v>1981</v>
      </c>
      <c r="R555" t="s">
        <v>2113</v>
      </c>
      <c r="S555" t="s">
        <v>1894</v>
      </c>
      <c r="T555" s="22" t="s">
        <v>1880</v>
      </c>
      <c r="V555">
        <v>1</v>
      </c>
      <c r="AE555" t="s">
        <v>56</v>
      </c>
      <c r="AF555" t="s">
        <v>57</v>
      </c>
      <c r="AH555">
        <v>70</v>
      </c>
      <c r="AI555">
        <v>70</v>
      </c>
      <c r="AM555" s="23">
        <f t="shared" si="16"/>
        <v>194.625</v>
      </c>
      <c r="AN555" s="23">
        <v>519</v>
      </c>
      <c r="AO555" s="24">
        <v>0.2</v>
      </c>
      <c r="AP555" s="23">
        <f t="shared" si="17"/>
        <v>622.79999999999995</v>
      </c>
    </row>
    <row r="556" spans="1:42" ht="15" customHeight="1" x14ac:dyDescent="0.3">
      <c r="A556" t="s">
        <v>1975</v>
      </c>
      <c r="B556" t="s">
        <v>3020</v>
      </c>
      <c r="C556" t="s">
        <v>1977</v>
      </c>
      <c r="D556" s="22" t="s">
        <v>3021</v>
      </c>
      <c r="E556" t="s">
        <v>1979</v>
      </c>
      <c r="F556" t="s">
        <v>1980</v>
      </c>
      <c r="P556" t="s">
        <v>1830</v>
      </c>
      <c r="Q556" t="s">
        <v>1981</v>
      </c>
      <c r="R556" t="s">
        <v>2116</v>
      </c>
      <c r="S556" t="s">
        <v>1894</v>
      </c>
      <c r="T556" s="22" t="s">
        <v>1880</v>
      </c>
      <c r="V556">
        <v>1</v>
      </c>
      <c r="AE556" t="s">
        <v>56</v>
      </c>
      <c r="AF556" t="s">
        <v>57</v>
      </c>
      <c r="AH556">
        <v>74</v>
      </c>
      <c r="AI556">
        <v>74</v>
      </c>
      <c r="AM556" s="23">
        <f t="shared" si="16"/>
        <v>205.5</v>
      </c>
      <c r="AN556" s="23">
        <v>548</v>
      </c>
      <c r="AO556" s="24">
        <v>0.2</v>
      </c>
      <c r="AP556" s="23">
        <f t="shared" si="17"/>
        <v>657.6</v>
      </c>
    </row>
    <row r="557" spans="1:42" ht="15" customHeight="1" x14ac:dyDescent="0.3">
      <c r="A557" t="s">
        <v>1975</v>
      </c>
      <c r="B557" t="s">
        <v>3022</v>
      </c>
      <c r="C557" t="s">
        <v>1977</v>
      </c>
      <c r="D557" s="22" t="s">
        <v>3023</v>
      </c>
      <c r="E557" t="s">
        <v>1979</v>
      </c>
      <c r="F557" t="s">
        <v>1980</v>
      </c>
      <c r="P557" t="s">
        <v>1830</v>
      </c>
      <c r="Q557" t="s">
        <v>1981</v>
      </c>
      <c r="R557" t="s">
        <v>2119</v>
      </c>
      <c r="S557" t="s">
        <v>1894</v>
      </c>
      <c r="T557" s="22" t="s">
        <v>1880</v>
      </c>
      <c r="V557">
        <v>1</v>
      </c>
      <c r="AE557" t="s">
        <v>56</v>
      </c>
      <c r="AF557" t="s">
        <v>57</v>
      </c>
      <c r="AH557">
        <v>78</v>
      </c>
      <c r="AI557">
        <v>78</v>
      </c>
      <c r="AM557" s="23">
        <f t="shared" si="16"/>
        <v>219.375</v>
      </c>
      <c r="AN557" s="23">
        <v>585</v>
      </c>
      <c r="AO557" s="24">
        <v>0.2</v>
      </c>
      <c r="AP557" s="23">
        <f t="shared" si="17"/>
        <v>702</v>
      </c>
    </row>
    <row r="558" spans="1:42" ht="15" customHeight="1" x14ac:dyDescent="0.3">
      <c r="A558" t="s">
        <v>1975</v>
      </c>
      <c r="B558" t="s">
        <v>3024</v>
      </c>
      <c r="C558" t="s">
        <v>1977</v>
      </c>
      <c r="D558" s="22" t="s">
        <v>3025</v>
      </c>
      <c r="E558" t="s">
        <v>1979</v>
      </c>
      <c r="F558" t="s">
        <v>1980</v>
      </c>
      <c r="P558" t="s">
        <v>1830</v>
      </c>
      <c r="Q558" t="s">
        <v>1981</v>
      </c>
      <c r="R558" t="s">
        <v>2122</v>
      </c>
      <c r="S558" t="s">
        <v>1894</v>
      </c>
      <c r="T558" s="22" t="s">
        <v>1880</v>
      </c>
      <c r="V558">
        <v>1</v>
      </c>
      <c r="AE558" t="s">
        <v>56</v>
      </c>
      <c r="AF558" t="s">
        <v>57</v>
      </c>
      <c r="AH558">
        <v>83</v>
      </c>
      <c r="AI558">
        <v>83</v>
      </c>
      <c r="AM558" s="23">
        <f t="shared" si="16"/>
        <v>236.25</v>
      </c>
      <c r="AN558" s="23">
        <v>630</v>
      </c>
      <c r="AO558" s="24">
        <v>0.2</v>
      </c>
      <c r="AP558" s="23">
        <f t="shared" si="17"/>
        <v>756</v>
      </c>
    </row>
    <row r="559" spans="1:42" ht="15" customHeight="1" x14ac:dyDescent="0.3">
      <c r="A559" t="s">
        <v>1975</v>
      </c>
      <c r="B559" t="s">
        <v>3026</v>
      </c>
      <c r="C559" t="s">
        <v>1977</v>
      </c>
      <c r="D559" s="22" t="s">
        <v>3027</v>
      </c>
      <c r="E559" t="s">
        <v>1979</v>
      </c>
      <c r="F559" t="s">
        <v>1980</v>
      </c>
      <c r="P559" t="s">
        <v>1830</v>
      </c>
      <c r="Q559" t="s">
        <v>1981</v>
      </c>
      <c r="R559" t="s">
        <v>2125</v>
      </c>
      <c r="S559" t="s">
        <v>1894</v>
      </c>
      <c r="T559" s="22" t="s">
        <v>1880</v>
      </c>
      <c r="V559">
        <v>1</v>
      </c>
      <c r="AE559" t="s">
        <v>56</v>
      </c>
      <c r="AF559" t="s">
        <v>57</v>
      </c>
      <c r="AH559">
        <v>87</v>
      </c>
      <c r="AI559">
        <v>87</v>
      </c>
      <c r="AM559" s="23">
        <f t="shared" si="16"/>
        <v>241.125</v>
      </c>
      <c r="AN559" s="23">
        <v>643</v>
      </c>
      <c r="AO559" s="24">
        <v>0.2</v>
      </c>
      <c r="AP559" s="23">
        <f t="shared" si="17"/>
        <v>771.6</v>
      </c>
    </row>
    <row r="560" spans="1:42" ht="15" customHeight="1" x14ac:dyDescent="0.3">
      <c r="A560" t="s">
        <v>1975</v>
      </c>
      <c r="B560" t="s">
        <v>3028</v>
      </c>
      <c r="C560" t="s">
        <v>1977</v>
      </c>
      <c r="D560" s="22" t="s">
        <v>3029</v>
      </c>
      <c r="E560" t="s">
        <v>1979</v>
      </c>
      <c r="F560" t="s">
        <v>1980</v>
      </c>
      <c r="P560" t="s">
        <v>1830</v>
      </c>
      <c r="Q560" t="s">
        <v>1981</v>
      </c>
      <c r="R560" t="s">
        <v>2128</v>
      </c>
      <c r="S560" t="s">
        <v>1894</v>
      </c>
      <c r="T560" s="22" t="s">
        <v>1880</v>
      </c>
      <c r="V560">
        <v>1</v>
      </c>
      <c r="AE560" t="s">
        <v>56</v>
      </c>
      <c r="AF560" t="s">
        <v>57</v>
      </c>
      <c r="AH560">
        <v>39</v>
      </c>
      <c r="AI560">
        <v>39</v>
      </c>
      <c r="AM560" s="23">
        <f t="shared" si="16"/>
        <v>114.375</v>
      </c>
      <c r="AN560" s="23">
        <v>305</v>
      </c>
      <c r="AO560" s="24">
        <v>0.2</v>
      </c>
      <c r="AP560" s="23">
        <f t="shared" si="17"/>
        <v>366</v>
      </c>
    </row>
    <row r="561" spans="1:42" ht="15" customHeight="1" x14ac:dyDescent="0.3">
      <c r="A561" t="s">
        <v>1975</v>
      </c>
      <c r="B561" t="s">
        <v>3030</v>
      </c>
      <c r="C561" t="s">
        <v>1977</v>
      </c>
      <c r="D561" s="22" t="s">
        <v>3031</v>
      </c>
      <c r="E561" t="s">
        <v>1979</v>
      </c>
      <c r="F561" t="s">
        <v>1980</v>
      </c>
      <c r="P561" t="s">
        <v>1830</v>
      </c>
      <c r="Q561" t="s">
        <v>1981</v>
      </c>
      <c r="R561" t="s">
        <v>1982</v>
      </c>
      <c r="S561" t="s">
        <v>1894</v>
      </c>
      <c r="T561" s="22" t="s">
        <v>1877</v>
      </c>
      <c r="V561">
        <v>1</v>
      </c>
      <c r="AE561" t="s">
        <v>56</v>
      </c>
      <c r="AF561" t="s">
        <v>57</v>
      </c>
      <c r="AH561">
        <v>48</v>
      </c>
      <c r="AI561">
        <v>48</v>
      </c>
      <c r="AM561" s="23">
        <f t="shared" si="16"/>
        <v>137.625</v>
      </c>
      <c r="AN561" s="23">
        <v>367</v>
      </c>
      <c r="AO561" s="24">
        <v>0.2</v>
      </c>
      <c r="AP561" s="23">
        <f t="shared" si="17"/>
        <v>440.4</v>
      </c>
    </row>
    <row r="562" spans="1:42" ht="15" customHeight="1" x14ac:dyDescent="0.3">
      <c r="A562" t="s">
        <v>1975</v>
      </c>
      <c r="B562" t="s">
        <v>3032</v>
      </c>
      <c r="C562" t="s">
        <v>1977</v>
      </c>
      <c r="D562" s="22" t="s">
        <v>3033</v>
      </c>
      <c r="E562" t="s">
        <v>1979</v>
      </c>
      <c r="F562" t="s">
        <v>1980</v>
      </c>
      <c r="P562" t="s">
        <v>1830</v>
      </c>
      <c r="Q562" t="s">
        <v>1981</v>
      </c>
      <c r="R562" t="s">
        <v>1985</v>
      </c>
      <c r="S562" t="s">
        <v>1894</v>
      </c>
      <c r="T562" s="22" t="s">
        <v>1877</v>
      </c>
      <c r="V562">
        <v>1</v>
      </c>
      <c r="AE562" t="s">
        <v>56</v>
      </c>
      <c r="AF562" t="s">
        <v>57</v>
      </c>
      <c r="AH562">
        <v>53</v>
      </c>
      <c r="AI562">
        <v>53</v>
      </c>
      <c r="AM562" s="23">
        <f t="shared" si="16"/>
        <v>149.25</v>
      </c>
      <c r="AN562" s="23">
        <v>398</v>
      </c>
      <c r="AO562" s="24">
        <v>0.2</v>
      </c>
      <c r="AP562" s="23">
        <f t="shared" si="17"/>
        <v>477.59999999999997</v>
      </c>
    </row>
    <row r="563" spans="1:42" ht="15" customHeight="1" x14ac:dyDescent="0.3">
      <c r="A563" t="s">
        <v>1975</v>
      </c>
      <c r="B563" t="s">
        <v>3034</v>
      </c>
      <c r="C563" t="s">
        <v>1977</v>
      </c>
      <c r="D563" s="22" t="s">
        <v>3035</v>
      </c>
      <c r="E563" t="s">
        <v>1979</v>
      </c>
      <c r="F563" t="s">
        <v>1980</v>
      </c>
      <c r="P563" t="s">
        <v>1830</v>
      </c>
      <c r="Q563" t="s">
        <v>1981</v>
      </c>
      <c r="R563" t="s">
        <v>1988</v>
      </c>
      <c r="S563" t="s">
        <v>1894</v>
      </c>
      <c r="T563" s="22" t="s">
        <v>1877</v>
      </c>
      <c r="V563">
        <v>1</v>
      </c>
      <c r="AE563" t="s">
        <v>56</v>
      </c>
      <c r="AF563" t="s">
        <v>57</v>
      </c>
      <c r="AH563">
        <v>58</v>
      </c>
      <c r="AI563">
        <v>58</v>
      </c>
      <c r="AM563" s="23">
        <f t="shared" si="16"/>
        <v>164.25</v>
      </c>
      <c r="AN563" s="23">
        <v>438</v>
      </c>
      <c r="AO563" s="24">
        <v>0.2</v>
      </c>
      <c r="AP563" s="23">
        <f t="shared" si="17"/>
        <v>525.6</v>
      </c>
    </row>
    <row r="564" spans="1:42" ht="15" customHeight="1" x14ac:dyDescent="0.3">
      <c r="A564" t="s">
        <v>1975</v>
      </c>
      <c r="B564" t="s">
        <v>3036</v>
      </c>
      <c r="C564" t="s">
        <v>1977</v>
      </c>
      <c r="D564" s="22" t="s">
        <v>3037</v>
      </c>
      <c r="E564" t="s">
        <v>1979</v>
      </c>
      <c r="F564" t="s">
        <v>1980</v>
      </c>
      <c r="P564" t="s">
        <v>1830</v>
      </c>
      <c r="Q564" t="s">
        <v>1981</v>
      </c>
      <c r="R564" t="s">
        <v>1991</v>
      </c>
      <c r="S564" t="s">
        <v>1894</v>
      </c>
      <c r="T564" s="22" t="s">
        <v>1877</v>
      </c>
      <c r="V564">
        <v>1</v>
      </c>
      <c r="AE564" t="s">
        <v>56</v>
      </c>
      <c r="AF564" t="s">
        <v>57</v>
      </c>
      <c r="AH564">
        <v>63</v>
      </c>
      <c r="AI564">
        <v>63</v>
      </c>
      <c r="AM564" s="23">
        <f t="shared" si="16"/>
        <v>175.875</v>
      </c>
      <c r="AN564" s="23">
        <v>469</v>
      </c>
      <c r="AO564" s="24">
        <v>0.2</v>
      </c>
      <c r="AP564" s="23">
        <f t="shared" si="17"/>
        <v>562.79999999999995</v>
      </c>
    </row>
    <row r="565" spans="1:42" ht="15" customHeight="1" x14ac:dyDescent="0.3">
      <c r="A565" t="s">
        <v>1975</v>
      </c>
      <c r="B565" t="s">
        <v>3038</v>
      </c>
      <c r="C565" t="s">
        <v>1977</v>
      </c>
      <c r="D565" s="22" t="s">
        <v>3039</v>
      </c>
      <c r="E565" t="s">
        <v>1979</v>
      </c>
      <c r="F565" t="s">
        <v>1980</v>
      </c>
      <c r="P565" t="s">
        <v>1830</v>
      </c>
      <c r="Q565" t="s">
        <v>1981</v>
      </c>
      <c r="R565" t="s">
        <v>1994</v>
      </c>
      <c r="S565" t="s">
        <v>1894</v>
      </c>
      <c r="T565" s="22" t="s">
        <v>1877</v>
      </c>
      <c r="V565">
        <v>1</v>
      </c>
      <c r="AE565" t="s">
        <v>56</v>
      </c>
      <c r="AF565" t="s">
        <v>57</v>
      </c>
      <c r="AH565">
        <v>68</v>
      </c>
      <c r="AI565">
        <v>68</v>
      </c>
      <c r="AM565" s="23">
        <f t="shared" si="16"/>
        <v>190.5</v>
      </c>
      <c r="AN565" s="23">
        <v>508</v>
      </c>
      <c r="AO565" s="24">
        <v>0.2</v>
      </c>
      <c r="AP565" s="23">
        <f t="shared" si="17"/>
        <v>609.6</v>
      </c>
    </row>
    <row r="566" spans="1:42" ht="15" customHeight="1" x14ac:dyDescent="0.3">
      <c r="A566" t="s">
        <v>1975</v>
      </c>
      <c r="B566" t="s">
        <v>3040</v>
      </c>
      <c r="C566" t="s">
        <v>1977</v>
      </c>
      <c r="D566" s="22" t="s">
        <v>3041</v>
      </c>
      <c r="E566" t="s">
        <v>1979</v>
      </c>
      <c r="F566" t="s">
        <v>1980</v>
      </c>
      <c r="P566" t="s">
        <v>1830</v>
      </c>
      <c r="Q566" t="s">
        <v>1981</v>
      </c>
      <c r="R566" t="s">
        <v>1997</v>
      </c>
      <c r="S566" t="s">
        <v>1894</v>
      </c>
      <c r="T566" s="22" t="s">
        <v>1877</v>
      </c>
      <c r="V566">
        <v>1</v>
      </c>
      <c r="AE566" t="s">
        <v>56</v>
      </c>
      <c r="AF566" t="s">
        <v>57</v>
      </c>
      <c r="AH566">
        <v>72</v>
      </c>
      <c r="AI566">
        <v>72</v>
      </c>
      <c r="AM566" s="23">
        <f t="shared" si="16"/>
        <v>202.875</v>
      </c>
      <c r="AN566" s="23">
        <v>541</v>
      </c>
      <c r="AO566" s="24">
        <v>0.2</v>
      </c>
      <c r="AP566" s="23">
        <f t="shared" si="17"/>
        <v>649.19999999999993</v>
      </c>
    </row>
    <row r="567" spans="1:42" ht="15" customHeight="1" x14ac:dyDescent="0.3">
      <c r="A567" t="s">
        <v>1975</v>
      </c>
      <c r="B567" t="s">
        <v>3042</v>
      </c>
      <c r="C567" t="s">
        <v>1977</v>
      </c>
      <c r="D567" s="22" t="s">
        <v>3043</v>
      </c>
      <c r="E567" t="s">
        <v>1979</v>
      </c>
      <c r="F567" t="s">
        <v>1980</v>
      </c>
      <c r="P567" t="s">
        <v>1830</v>
      </c>
      <c r="Q567" t="s">
        <v>1981</v>
      </c>
      <c r="R567" t="s">
        <v>2000</v>
      </c>
      <c r="S567" t="s">
        <v>1894</v>
      </c>
      <c r="T567" s="22" t="s">
        <v>1877</v>
      </c>
      <c r="V567">
        <v>1</v>
      </c>
      <c r="AE567" t="s">
        <v>56</v>
      </c>
      <c r="AF567" t="s">
        <v>57</v>
      </c>
      <c r="AH567">
        <v>77</v>
      </c>
      <c r="AI567">
        <v>77</v>
      </c>
      <c r="AM567" s="23">
        <f t="shared" si="16"/>
        <v>215.25</v>
      </c>
      <c r="AN567" s="23">
        <v>574</v>
      </c>
      <c r="AO567" s="24">
        <v>0.2</v>
      </c>
      <c r="AP567" s="23">
        <f t="shared" si="17"/>
        <v>688.8</v>
      </c>
    </row>
    <row r="568" spans="1:42" ht="15" customHeight="1" x14ac:dyDescent="0.3">
      <c r="A568" t="s">
        <v>1975</v>
      </c>
      <c r="B568" t="s">
        <v>3044</v>
      </c>
      <c r="C568" t="s">
        <v>1977</v>
      </c>
      <c r="D568" s="22" t="s">
        <v>3045</v>
      </c>
      <c r="E568" t="s">
        <v>1979</v>
      </c>
      <c r="F568" t="s">
        <v>1980</v>
      </c>
      <c r="P568" t="s">
        <v>1830</v>
      </c>
      <c r="Q568" t="s">
        <v>1981</v>
      </c>
      <c r="R568" t="s">
        <v>2003</v>
      </c>
      <c r="S568" t="s">
        <v>1894</v>
      </c>
      <c r="T568" s="22" t="s">
        <v>1877</v>
      </c>
      <c r="V568">
        <v>1</v>
      </c>
      <c r="AE568" t="s">
        <v>56</v>
      </c>
      <c r="AF568" t="s">
        <v>57</v>
      </c>
      <c r="AH568">
        <v>82</v>
      </c>
      <c r="AI568">
        <v>82</v>
      </c>
      <c r="AM568" s="23">
        <f t="shared" si="16"/>
        <v>226.5</v>
      </c>
      <c r="AN568" s="23">
        <v>604</v>
      </c>
      <c r="AO568" s="24">
        <v>0.2</v>
      </c>
      <c r="AP568" s="23">
        <f t="shared" si="17"/>
        <v>724.8</v>
      </c>
    </row>
    <row r="569" spans="1:42" ht="15" customHeight="1" x14ac:dyDescent="0.3">
      <c r="A569" t="s">
        <v>1975</v>
      </c>
      <c r="B569" t="s">
        <v>3046</v>
      </c>
      <c r="C569" t="s">
        <v>1977</v>
      </c>
      <c r="D569" s="22" t="s">
        <v>3047</v>
      </c>
      <c r="E569" t="s">
        <v>1979</v>
      </c>
      <c r="F569" t="s">
        <v>1980</v>
      </c>
      <c r="P569" t="s">
        <v>1830</v>
      </c>
      <c r="Q569" t="s">
        <v>1981</v>
      </c>
      <c r="R569" t="s">
        <v>2006</v>
      </c>
      <c r="S569" t="s">
        <v>1894</v>
      </c>
      <c r="T569" s="22" t="s">
        <v>1877</v>
      </c>
      <c r="V569">
        <v>1</v>
      </c>
      <c r="AE569" t="s">
        <v>56</v>
      </c>
      <c r="AF569" t="s">
        <v>57</v>
      </c>
      <c r="AH569">
        <v>87</v>
      </c>
      <c r="AI569">
        <v>87</v>
      </c>
      <c r="AM569" s="23">
        <f t="shared" si="16"/>
        <v>242.25</v>
      </c>
      <c r="AN569" s="23">
        <v>646</v>
      </c>
      <c r="AO569" s="24">
        <v>0.2</v>
      </c>
      <c r="AP569" s="23">
        <f t="shared" si="17"/>
        <v>775.19999999999993</v>
      </c>
    </row>
    <row r="570" spans="1:42" ht="15" customHeight="1" x14ac:dyDescent="0.3">
      <c r="A570" t="s">
        <v>1975</v>
      </c>
      <c r="B570" t="s">
        <v>3048</v>
      </c>
      <c r="C570" t="s">
        <v>1977</v>
      </c>
      <c r="D570" s="22" t="s">
        <v>3049</v>
      </c>
      <c r="E570" t="s">
        <v>1979</v>
      </c>
      <c r="F570" t="s">
        <v>1980</v>
      </c>
      <c r="P570" t="s">
        <v>1830</v>
      </c>
      <c r="Q570" t="s">
        <v>1981</v>
      </c>
      <c r="R570" t="s">
        <v>2009</v>
      </c>
      <c r="S570" t="s">
        <v>1894</v>
      </c>
      <c r="T570" s="22" t="s">
        <v>1877</v>
      </c>
      <c r="V570">
        <v>1</v>
      </c>
      <c r="AE570" t="s">
        <v>56</v>
      </c>
      <c r="AF570" t="s">
        <v>57</v>
      </c>
      <c r="AH570">
        <v>92</v>
      </c>
      <c r="AI570">
        <v>92</v>
      </c>
      <c r="AM570" s="23">
        <f t="shared" si="16"/>
        <v>253.875</v>
      </c>
      <c r="AN570" s="23">
        <v>677</v>
      </c>
      <c r="AO570" s="24">
        <v>0.2</v>
      </c>
      <c r="AP570" s="23">
        <f t="shared" si="17"/>
        <v>812.4</v>
      </c>
    </row>
    <row r="571" spans="1:42" ht="15" customHeight="1" x14ac:dyDescent="0.3">
      <c r="A571" t="s">
        <v>1975</v>
      </c>
      <c r="B571" t="s">
        <v>3050</v>
      </c>
      <c r="C571" t="s">
        <v>1977</v>
      </c>
      <c r="D571" s="22" t="s">
        <v>3051</v>
      </c>
      <c r="E571" t="s">
        <v>1979</v>
      </c>
      <c r="F571" t="s">
        <v>1980</v>
      </c>
      <c r="P571" t="s">
        <v>1830</v>
      </c>
      <c r="Q571" t="s">
        <v>1981</v>
      </c>
      <c r="R571" t="s">
        <v>2012</v>
      </c>
      <c r="S571" t="s">
        <v>1894</v>
      </c>
      <c r="T571" s="22" t="s">
        <v>1877</v>
      </c>
      <c r="V571">
        <v>1</v>
      </c>
      <c r="AE571" t="s">
        <v>56</v>
      </c>
      <c r="AF571" t="s">
        <v>57</v>
      </c>
      <c r="AH571">
        <v>96</v>
      </c>
      <c r="AI571">
        <v>96</v>
      </c>
      <c r="AM571" s="23">
        <f t="shared" si="16"/>
        <v>266.25</v>
      </c>
      <c r="AN571" s="23">
        <v>710</v>
      </c>
      <c r="AO571" s="24">
        <v>0.2</v>
      </c>
      <c r="AP571" s="23">
        <f t="shared" si="17"/>
        <v>852</v>
      </c>
    </row>
    <row r="572" spans="1:42" ht="15" customHeight="1" x14ac:dyDescent="0.3">
      <c r="A572" t="s">
        <v>1975</v>
      </c>
      <c r="B572" t="s">
        <v>3052</v>
      </c>
      <c r="C572" t="s">
        <v>1977</v>
      </c>
      <c r="D572" s="22" t="s">
        <v>3053</v>
      </c>
      <c r="E572" t="s">
        <v>1979</v>
      </c>
      <c r="F572" t="s">
        <v>1980</v>
      </c>
      <c r="P572" t="s">
        <v>1830</v>
      </c>
      <c r="Q572" t="s">
        <v>1981</v>
      </c>
      <c r="R572" t="s">
        <v>2015</v>
      </c>
      <c r="S572" t="s">
        <v>1894</v>
      </c>
      <c r="T572" s="22" t="s">
        <v>1877</v>
      </c>
      <c r="V572">
        <v>1</v>
      </c>
      <c r="AE572" t="s">
        <v>56</v>
      </c>
      <c r="AF572" t="s">
        <v>57</v>
      </c>
      <c r="AH572">
        <v>34</v>
      </c>
      <c r="AI572">
        <v>34</v>
      </c>
      <c r="AM572" s="23">
        <f t="shared" si="16"/>
        <v>108</v>
      </c>
      <c r="AN572" s="23">
        <v>288</v>
      </c>
      <c r="AO572" s="24">
        <v>0.2</v>
      </c>
      <c r="AP572" s="23">
        <f t="shared" si="17"/>
        <v>345.59999999999997</v>
      </c>
    </row>
    <row r="573" spans="1:42" ht="15" customHeight="1" x14ac:dyDescent="0.3">
      <c r="A573" t="s">
        <v>1975</v>
      </c>
      <c r="B573" t="s">
        <v>3054</v>
      </c>
      <c r="C573" t="s">
        <v>1977</v>
      </c>
      <c r="D573" s="22" t="s">
        <v>3055</v>
      </c>
      <c r="E573" t="s">
        <v>1979</v>
      </c>
      <c r="F573" t="s">
        <v>1980</v>
      </c>
      <c r="P573" t="s">
        <v>1830</v>
      </c>
      <c r="Q573" t="s">
        <v>1981</v>
      </c>
      <c r="R573" t="s">
        <v>2018</v>
      </c>
      <c r="S573" t="s">
        <v>1894</v>
      </c>
      <c r="T573" s="22" t="s">
        <v>1877</v>
      </c>
      <c r="V573">
        <v>1</v>
      </c>
      <c r="AE573" t="s">
        <v>56</v>
      </c>
      <c r="AF573" t="s">
        <v>57</v>
      </c>
      <c r="AH573">
        <v>37</v>
      </c>
      <c r="AI573">
        <v>37</v>
      </c>
      <c r="AM573" s="23">
        <f t="shared" si="16"/>
        <v>126.75</v>
      </c>
      <c r="AN573" s="23">
        <v>338</v>
      </c>
      <c r="AO573" s="24">
        <v>0.2</v>
      </c>
      <c r="AP573" s="23">
        <f t="shared" si="17"/>
        <v>405.59999999999997</v>
      </c>
    </row>
    <row r="574" spans="1:42" ht="15" customHeight="1" x14ac:dyDescent="0.3">
      <c r="A574" t="s">
        <v>1975</v>
      </c>
      <c r="B574" t="s">
        <v>3056</v>
      </c>
      <c r="C574" t="s">
        <v>1977</v>
      </c>
      <c r="D574" s="22" t="s">
        <v>3057</v>
      </c>
      <c r="E574" t="s">
        <v>1979</v>
      </c>
      <c r="F574" t="s">
        <v>1980</v>
      </c>
      <c r="P574" t="s">
        <v>1830</v>
      </c>
      <c r="Q574" t="s">
        <v>1981</v>
      </c>
      <c r="R574" t="s">
        <v>2021</v>
      </c>
      <c r="S574" t="s">
        <v>1894</v>
      </c>
      <c r="T574" s="22" t="s">
        <v>1877</v>
      </c>
      <c r="V574">
        <v>1</v>
      </c>
      <c r="AE574" t="s">
        <v>56</v>
      </c>
      <c r="AF574" t="s">
        <v>57</v>
      </c>
      <c r="AH574">
        <v>41</v>
      </c>
      <c r="AI574">
        <v>41</v>
      </c>
      <c r="AM574" s="23">
        <f t="shared" si="16"/>
        <v>129.375</v>
      </c>
      <c r="AN574" s="23">
        <v>345</v>
      </c>
      <c r="AO574" s="24">
        <v>0.2</v>
      </c>
      <c r="AP574" s="23">
        <f t="shared" si="17"/>
        <v>414</v>
      </c>
    </row>
    <row r="575" spans="1:42" ht="15" customHeight="1" x14ac:dyDescent="0.3">
      <c r="A575" t="s">
        <v>1975</v>
      </c>
      <c r="B575" t="s">
        <v>3058</v>
      </c>
      <c r="C575" t="s">
        <v>1977</v>
      </c>
      <c r="D575" s="22" t="s">
        <v>3059</v>
      </c>
      <c r="E575" t="s">
        <v>1979</v>
      </c>
      <c r="F575" t="s">
        <v>1980</v>
      </c>
      <c r="P575" t="s">
        <v>1830</v>
      </c>
      <c r="Q575" t="s">
        <v>1981</v>
      </c>
      <c r="R575" t="s">
        <v>2024</v>
      </c>
      <c r="S575" t="s">
        <v>1894</v>
      </c>
      <c r="T575" s="22" t="s">
        <v>1877</v>
      </c>
      <c r="V575">
        <v>1</v>
      </c>
      <c r="AE575" t="s">
        <v>56</v>
      </c>
      <c r="AF575" t="s">
        <v>57</v>
      </c>
      <c r="AH575">
        <v>44</v>
      </c>
      <c r="AI575">
        <v>44</v>
      </c>
      <c r="AM575" s="23">
        <f t="shared" si="16"/>
        <v>139.875</v>
      </c>
      <c r="AN575" s="23">
        <v>373</v>
      </c>
      <c r="AO575" s="24">
        <v>0.2</v>
      </c>
      <c r="AP575" s="23">
        <f t="shared" si="17"/>
        <v>447.59999999999997</v>
      </c>
    </row>
    <row r="576" spans="1:42" ht="15" customHeight="1" x14ac:dyDescent="0.3">
      <c r="A576" t="s">
        <v>1975</v>
      </c>
      <c r="B576" t="s">
        <v>3060</v>
      </c>
      <c r="C576" t="s">
        <v>1977</v>
      </c>
      <c r="D576" s="22" t="s">
        <v>3061</v>
      </c>
      <c r="E576" t="s">
        <v>1979</v>
      </c>
      <c r="F576" t="s">
        <v>1980</v>
      </c>
      <c r="P576" t="s">
        <v>1830</v>
      </c>
      <c r="Q576" t="s">
        <v>1981</v>
      </c>
      <c r="R576" t="s">
        <v>2027</v>
      </c>
      <c r="S576" t="s">
        <v>1894</v>
      </c>
      <c r="T576" s="22" t="s">
        <v>1877</v>
      </c>
      <c r="V576">
        <v>1</v>
      </c>
      <c r="AE576" t="s">
        <v>56</v>
      </c>
      <c r="AF576" t="s">
        <v>57</v>
      </c>
      <c r="AH576">
        <v>48</v>
      </c>
      <c r="AI576">
        <v>48</v>
      </c>
      <c r="AM576" s="23">
        <f t="shared" si="16"/>
        <v>139.875</v>
      </c>
      <c r="AN576" s="23">
        <v>373</v>
      </c>
      <c r="AO576" s="24">
        <v>0.2</v>
      </c>
      <c r="AP576" s="23">
        <f t="shared" si="17"/>
        <v>447.59999999999997</v>
      </c>
    </row>
    <row r="577" spans="1:42" ht="15" customHeight="1" x14ac:dyDescent="0.3">
      <c r="A577" t="s">
        <v>1975</v>
      </c>
      <c r="B577" t="s">
        <v>3062</v>
      </c>
      <c r="C577" t="s">
        <v>1977</v>
      </c>
      <c r="D577" s="22" t="s">
        <v>3063</v>
      </c>
      <c r="E577" t="s">
        <v>1979</v>
      </c>
      <c r="F577" t="s">
        <v>1980</v>
      </c>
      <c r="P577" t="s">
        <v>1830</v>
      </c>
      <c r="Q577" t="s">
        <v>1981</v>
      </c>
      <c r="R577" t="s">
        <v>2030</v>
      </c>
      <c r="S577" t="s">
        <v>1894</v>
      </c>
      <c r="T577" s="22" t="s">
        <v>1877</v>
      </c>
      <c r="V577">
        <v>1</v>
      </c>
      <c r="AE577" t="s">
        <v>56</v>
      </c>
      <c r="AF577" t="s">
        <v>57</v>
      </c>
      <c r="AH577">
        <v>51</v>
      </c>
      <c r="AI577">
        <v>51</v>
      </c>
      <c r="AM577" s="23">
        <f t="shared" si="16"/>
        <v>148.125</v>
      </c>
      <c r="AN577" s="23">
        <v>395</v>
      </c>
      <c r="AO577" s="24">
        <v>0.2</v>
      </c>
      <c r="AP577" s="23">
        <f t="shared" si="17"/>
        <v>474</v>
      </c>
    </row>
    <row r="578" spans="1:42" ht="15" customHeight="1" x14ac:dyDescent="0.3">
      <c r="A578" t="s">
        <v>1975</v>
      </c>
      <c r="B578" t="s">
        <v>3064</v>
      </c>
      <c r="C578" t="s">
        <v>1977</v>
      </c>
      <c r="D578" s="22" t="s">
        <v>3065</v>
      </c>
      <c r="E578" t="s">
        <v>1979</v>
      </c>
      <c r="F578" t="s">
        <v>1980</v>
      </c>
      <c r="P578" t="s">
        <v>1830</v>
      </c>
      <c r="Q578" t="s">
        <v>1981</v>
      </c>
      <c r="R578" t="s">
        <v>2033</v>
      </c>
      <c r="S578" t="s">
        <v>1894</v>
      </c>
      <c r="T578" s="22" t="s">
        <v>1877</v>
      </c>
      <c r="V578">
        <v>1</v>
      </c>
      <c r="AE578" t="s">
        <v>56</v>
      </c>
      <c r="AF578" t="s">
        <v>57</v>
      </c>
      <c r="AH578">
        <v>54</v>
      </c>
      <c r="AI578">
        <v>54</v>
      </c>
      <c r="AM578" s="23">
        <f t="shared" ref="AM578:AM641" si="18">AN578*0.5*0.75</f>
        <v>156.75</v>
      </c>
      <c r="AN578" s="23">
        <v>418</v>
      </c>
      <c r="AO578" s="24">
        <v>0.2</v>
      </c>
      <c r="AP578" s="23">
        <f t="shared" ref="AP578:AP641" si="19">AN578*1.2</f>
        <v>501.59999999999997</v>
      </c>
    </row>
    <row r="579" spans="1:42" ht="15" customHeight="1" x14ac:dyDescent="0.3">
      <c r="A579" t="s">
        <v>1975</v>
      </c>
      <c r="B579" t="s">
        <v>3066</v>
      </c>
      <c r="C579" t="s">
        <v>1977</v>
      </c>
      <c r="D579" s="22" t="s">
        <v>3067</v>
      </c>
      <c r="E579" t="s">
        <v>1979</v>
      </c>
      <c r="F579" t="s">
        <v>1980</v>
      </c>
      <c r="P579" t="s">
        <v>1830</v>
      </c>
      <c r="Q579" t="s">
        <v>1981</v>
      </c>
      <c r="R579" t="s">
        <v>2036</v>
      </c>
      <c r="S579" t="s">
        <v>1894</v>
      </c>
      <c r="T579" s="22" t="s">
        <v>1877</v>
      </c>
      <c r="V579">
        <v>1</v>
      </c>
      <c r="AE579" t="s">
        <v>56</v>
      </c>
      <c r="AF579" t="s">
        <v>57</v>
      </c>
      <c r="AH579">
        <v>58</v>
      </c>
      <c r="AI579">
        <v>58</v>
      </c>
      <c r="AM579" s="23">
        <f t="shared" si="18"/>
        <v>165</v>
      </c>
      <c r="AN579" s="23">
        <v>440</v>
      </c>
      <c r="AO579" s="24">
        <v>0.2</v>
      </c>
      <c r="AP579" s="23">
        <f t="shared" si="19"/>
        <v>528</v>
      </c>
    </row>
    <row r="580" spans="1:42" ht="15" customHeight="1" x14ac:dyDescent="0.3">
      <c r="A580" t="s">
        <v>1975</v>
      </c>
      <c r="B580" t="s">
        <v>3068</v>
      </c>
      <c r="C580" t="s">
        <v>1977</v>
      </c>
      <c r="D580" s="22" t="s">
        <v>3069</v>
      </c>
      <c r="E580" t="s">
        <v>1979</v>
      </c>
      <c r="F580" t="s">
        <v>1980</v>
      </c>
      <c r="P580" t="s">
        <v>1830</v>
      </c>
      <c r="Q580" t="s">
        <v>1981</v>
      </c>
      <c r="R580" t="s">
        <v>2039</v>
      </c>
      <c r="S580" t="s">
        <v>1894</v>
      </c>
      <c r="T580" s="22" t="s">
        <v>1877</v>
      </c>
      <c r="V580">
        <v>1</v>
      </c>
      <c r="AE580" t="s">
        <v>56</v>
      </c>
      <c r="AF580" t="s">
        <v>57</v>
      </c>
      <c r="AH580">
        <v>61</v>
      </c>
      <c r="AI580">
        <v>61</v>
      </c>
      <c r="AM580" s="23">
        <f t="shared" si="18"/>
        <v>175.875</v>
      </c>
      <c r="AN580" s="23">
        <v>469</v>
      </c>
      <c r="AO580" s="24">
        <v>0.2</v>
      </c>
      <c r="AP580" s="23">
        <f t="shared" si="19"/>
        <v>562.79999999999995</v>
      </c>
    </row>
    <row r="581" spans="1:42" ht="15" customHeight="1" x14ac:dyDescent="0.3">
      <c r="A581" t="s">
        <v>1975</v>
      </c>
      <c r="B581" t="s">
        <v>3070</v>
      </c>
      <c r="C581" t="s">
        <v>1977</v>
      </c>
      <c r="D581" s="22" t="s">
        <v>3071</v>
      </c>
      <c r="E581" t="s">
        <v>1979</v>
      </c>
      <c r="F581" t="s">
        <v>1980</v>
      </c>
      <c r="P581" t="s">
        <v>1830</v>
      </c>
      <c r="Q581" t="s">
        <v>1981</v>
      </c>
      <c r="R581" t="s">
        <v>2042</v>
      </c>
      <c r="S581" t="s">
        <v>1894</v>
      </c>
      <c r="T581" s="22" t="s">
        <v>1877</v>
      </c>
      <c r="V581">
        <v>1</v>
      </c>
      <c r="AE581" t="s">
        <v>56</v>
      </c>
      <c r="AF581" t="s">
        <v>57</v>
      </c>
      <c r="AH581">
        <v>64</v>
      </c>
      <c r="AI581">
        <v>64</v>
      </c>
      <c r="AM581" s="23">
        <f t="shared" si="18"/>
        <v>196.125</v>
      </c>
      <c r="AN581" s="23">
        <v>523</v>
      </c>
      <c r="AO581" s="24">
        <v>0.2</v>
      </c>
      <c r="AP581" s="23">
        <f t="shared" si="19"/>
        <v>627.6</v>
      </c>
    </row>
    <row r="582" spans="1:42" ht="15" customHeight="1" x14ac:dyDescent="0.3">
      <c r="A582" t="s">
        <v>1975</v>
      </c>
      <c r="B582" t="s">
        <v>3072</v>
      </c>
      <c r="C582" t="s">
        <v>1977</v>
      </c>
      <c r="D582" s="22" t="s">
        <v>3073</v>
      </c>
      <c r="E582" t="s">
        <v>1979</v>
      </c>
      <c r="F582" t="s">
        <v>1980</v>
      </c>
      <c r="P582" t="s">
        <v>1830</v>
      </c>
      <c r="Q582" t="s">
        <v>1981</v>
      </c>
      <c r="R582" t="s">
        <v>2045</v>
      </c>
      <c r="S582" t="s">
        <v>1894</v>
      </c>
      <c r="T582" s="22" t="s">
        <v>1877</v>
      </c>
      <c r="V582">
        <v>1</v>
      </c>
      <c r="AE582" t="s">
        <v>56</v>
      </c>
      <c r="AF582" t="s">
        <v>57</v>
      </c>
      <c r="AH582">
        <v>68</v>
      </c>
      <c r="AI582">
        <v>68</v>
      </c>
      <c r="AM582" s="23">
        <f t="shared" si="18"/>
        <v>200.625</v>
      </c>
      <c r="AN582" s="23">
        <v>535</v>
      </c>
      <c r="AO582" s="24">
        <v>0.2</v>
      </c>
      <c r="AP582" s="23">
        <f t="shared" si="19"/>
        <v>642</v>
      </c>
    </row>
    <row r="583" spans="1:42" ht="15" customHeight="1" x14ac:dyDescent="0.3">
      <c r="A583" t="s">
        <v>1975</v>
      </c>
      <c r="B583" t="s">
        <v>3074</v>
      </c>
      <c r="C583" t="s">
        <v>1977</v>
      </c>
      <c r="D583" s="22" t="s">
        <v>3075</v>
      </c>
      <c r="E583" t="s">
        <v>1979</v>
      </c>
      <c r="F583" t="s">
        <v>1980</v>
      </c>
      <c r="P583" t="s">
        <v>1830</v>
      </c>
      <c r="Q583" t="s">
        <v>1981</v>
      </c>
      <c r="R583" t="s">
        <v>2048</v>
      </c>
      <c r="S583" t="s">
        <v>1894</v>
      </c>
      <c r="T583" s="22" t="s">
        <v>1877</v>
      </c>
      <c r="V583">
        <v>1</v>
      </c>
      <c r="AE583" t="s">
        <v>56</v>
      </c>
      <c r="AF583" t="s">
        <v>57</v>
      </c>
      <c r="AH583">
        <v>24</v>
      </c>
      <c r="AI583">
        <v>24</v>
      </c>
      <c r="AM583" s="23">
        <f t="shared" si="18"/>
        <v>95.625</v>
      </c>
      <c r="AN583" s="23">
        <v>255</v>
      </c>
      <c r="AO583" s="24">
        <v>0.2</v>
      </c>
      <c r="AP583" s="23">
        <f t="shared" si="19"/>
        <v>306</v>
      </c>
    </row>
    <row r="584" spans="1:42" ht="15" customHeight="1" x14ac:dyDescent="0.3">
      <c r="A584" t="s">
        <v>1975</v>
      </c>
      <c r="B584" t="s">
        <v>3076</v>
      </c>
      <c r="C584" t="s">
        <v>1977</v>
      </c>
      <c r="D584" s="22" t="s">
        <v>3077</v>
      </c>
      <c r="E584" t="s">
        <v>1979</v>
      </c>
      <c r="F584" t="s">
        <v>1980</v>
      </c>
      <c r="P584" t="s">
        <v>1830</v>
      </c>
      <c r="Q584" t="s">
        <v>1981</v>
      </c>
      <c r="R584" t="s">
        <v>2051</v>
      </c>
      <c r="S584" t="s">
        <v>1894</v>
      </c>
      <c r="T584" s="22" t="s">
        <v>1877</v>
      </c>
      <c r="V584">
        <v>1</v>
      </c>
      <c r="AE584" t="s">
        <v>56</v>
      </c>
      <c r="AF584" t="s">
        <v>57</v>
      </c>
      <c r="AH584">
        <v>27</v>
      </c>
      <c r="AI584">
        <v>27</v>
      </c>
      <c r="AM584" s="23">
        <f t="shared" si="18"/>
        <v>100.5</v>
      </c>
      <c r="AN584" s="23">
        <v>268</v>
      </c>
      <c r="AO584" s="24">
        <v>0.2</v>
      </c>
      <c r="AP584" s="23">
        <f t="shared" si="19"/>
        <v>321.59999999999997</v>
      </c>
    </row>
    <row r="585" spans="1:42" ht="15" customHeight="1" x14ac:dyDescent="0.3">
      <c r="A585" t="s">
        <v>1975</v>
      </c>
      <c r="B585" t="s">
        <v>3078</v>
      </c>
      <c r="C585" t="s">
        <v>1977</v>
      </c>
      <c r="D585" s="22" t="s">
        <v>3079</v>
      </c>
      <c r="E585" t="s">
        <v>1979</v>
      </c>
      <c r="F585" t="s">
        <v>1980</v>
      </c>
      <c r="P585" t="s">
        <v>1830</v>
      </c>
      <c r="Q585" t="s">
        <v>1981</v>
      </c>
      <c r="R585" t="s">
        <v>2054</v>
      </c>
      <c r="S585" t="s">
        <v>1894</v>
      </c>
      <c r="T585" s="22" t="s">
        <v>1877</v>
      </c>
      <c r="V585">
        <v>1</v>
      </c>
      <c r="AE585" t="s">
        <v>56</v>
      </c>
      <c r="AF585" t="s">
        <v>57</v>
      </c>
      <c r="AH585">
        <v>31</v>
      </c>
      <c r="AI585">
        <v>31</v>
      </c>
      <c r="AM585" s="23">
        <f t="shared" si="18"/>
        <v>104.25</v>
      </c>
      <c r="AN585" s="23">
        <v>278</v>
      </c>
      <c r="AO585" s="24">
        <v>0.2</v>
      </c>
      <c r="AP585" s="23">
        <f t="shared" si="19"/>
        <v>333.59999999999997</v>
      </c>
    </row>
    <row r="586" spans="1:42" ht="15" customHeight="1" x14ac:dyDescent="0.3">
      <c r="A586" t="s">
        <v>1975</v>
      </c>
      <c r="B586" t="s">
        <v>3080</v>
      </c>
      <c r="C586" t="s">
        <v>1977</v>
      </c>
      <c r="D586" s="22" t="s">
        <v>3081</v>
      </c>
      <c r="E586" t="s">
        <v>1979</v>
      </c>
      <c r="F586" t="s">
        <v>1980</v>
      </c>
      <c r="P586" t="s">
        <v>1830</v>
      </c>
      <c r="Q586" t="s">
        <v>1981</v>
      </c>
      <c r="R586" t="s">
        <v>2057</v>
      </c>
      <c r="S586" t="s">
        <v>1894</v>
      </c>
      <c r="T586" s="22" t="s">
        <v>1877</v>
      </c>
      <c r="V586">
        <v>1</v>
      </c>
      <c r="AE586" t="s">
        <v>56</v>
      </c>
      <c r="AF586" t="s">
        <v>57</v>
      </c>
      <c r="AH586">
        <v>39</v>
      </c>
      <c r="AI586">
        <v>39</v>
      </c>
      <c r="AM586" s="23">
        <f t="shared" si="18"/>
        <v>113.625</v>
      </c>
      <c r="AN586" s="23">
        <v>303</v>
      </c>
      <c r="AO586" s="24">
        <v>0.2</v>
      </c>
      <c r="AP586" s="23">
        <f t="shared" si="19"/>
        <v>363.59999999999997</v>
      </c>
    </row>
    <row r="587" spans="1:42" ht="15" customHeight="1" x14ac:dyDescent="0.3">
      <c r="A587" t="s">
        <v>1975</v>
      </c>
      <c r="B587" t="s">
        <v>3082</v>
      </c>
      <c r="C587" t="s">
        <v>1977</v>
      </c>
      <c r="D587" s="22" t="s">
        <v>3083</v>
      </c>
      <c r="E587" t="s">
        <v>1979</v>
      </c>
      <c r="F587" t="s">
        <v>1980</v>
      </c>
      <c r="P587" t="s">
        <v>1830</v>
      </c>
      <c r="Q587" t="s">
        <v>1981</v>
      </c>
      <c r="R587" t="s">
        <v>2060</v>
      </c>
      <c r="S587" t="s">
        <v>1894</v>
      </c>
      <c r="T587" s="22" t="s">
        <v>1877</v>
      </c>
      <c r="V587">
        <v>1</v>
      </c>
      <c r="AE587" t="s">
        <v>56</v>
      </c>
      <c r="AF587" t="s">
        <v>57</v>
      </c>
      <c r="AH587">
        <v>43</v>
      </c>
      <c r="AI587">
        <v>43</v>
      </c>
      <c r="AM587" s="23">
        <f t="shared" si="18"/>
        <v>130.5</v>
      </c>
      <c r="AN587" s="23">
        <v>348</v>
      </c>
      <c r="AO587" s="24">
        <v>0.2</v>
      </c>
      <c r="AP587" s="23">
        <f t="shared" si="19"/>
        <v>417.59999999999997</v>
      </c>
    </row>
    <row r="588" spans="1:42" ht="15" customHeight="1" x14ac:dyDescent="0.3">
      <c r="A588" t="s">
        <v>1975</v>
      </c>
      <c r="B588" t="s">
        <v>3084</v>
      </c>
      <c r="C588" t="s">
        <v>1977</v>
      </c>
      <c r="D588" s="22" t="s">
        <v>3085</v>
      </c>
      <c r="E588" t="s">
        <v>1979</v>
      </c>
      <c r="F588" t="s">
        <v>1980</v>
      </c>
      <c r="P588" t="s">
        <v>1830</v>
      </c>
      <c r="Q588" t="s">
        <v>1981</v>
      </c>
      <c r="R588" t="s">
        <v>2063</v>
      </c>
      <c r="S588" t="s">
        <v>1894</v>
      </c>
      <c r="T588" s="22" t="s">
        <v>1877</v>
      </c>
      <c r="V588">
        <v>1</v>
      </c>
      <c r="AE588" t="s">
        <v>56</v>
      </c>
      <c r="AF588" t="s">
        <v>57</v>
      </c>
      <c r="AH588">
        <v>47</v>
      </c>
      <c r="AI588">
        <v>47</v>
      </c>
      <c r="AM588" s="23">
        <f t="shared" si="18"/>
        <v>136.125</v>
      </c>
      <c r="AN588" s="23">
        <v>363</v>
      </c>
      <c r="AO588" s="24">
        <v>0.2</v>
      </c>
      <c r="AP588" s="23">
        <f t="shared" si="19"/>
        <v>435.59999999999997</v>
      </c>
    </row>
    <row r="589" spans="1:42" ht="15" customHeight="1" x14ac:dyDescent="0.3">
      <c r="A589" t="s">
        <v>1975</v>
      </c>
      <c r="B589" t="s">
        <v>3086</v>
      </c>
      <c r="C589" t="s">
        <v>1977</v>
      </c>
      <c r="D589" s="22" t="s">
        <v>3087</v>
      </c>
      <c r="E589" t="s">
        <v>1979</v>
      </c>
      <c r="F589" t="s">
        <v>1980</v>
      </c>
      <c r="P589" t="s">
        <v>1830</v>
      </c>
      <c r="Q589" t="s">
        <v>1981</v>
      </c>
      <c r="R589" t="s">
        <v>2066</v>
      </c>
      <c r="S589" t="s">
        <v>1894</v>
      </c>
      <c r="T589" s="22" t="s">
        <v>1877</v>
      </c>
      <c r="V589">
        <v>1</v>
      </c>
      <c r="AE589" t="s">
        <v>56</v>
      </c>
      <c r="AF589" t="s">
        <v>57</v>
      </c>
      <c r="AH589">
        <v>50</v>
      </c>
      <c r="AI589">
        <v>50</v>
      </c>
      <c r="AM589" s="23">
        <f t="shared" si="18"/>
        <v>153.75</v>
      </c>
      <c r="AN589" s="23">
        <v>410</v>
      </c>
      <c r="AO589" s="24">
        <v>0.2</v>
      </c>
      <c r="AP589" s="23">
        <f t="shared" si="19"/>
        <v>492</v>
      </c>
    </row>
    <row r="590" spans="1:42" ht="15" customHeight="1" x14ac:dyDescent="0.3">
      <c r="A590" t="s">
        <v>1975</v>
      </c>
      <c r="B590" t="s">
        <v>3088</v>
      </c>
      <c r="C590" t="s">
        <v>1977</v>
      </c>
      <c r="D590" s="22" t="s">
        <v>3089</v>
      </c>
      <c r="E590" t="s">
        <v>1979</v>
      </c>
      <c r="F590" t="s">
        <v>1980</v>
      </c>
      <c r="P590" t="s">
        <v>1830</v>
      </c>
      <c r="Q590" t="s">
        <v>1981</v>
      </c>
      <c r="R590" t="s">
        <v>2069</v>
      </c>
      <c r="S590" t="s">
        <v>1894</v>
      </c>
      <c r="T590" s="22" t="s">
        <v>1877</v>
      </c>
      <c r="V590">
        <v>1</v>
      </c>
      <c r="AE590" t="s">
        <v>56</v>
      </c>
      <c r="AF590" t="s">
        <v>57</v>
      </c>
      <c r="AH590">
        <v>54</v>
      </c>
      <c r="AI590">
        <v>54</v>
      </c>
      <c r="AM590" s="23">
        <f t="shared" si="18"/>
        <v>156.75</v>
      </c>
      <c r="AN590" s="23">
        <v>418</v>
      </c>
      <c r="AO590" s="24">
        <v>0.2</v>
      </c>
      <c r="AP590" s="23">
        <f t="shared" si="19"/>
        <v>501.59999999999997</v>
      </c>
    </row>
    <row r="591" spans="1:42" ht="15" customHeight="1" x14ac:dyDescent="0.3">
      <c r="A591" t="s">
        <v>1975</v>
      </c>
      <c r="B591" t="s">
        <v>3090</v>
      </c>
      <c r="C591" t="s">
        <v>1977</v>
      </c>
      <c r="D591" s="22" t="s">
        <v>3091</v>
      </c>
      <c r="E591" t="s">
        <v>1979</v>
      </c>
      <c r="F591" t="s">
        <v>1980</v>
      </c>
      <c r="P591" t="s">
        <v>1830</v>
      </c>
      <c r="Q591" t="s">
        <v>1981</v>
      </c>
      <c r="R591" t="s">
        <v>2072</v>
      </c>
      <c r="S591" t="s">
        <v>1894</v>
      </c>
      <c r="T591" s="22" t="s">
        <v>1877</v>
      </c>
      <c r="V591">
        <v>1</v>
      </c>
      <c r="AE591" t="s">
        <v>56</v>
      </c>
      <c r="AF591" t="s">
        <v>57</v>
      </c>
      <c r="AH591">
        <v>58</v>
      </c>
      <c r="AI591">
        <v>58</v>
      </c>
      <c r="AM591" s="23">
        <f t="shared" si="18"/>
        <v>166.5</v>
      </c>
      <c r="AN591" s="23">
        <v>444</v>
      </c>
      <c r="AO591" s="24">
        <v>0.2</v>
      </c>
      <c r="AP591" s="23">
        <f t="shared" si="19"/>
        <v>532.79999999999995</v>
      </c>
    </row>
    <row r="592" spans="1:42" ht="15" customHeight="1" x14ac:dyDescent="0.3">
      <c r="A592" t="s">
        <v>1975</v>
      </c>
      <c r="B592" t="s">
        <v>3092</v>
      </c>
      <c r="C592" t="s">
        <v>1977</v>
      </c>
      <c r="D592" s="22" t="s">
        <v>3093</v>
      </c>
      <c r="E592" t="s">
        <v>1979</v>
      </c>
      <c r="F592" t="s">
        <v>1980</v>
      </c>
      <c r="P592" t="s">
        <v>1830</v>
      </c>
      <c r="Q592" t="s">
        <v>1981</v>
      </c>
      <c r="R592" t="s">
        <v>2075</v>
      </c>
      <c r="S592" t="s">
        <v>1894</v>
      </c>
      <c r="T592" s="22" t="s">
        <v>1877</v>
      </c>
      <c r="V592">
        <v>1</v>
      </c>
      <c r="AE592" t="s">
        <v>56</v>
      </c>
      <c r="AF592" t="s">
        <v>57</v>
      </c>
      <c r="AH592">
        <v>62</v>
      </c>
      <c r="AI592">
        <v>62</v>
      </c>
      <c r="AM592" s="23">
        <f t="shared" si="18"/>
        <v>175.875</v>
      </c>
      <c r="AN592" s="23">
        <v>469</v>
      </c>
      <c r="AO592" s="24">
        <v>0.2</v>
      </c>
      <c r="AP592" s="23">
        <f t="shared" si="19"/>
        <v>562.79999999999995</v>
      </c>
    </row>
    <row r="593" spans="1:42" ht="15" customHeight="1" x14ac:dyDescent="0.3">
      <c r="A593" t="s">
        <v>1975</v>
      </c>
      <c r="B593" t="s">
        <v>3094</v>
      </c>
      <c r="C593" t="s">
        <v>1977</v>
      </c>
      <c r="D593" s="22" t="s">
        <v>3095</v>
      </c>
      <c r="E593" t="s">
        <v>1979</v>
      </c>
      <c r="F593" t="s">
        <v>1980</v>
      </c>
      <c r="P593" t="s">
        <v>1830</v>
      </c>
      <c r="Q593" t="s">
        <v>1981</v>
      </c>
      <c r="R593" t="s">
        <v>2078</v>
      </c>
      <c r="S593" t="s">
        <v>1894</v>
      </c>
      <c r="T593" s="22" t="s">
        <v>1877</v>
      </c>
      <c r="V593">
        <v>1</v>
      </c>
      <c r="AE593" t="s">
        <v>56</v>
      </c>
      <c r="AF593" t="s">
        <v>57</v>
      </c>
      <c r="AH593">
        <v>66</v>
      </c>
      <c r="AI593">
        <v>66</v>
      </c>
      <c r="AM593" s="23">
        <f t="shared" si="18"/>
        <v>185.625</v>
      </c>
      <c r="AN593" s="23">
        <v>495</v>
      </c>
      <c r="AO593" s="24">
        <v>0.2</v>
      </c>
      <c r="AP593" s="23">
        <f t="shared" si="19"/>
        <v>594</v>
      </c>
    </row>
    <row r="594" spans="1:42" ht="15" customHeight="1" x14ac:dyDescent="0.3">
      <c r="A594" t="s">
        <v>1975</v>
      </c>
      <c r="B594" t="s">
        <v>3096</v>
      </c>
      <c r="C594" t="s">
        <v>1977</v>
      </c>
      <c r="D594" s="22" t="s">
        <v>3097</v>
      </c>
      <c r="E594" t="s">
        <v>1979</v>
      </c>
      <c r="F594" t="s">
        <v>1980</v>
      </c>
      <c r="P594" t="s">
        <v>1830</v>
      </c>
      <c r="Q594" t="s">
        <v>1981</v>
      </c>
      <c r="R594" t="s">
        <v>2081</v>
      </c>
      <c r="S594" t="s">
        <v>1894</v>
      </c>
      <c r="T594" s="22" t="s">
        <v>1877</v>
      </c>
      <c r="V594">
        <v>1</v>
      </c>
      <c r="AE594" t="s">
        <v>56</v>
      </c>
      <c r="AF594" t="s">
        <v>57</v>
      </c>
      <c r="AH594">
        <v>70</v>
      </c>
      <c r="AI594">
        <v>70</v>
      </c>
      <c r="AM594" s="23">
        <f t="shared" si="18"/>
        <v>198</v>
      </c>
      <c r="AN594" s="23">
        <v>528</v>
      </c>
      <c r="AO594" s="24">
        <v>0.2</v>
      </c>
      <c r="AP594" s="23">
        <f t="shared" si="19"/>
        <v>633.6</v>
      </c>
    </row>
    <row r="595" spans="1:42" ht="15" customHeight="1" x14ac:dyDescent="0.3">
      <c r="A595" t="s">
        <v>1975</v>
      </c>
      <c r="B595" t="s">
        <v>3098</v>
      </c>
      <c r="C595" t="s">
        <v>1977</v>
      </c>
      <c r="D595" s="22" t="s">
        <v>3099</v>
      </c>
      <c r="E595" t="s">
        <v>1979</v>
      </c>
      <c r="F595" t="s">
        <v>1980</v>
      </c>
      <c r="P595" t="s">
        <v>1830</v>
      </c>
      <c r="Q595" t="s">
        <v>1981</v>
      </c>
      <c r="R595" t="s">
        <v>2084</v>
      </c>
      <c r="S595" t="s">
        <v>1894</v>
      </c>
      <c r="T595" s="22" t="s">
        <v>1877</v>
      </c>
      <c r="V595">
        <v>1</v>
      </c>
      <c r="AE595" t="s">
        <v>56</v>
      </c>
      <c r="AF595" t="s">
        <v>57</v>
      </c>
      <c r="AH595">
        <v>73</v>
      </c>
      <c r="AI595">
        <v>73</v>
      </c>
      <c r="AM595" s="23">
        <f t="shared" si="18"/>
        <v>219.375</v>
      </c>
      <c r="AN595" s="23">
        <v>585</v>
      </c>
      <c r="AO595" s="24">
        <v>0.2</v>
      </c>
      <c r="AP595" s="23">
        <f t="shared" si="19"/>
        <v>702</v>
      </c>
    </row>
    <row r="596" spans="1:42" ht="15" customHeight="1" x14ac:dyDescent="0.3">
      <c r="A596" t="s">
        <v>1975</v>
      </c>
      <c r="B596" t="s">
        <v>3100</v>
      </c>
      <c r="C596" t="s">
        <v>1977</v>
      </c>
      <c r="D596" s="22" t="s">
        <v>3101</v>
      </c>
      <c r="E596" t="s">
        <v>1979</v>
      </c>
      <c r="F596" t="s">
        <v>1980</v>
      </c>
      <c r="P596" t="s">
        <v>1830</v>
      </c>
      <c r="Q596" t="s">
        <v>1981</v>
      </c>
      <c r="R596" t="s">
        <v>2087</v>
      </c>
      <c r="S596" t="s">
        <v>1894</v>
      </c>
      <c r="T596" s="22" t="s">
        <v>1877</v>
      </c>
      <c r="V596">
        <v>1</v>
      </c>
      <c r="AE596" t="s">
        <v>56</v>
      </c>
      <c r="AF596" t="s">
        <v>57</v>
      </c>
      <c r="AH596">
        <v>77</v>
      </c>
      <c r="AI596">
        <v>77</v>
      </c>
      <c r="AM596" s="23">
        <f t="shared" si="18"/>
        <v>223.125</v>
      </c>
      <c r="AN596" s="23">
        <v>595</v>
      </c>
      <c r="AO596" s="24">
        <v>0.2</v>
      </c>
      <c r="AP596" s="23">
        <f t="shared" si="19"/>
        <v>714</v>
      </c>
    </row>
    <row r="597" spans="1:42" ht="15" customHeight="1" x14ac:dyDescent="0.3">
      <c r="A597" t="s">
        <v>1975</v>
      </c>
      <c r="B597" t="s">
        <v>3102</v>
      </c>
      <c r="C597" t="s">
        <v>1977</v>
      </c>
      <c r="D597" s="22" t="s">
        <v>3103</v>
      </c>
      <c r="E597" t="s">
        <v>1979</v>
      </c>
      <c r="F597" t="s">
        <v>1980</v>
      </c>
      <c r="P597" t="s">
        <v>1830</v>
      </c>
      <c r="Q597" t="s">
        <v>1981</v>
      </c>
      <c r="R597" t="s">
        <v>242</v>
      </c>
      <c r="S597" t="s">
        <v>1894</v>
      </c>
      <c r="T597" s="22" t="s">
        <v>1877</v>
      </c>
      <c r="V597">
        <v>1</v>
      </c>
      <c r="AE597" t="s">
        <v>56</v>
      </c>
      <c r="AF597" t="s">
        <v>57</v>
      </c>
      <c r="AH597">
        <v>31</v>
      </c>
      <c r="AI597">
        <v>31</v>
      </c>
      <c r="AM597" s="23">
        <f t="shared" si="18"/>
        <v>103.125</v>
      </c>
      <c r="AN597" s="23">
        <v>275</v>
      </c>
      <c r="AO597" s="24">
        <v>0.2</v>
      </c>
      <c r="AP597" s="23">
        <f t="shared" si="19"/>
        <v>330</v>
      </c>
    </row>
    <row r="598" spans="1:42" ht="15" customHeight="1" x14ac:dyDescent="0.3">
      <c r="A598" t="s">
        <v>1975</v>
      </c>
      <c r="B598" t="s">
        <v>3104</v>
      </c>
      <c r="C598" t="s">
        <v>1977</v>
      </c>
      <c r="D598" s="22" t="s">
        <v>3105</v>
      </c>
      <c r="E598" t="s">
        <v>1979</v>
      </c>
      <c r="F598" t="s">
        <v>1980</v>
      </c>
      <c r="P598" t="s">
        <v>1830</v>
      </c>
      <c r="Q598" t="s">
        <v>1981</v>
      </c>
      <c r="R598" t="s">
        <v>2092</v>
      </c>
      <c r="S598" t="s">
        <v>1894</v>
      </c>
      <c r="T598" s="22" t="s">
        <v>1877</v>
      </c>
      <c r="V598">
        <v>1</v>
      </c>
      <c r="AE598" t="s">
        <v>56</v>
      </c>
      <c r="AF598" t="s">
        <v>57</v>
      </c>
      <c r="AH598">
        <v>35</v>
      </c>
      <c r="AI598">
        <v>35</v>
      </c>
      <c r="AM598" s="23">
        <f t="shared" si="18"/>
        <v>110.625</v>
      </c>
      <c r="AN598" s="23">
        <v>295</v>
      </c>
      <c r="AO598" s="24">
        <v>0.2</v>
      </c>
      <c r="AP598" s="23">
        <f t="shared" si="19"/>
        <v>354</v>
      </c>
    </row>
    <row r="599" spans="1:42" ht="15" customHeight="1" x14ac:dyDescent="0.3">
      <c r="A599" t="s">
        <v>1975</v>
      </c>
      <c r="B599" t="s">
        <v>3106</v>
      </c>
      <c r="C599" t="s">
        <v>1977</v>
      </c>
      <c r="D599" s="22" t="s">
        <v>3107</v>
      </c>
      <c r="E599" t="s">
        <v>1979</v>
      </c>
      <c r="F599" t="s">
        <v>1980</v>
      </c>
      <c r="P599" t="s">
        <v>1830</v>
      </c>
      <c r="Q599" t="s">
        <v>1981</v>
      </c>
      <c r="R599" t="s">
        <v>2095</v>
      </c>
      <c r="S599" t="s">
        <v>1894</v>
      </c>
      <c r="T599" s="22" t="s">
        <v>1877</v>
      </c>
      <c r="V599">
        <v>1</v>
      </c>
      <c r="AE599" t="s">
        <v>56</v>
      </c>
      <c r="AF599" t="s">
        <v>57</v>
      </c>
      <c r="AH599">
        <v>44</v>
      </c>
      <c r="AI599">
        <v>44</v>
      </c>
      <c r="AM599" s="23">
        <f t="shared" si="18"/>
        <v>126.75</v>
      </c>
      <c r="AN599" s="23">
        <v>338</v>
      </c>
      <c r="AO599" s="24">
        <v>0.2</v>
      </c>
      <c r="AP599" s="23">
        <f t="shared" si="19"/>
        <v>405.59999999999997</v>
      </c>
    </row>
    <row r="600" spans="1:42" ht="15" customHeight="1" x14ac:dyDescent="0.3">
      <c r="A600" t="s">
        <v>1975</v>
      </c>
      <c r="B600" t="s">
        <v>3108</v>
      </c>
      <c r="C600" t="s">
        <v>1977</v>
      </c>
      <c r="D600" s="22" t="s">
        <v>3109</v>
      </c>
      <c r="E600" t="s">
        <v>1979</v>
      </c>
      <c r="F600" t="s">
        <v>1980</v>
      </c>
      <c r="P600" t="s">
        <v>1830</v>
      </c>
      <c r="Q600" t="s">
        <v>1981</v>
      </c>
      <c r="R600" t="s">
        <v>2098</v>
      </c>
      <c r="S600" t="s">
        <v>1894</v>
      </c>
      <c r="T600" s="22" t="s">
        <v>1877</v>
      </c>
      <c r="V600">
        <v>1</v>
      </c>
      <c r="AE600" t="s">
        <v>56</v>
      </c>
      <c r="AF600" t="s">
        <v>57</v>
      </c>
      <c r="AH600">
        <v>48</v>
      </c>
      <c r="AI600">
        <v>48</v>
      </c>
      <c r="AM600" s="23">
        <f t="shared" si="18"/>
        <v>148.125</v>
      </c>
      <c r="AN600" s="23">
        <v>395</v>
      </c>
      <c r="AO600" s="24">
        <v>0.2</v>
      </c>
      <c r="AP600" s="23">
        <f t="shared" si="19"/>
        <v>474</v>
      </c>
    </row>
    <row r="601" spans="1:42" ht="15" customHeight="1" x14ac:dyDescent="0.3">
      <c r="A601" t="s">
        <v>1975</v>
      </c>
      <c r="B601" t="s">
        <v>3110</v>
      </c>
      <c r="C601" t="s">
        <v>1977</v>
      </c>
      <c r="D601" s="22" t="s">
        <v>3111</v>
      </c>
      <c r="E601" t="s">
        <v>1979</v>
      </c>
      <c r="F601" t="s">
        <v>1980</v>
      </c>
      <c r="P601" t="s">
        <v>1830</v>
      </c>
      <c r="Q601" t="s">
        <v>1981</v>
      </c>
      <c r="R601" t="s">
        <v>2101</v>
      </c>
      <c r="S601" t="s">
        <v>1894</v>
      </c>
      <c r="T601" s="22" t="s">
        <v>1877</v>
      </c>
      <c r="V601">
        <v>1</v>
      </c>
      <c r="AE601" t="s">
        <v>56</v>
      </c>
      <c r="AF601" t="s">
        <v>57</v>
      </c>
      <c r="AH601">
        <v>52</v>
      </c>
      <c r="AI601">
        <v>52</v>
      </c>
      <c r="AM601" s="23">
        <f t="shared" si="18"/>
        <v>153</v>
      </c>
      <c r="AN601" s="23">
        <v>408</v>
      </c>
      <c r="AO601" s="24">
        <v>0.2</v>
      </c>
      <c r="AP601" s="23">
        <f t="shared" si="19"/>
        <v>489.59999999999997</v>
      </c>
    </row>
    <row r="602" spans="1:42" ht="15" customHeight="1" x14ac:dyDescent="0.3">
      <c r="A602" t="s">
        <v>1975</v>
      </c>
      <c r="B602" t="s">
        <v>3112</v>
      </c>
      <c r="C602" t="s">
        <v>1977</v>
      </c>
      <c r="D602" s="22" t="s">
        <v>3113</v>
      </c>
      <c r="E602" t="s">
        <v>1979</v>
      </c>
      <c r="F602" t="s">
        <v>1980</v>
      </c>
      <c r="P602" t="s">
        <v>1830</v>
      </c>
      <c r="Q602" t="s">
        <v>1981</v>
      </c>
      <c r="R602" t="s">
        <v>2104</v>
      </c>
      <c r="S602" t="s">
        <v>1894</v>
      </c>
      <c r="T602" s="22" t="s">
        <v>1877</v>
      </c>
      <c r="V602">
        <v>1</v>
      </c>
      <c r="AE602" t="s">
        <v>56</v>
      </c>
      <c r="AF602" t="s">
        <v>57</v>
      </c>
      <c r="AH602">
        <v>57</v>
      </c>
      <c r="AI602">
        <v>57</v>
      </c>
      <c r="AM602" s="23">
        <f t="shared" si="18"/>
        <v>168</v>
      </c>
      <c r="AN602" s="23">
        <v>448</v>
      </c>
      <c r="AO602" s="24">
        <v>0.2</v>
      </c>
      <c r="AP602" s="23">
        <f t="shared" si="19"/>
        <v>537.6</v>
      </c>
    </row>
    <row r="603" spans="1:42" ht="15" customHeight="1" x14ac:dyDescent="0.3">
      <c r="A603" t="s">
        <v>1975</v>
      </c>
      <c r="B603" t="s">
        <v>3114</v>
      </c>
      <c r="C603" t="s">
        <v>1977</v>
      </c>
      <c r="D603" s="22" t="s">
        <v>3115</v>
      </c>
      <c r="E603" t="s">
        <v>1979</v>
      </c>
      <c r="F603" t="s">
        <v>1980</v>
      </c>
      <c r="P603" t="s">
        <v>1830</v>
      </c>
      <c r="Q603" t="s">
        <v>1981</v>
      </c>
      <c r="R603" t="s">
        <v>2107</v>
      </c>
      <c r="S603" t="s">
        <v>1894</v>
      </c>
      <c r="T603" s="22" t="s">
        <v>1877</v>
      </c>
      <c r="V603">
        <v>1</v>
      </c>
      <c r="AE603" t="s">
        <v>56</v>
      </c>
      <c r="AF603" t="s">
        <v>57</v>
      </c>
      <c r="AH603">
        <v>61</v>
      </c>
      <c r="AI603">
        <v>61</v>
      </c>
      <c r="AM603" s="23">
        <f t="shared" si="18"/>
        <v>173.625</v>
      </c>
      <c r="AN603" s="23">
        <v>463</v>
      </c>
      <c r="AO603" s="24">
        <v>0.2</v>
      </c>
      <c r="AP603" s="23">
        <f t="shared" si="19"/>
        <v>555.6</v>
      </c>
    </row>
    <row r="604" spans="1:42" ht="15" customHeight="1" x14ac:dyDescent="0.3">
      <c r="A604" t="s">
        <v>1975</v>
      </c>
      <c r="B604" t="s">
        <v>3116</v>
      </c>
      <c r="C604" t="s">
        <v>1977</v>
      </c>
      <c r="D604" s="22" t="s">
        <v>3117</v>
      </c>
      <c r="E604" t="s">
        <v>1979</v>
      </c>
      <c r="F604" t="s">
        <v>1980</v>
      </c>
      <c r="P604" t="s">
        <v>1830</v>
      </c>
      <c r="Q604" t="s">
        <v>1981</v>
      </c>
      <c r="R604" t="s">
        <v>2110</v>
      </c>
      <c r="S604" t="s">
        <v>1894</v>
      </c>
      <c r="T604" s="22" t="s">
        <v>1877</v>
      </c>
      <c r="V604">
        <v>1</v>
      </c>
      <c r="AE604" t="s">
        <v>56</v>
      </c>
      <c r="AF604" t="s">
        <v>57</v>
      </c>
      <c r="AH604">
        <v>65</v>
      </c>
      <c r="AI604">
        <v>65</v>
      </c>
      <c r="AM604" s="23">
        <f t="shared" si="18"/>
        <v>184.125</v>
      </c>
      <c r="AN604" s="23">
        <v>491</v>
      </c>
      <c r="AO604" s="24">
        <v>0.2</v>
      </c>
      <c r="AP604" s="23">
        <f t="shared" si="19"/>
        <v>589.19999999999993</v>
      </c>
    </row>
    <row r="605" spans="1:42" ht="15" customHeight="1" x14ac:dyDescent="0.3">
      <c r="A605" t="s">
        <v>1975</v>
      </c>
      <c r="B605" t="s">
        <v>3118</v>
      </c>
      <c r="C605" t="s">
        <v>1977</v>
      </c>
      <c r="D605" s="22" t="s">
        <v>3119</v>
      </c>
      <c r="E605" t="s">
        <v>1979</v>
      </c>
      <c r="F605" t="s">
        <v>1980</v>
      </c>
      <c r="P605" t="s">
        <v>1830</v>
      </c>
      <c r="Q605" t="s">
        <v>1981</v>
      </c>
      <c r="R605" t="s">
        <v>2113</v>
      </c>
      <c r="S605" t="s">
        <v>1894</v>
      </c>
      <c r="T605" s="22" t="s">
        <v>1877</v>
      </c>
      <c r="V605">
        <v>1</v>
      </c>
      <c r="AE605" t="s">
        <v>56</v>
      </c>
      <c r="AF605" t="s">
        <v>57</v>
      </c>
      <c r="AH605">
        <v>70</v>
      </c>
      <c r="AI605">
        <v>70</v>
      </c>
      <c r="AM605" s="23">
        <f t="shared" si="18"/>
        <v>194.625</v>
      </c>
      <c r="AN605" s="23">
        <v>519</v>
      </c>
      <c r="AO605" s="24">
        <v>0.2</v>
      </c>
      <c r="AP605" s="23">
        <f t="shared" si="19"/>
        <v>622.79999999999995</v>
      </c>
    </row>
    <row r="606" spans="1:42" ht="15" customHeight="1" x14ac:dyDescent="0.3">
      <c r="A606" t="s">
        <v>1975</v>
      </c>
      <c r="B606" t="s">
        <v>3120</v>
      </c>
      <c r="C606" t="s">
        <v>1977</v>
      </c>
      <c r="D606" s="22" t="s">
        <v>3121</v>
      </c>
      <c r="E606" t="s">
        <v>1979</v>
      </c>
      <c r="F606" t="s">
        <v>1980</v>
      </c>
      <c r="P606" t="s">
        <v>1830</v>
      </c>
      <c r="Q606" t="s">
        <v>1981</v>
      </c>
      <c r="R606" t="s">
        <v>2116</v>
      </c>
      <c r="S606" t="s">
        <v>1894</v>
      </c>
      <c r="T606" s="22" t="s">
        <v>1877</v>
      </c>
      <c r="V606">
        <v>1</v>
      </c>
      <c r="AE606" t="s">
        <v>56</v>
      </c>
      <c r="AF606" t="s">
        <v>57</v>
      </c>
      <c r="AH606">
        <v>74</v>
      </c>
      <c r="AI606">
        <v>74</v>
      </c>
      <c r="AM606" s="23">
        <f t="shared" si="18"/>
        <v>205.5</v>
      </c>
      <c r="AN606" s="23">
        <v>548</v>
      </c>
      <c r="AO606" s="24">
        <v>0.2</v>
      </c>
      <c r="AP606" s="23">
        <f t="shared" si="19"/>
        <v>657.6</v>
      </c>
    </row>
    <row r="607" spans="1:42" ht="15" customHeight="1" x14ac:dyDescent="0.3">
      <c r="A607" t="s">
        <v>1975</v>
      </c>
      <c r="B607" t="s">
        <v>3122</v>
      </c>
      <c r="C607" t="s">
        <v>1977</v>
      </c>
      <c r="D607" s="22" t="s">
        <v>3123</v>
      </c>
      <c r="E607" t="s">
        <v>1979</v>
      </c>
      <c r="F607" t="s">
        <v>1980</v>
      </c>
      <c r="P607" t="s">
        <v>1830</v>
      </c>
      <c r="Q607" t="s">
        <v>1981</v>
      </c>
      <c r="R607" t="s">
        <v>2119</v>
      </c>
      <c r="S607" t="s">
        <v>1894</v>
      </c>
      <c r="T607" s="22" t="s">
        <v>1877</v>
      </c>
      <c r="V607">
        <v>1</v>
      </c>
      <c r="AE607" t="s">
        <v>56</v>
      </c>
      <c r="AF607" t="s">
        <v>57</v>
      </c>
      <c r="AH607">
        <v>78</v>
      </c>
      <c r="AI607">
        <v>78</v>
      </c>
      <c r="AM607" s="23">
        <f t="shared" si="18"/>
        <v>219.375</v>
      </c>
      <c r="AN607" s="23">
        <v>585</v>
      </c>
      <c r="AO607" s="24">
        <v>0.2</v>
      </c>
      <c r="AP607" s="23">
        <f t="shared" si="19"/>
        <v>702</v>
      </c>
    </row>
    <row r="608" spans="1:42" ht="15" customHeight="1" x14ac:dyDescent="0.3">
      <c r="A608" t="s">
        <v>1975</v>
      </c>
      <c r="B608" t="s">
        <v>3124</v>
      </c>
      <c r="C608" t="s">
        <v>1977</v>
      </c>
      <c r="D608" s="22" t="s">
        <v>3125</v>
      </c>
      <c r="E608" t="s">
        <v>1979</v>
      </c>
      <c r="F608" t="s">
        <v>1980</v>
      </c>
      <c r="P608" t="s">
        <v>1830</v>
      </c>
      <c r="Q608" t="s">
        <v>1981</v>
      </c>
      <c r="R608" t="s">
        <v>2122</v>
      </c>
      <c r="S608" t="s">
        <v>1894</v>
      </c>
      <c r="T608" s="22" t="s">
        <v>1877</v>
      </c>
      <c r="V608">
        <v>1</v>
      </c>
      <c r="AE608" t="s">
        <v>56</v>
      </c>
      <c r="AF608" t="s">
        <v>57</v>
      </c>
      <c r="AH608">
        <v>83</v>
      </c>
      <c r="AI608">
        <v>83</v>
      </c>
      <c r="AM608" s="23">
        <f t="shared" si="18"/>
        <v>236.25</v>
      </c>
      <c r="AN608" s="23">
        <v>630</v>
      </c>
      <c r="AO608" s="24">
        <v>0.2</v>
      </c>
      <c r="AP608" s="23">
        <f t="shared" si="19"/>
        <v>756</v>
      </c>
    </row>
    <row r="609" spans="1:42" ht="15" customHeight="1" x14ac:dyDescent="0.3">
      <c r="A609" t="s">
        <v>1975</v>
      </c>
      <c r="B609" t="s">
        <v>3126</v>
      </c>
      <c r="C609" t="s">
        <v>1977</v>
      </c>
      <c r="D609" s="22" t="s">
        <v>3127</v>
      </c>
      <c r="E609" t="s">
        <v>1979</v>
      </c>
      <c r="F609" t="s">
        <v>1980</v>
      </c>
      <c r="P609" t="s">
        <v>1830</v>
      </c>
      <c r="Q609" t="s">
        <v>1981</v>
      </c>
      <c r="R609" t="s">
        <v>2125</v>
      </c>
      <c r="S609" t="s">
        <v>1894</v>
      </c>
      <c r="T609" s="22" t="s">
        <v>1877</v>
      </c>
      <c r="V609">
        <v>1</v>
      </c>
      <c r="AE609" t="s">
        <v>56</v>
      </c>
      <c r="AF609" t="s">
        <v>57</v>
      </c>
      <c r="AH609">
        <v>87</v>
      </c>
      <c r="AI609">
        <v>87</v>
      </c>
      <c r="AM609" s="23">
        <f t="shared" si="18"/>
        <v>241.125</v>
      </c>
      <c r="AN609" s="23">
        <v>643</v>
      </c>
      <c r="AO609" s="24">
        <v>0.2</v>
      </c>
      <c r="AP609" s="23">
        <f t="shared" si="19"/>
        <v>771.6</v>
      </c>
    </row>
    <row r="610" spans="1:42" ht="15" customHeight="1" x14ac:dyDescent="0.3">
      <c r="A610" t="s">
        <v>1975</v>
      </c>
      <c r="B610" t="s">
        <v>3128</v>
      </c>
      <c r="C610" t="s">
        <v>1977</v>
      </c>
      <c r="D610" s="22" t="s">
        <v>3129</v>
      </c>
      <c r="E610" t="s">
        <v>1979</v>
      </c>
      <c r="F610" t="s">
        <v>1980</v>
      </c>
      <c r="P610" t="s">
        <v>1830</v>
      </c>
      <c r="Q610" t="s">
        <v>1981</v>
      </c>
      <c r="R610" t="s">
        <v>2128</v>
      </c>
      <c r="S610" t="s">
        <v>1894</v>
      </c>
      <c r="T610" s="22" t="s">
        <v>1877</v>
      </c>
      <c r="V610">
        <v>1</v>
      </c>
      <c r="AE610" t="s">
        <v>56</v>
      </c>
      <c r="AF610" t="s">
        <v>57</v>
      </c>
      <c r="AH610">
        <v>39</v>
      </c>
      <c r="AI610">
        <v>39</v>
      </c>
      <c r="AM610" s="23">
        <f t="shared" si="18"/>
        <v>114.375</v>
      </c>
      <c r="AN610" s="23">
        <v>305</v>
      </c>
      <c r="AO610" s="24">
        <v>0.2</v>
      </c>
      <c r="AP610" s="23">
        <f t="shared" si="19"/>
        <v>366</v>
      </c>
    </row>
    <row r="611" spans="1:42" ht="15" customHeight="1" x14ac:dyDescent="0.3">
      <c r="A611" t="s">
        <v>1975</v>
      </c>
      <c r="B611" t="s">
        <v>3130</v>
      </c>
      <c r="C611" t="s">
        <v>1977</v>
      </c>
      <c r="D611" s="22" t="s">
        <v>3131</v>
      </c>
      <c r="E611" t="s">
        <v>1979</v>
      </c>
      <c r="F611" t="s">
        <v>1980</v>
      </c>
      <c r="P611" t="s">
        <v>1830</v>
      </c>
      <c r="Q611" t="s">
        <v>1981</v>
      </c>
      <c r="R611" t="s">
        <v>1982</v>
      </c>
      <c r="S611" t="s">
        <v>1894</v>
      </c>
      <c r="T611" t="s">
        <v>1915</v>
      </c>
      <c r="V611">
        <v>1</v>
      </c>
      <c r="AE611" t="s">
        <v>56</v>
      </c>
      <c r="AF611" t="s">
        <v>57</v>
      </c>
      <c r="AH611">
        <v>48</v>
      </c>
      <c r="AI611">
        <v>48</v>
      </c>
      <c r="AM611" s="23">
        <f t="shared" si="18"/>
        <v>137.625</v>
      </c>
      <c r="AN611" s="23">
        <v>367</v>
      </c>
      <c r="AO611" s="24">
        <v>0.2</v>
      </c>
      <c r="AP611" s="23">
        <f t="shared" si="19"/>
        <v>440.4</v>
      </c>
    </row>
    <row r="612" spans="1:42" ht="15" customHeight="1" x14ac:dyDescent="0.3">
      <c r="A612" t="s">
        <v>1975</v>
      </c>
      <c r="B612" t="s">
        <v>3132</v>
      </c>
      <c r="C612" t="s">
        <v>1977</v>
      </c>
      <c r="D612" s="22" t="s">
        <v>3133</v>
      </c>
      <c r="E612" t="s">
        <v>1979</v>
      </c>
      <c r="F612" t="s">
        <v>1980</v>
      </c>
      <c r="P612" t="s">
        <v>1830</v>
      </c>
      <c r="Q612" t="s">
        <v>1981</v>
      </c>
      <c r="R612" t="s">
        <v>1985</v>
      </c>
      <c r="S612" t="s">
        <v>1894</v>
      </c>
      <c r="T612" t="s">
        <v>1915</v>
      </c>
      <c r="V612">
        <v>1</v>
      </c>
      <c r="AE612" t="s">
        <v>56</v>
      </c>
      <c r="AF612" t="s">
        <v>57</v>
      </c>
      <c r="AH612">
        <v>53</v>
      </c>
      <c r="AI612">
        <v>53</v>
      </c>
      <c r="AM612" s="23">
        <f t="shared" si="18"/>
        <v>149.25</v>
      </c>
      <c r="AN612" s="23">
        <v>398</v>
      </c>
      <c r="AO612" s="24">
        <v>0.2</v>
      </c>
      <c r="AP612" s="23">
        <f t="shared" si="19"/>
        <v>477.59999999999997</v>
      </c>
    </row>
    <row r="613" spans="1:42" ht="15" customHeight="1" x14ac:dyDescent="0.3">
      <c r="A613" t="s">
        <v>1975</v>
      </c>
      <c r="B613" t="s">
        <v>3134</v>
      </c>
      <c r="C613" t="s">
        <v>1977</v>
      </c>
      <c r="D613" s="22" t="s">
        <v>3135</v>
      </c>
      <c r="E613" t="s">
        <v>1979</v>
      </c>
      <c r="F613" t="s">
        <v>1980</v>
      </c>
      <c r="P613" t="s">
        <v>1830</v>
      </c>
      <c r="Q613" t="s">
        <v>1981</v>
      </c>
      <c r="R613" t="s">
        <v>1988</v>
      </c>
      <c r="S613" t="s">
        <v>1894</v>
      </c>
      <c r="T613" t="s">
        <v>1915</v>
      </c>
      <c r="V613">
        <v>1</v>
      </c>
      <c r="AE613" t="s">
        <v>56</v>
      </c>
      <c r="AF613" t="s">
        <v>57</v>
      </c>
      <c r="AH613">
        <v>58</v>
      </c>
      <c r="AI613">
        <v>58</v>
      </c>
      <c r="AM613" s="23">
        <f t="shared" si="18"/>
        <v>164.25</v>
      </c>
      <c r="AN613" s="23">
        <v>438</v>
      </c>
      <c r="AO613" s="24">
        <v>0.2</v>
      </c>
      <c r="AP613" s="23">
        <f t="shared" si="19"/>
        <v>525.6</v>
      </c>
    </row>
    <row r="614" spans="1:42" ht="15" customHeight="1" x14ac:dyDescent="0.3">
      <c r="A614" t="s">
        <v>1975</v>
      </c>
      <c r="B614" t="s">
        <v>3136</v>
      </c>
      <c r="C614" t="s">
        <v>1977</v>
      </c>
      <c r="D614" s="22" t="s">
        <v>3137</v>
      </c>
      <c r="E614" t="s">
        <v>1979</v>
      </c>
      <c r="F614" t="s">
        <v>1980</v>
      </c>
      <c r="P614" t="s">
        <v>1830</v>
      </c>
      <c r="Q614" t="s">
        <v>1981</v>
      </c>
      <c r="R614" t="s">
        <v>1991</v>
      </c>
      <c r="S614" t="s">
        <v>1894</v>
      </c>
      <c r="T614" t="s">
        <v>1915</v>
      </c>
      <c r="V614">
        <v>1</v>
      </c>
      <c r="AE614" t="s">
        <v>56</v>
      </c>
      <c r="AF614" t="s">
        <v>57</v>
      </c>
      <c r="AH614">
        <v>63</v>
      </c>
      <c r="AI614">
        <v>63</v>
      </c>
      <c r="AM614" s="23">
        <f t="shared" si="18"/>
        <v>175.875</v>
      </c>
      <c r="AN614" s="23">
        <v>469</v>
      </c>
      <c r="AO614" s="24">
        <v>0.2</v>
      </c>
      <c r="AP614" s="23">
        <f t="shared" si="19"/>
        <v>562.79999999999995</v>
      </c>
    </row>
    <row r="615" spans="1:42" ht="15" customHeight="1" x14ac:dyDescent="0.3">
      <c r="A615" t="s">
        <v>1975</v>
      </c>
      <c r="B615" t="s">
        <v>3138</v>
      </c>
      <c r="C615" t="s">
        <v>1977</v>
      </c>
      <c r="D615" s="22" t="s">
        <v>3139</v>
      </c>
      <c r="E615" t="s">
        <v>1979</v>
      </c>
      <c r="F615" t="s">
        <v>1980</v>
      </c>
      <c r="P615" t="s">
        <v>1830</v>
      </c>
      <c r="Q615" t="s">
        <v>1981</v>
      </c>
      <c r="R615" t="s">
        <v>1994</v>
      </c>
      <c r="S615" t="s">
        <v>1894</v>
      </c>
      <c r="T615" t="s">
        <v>1915</v>
      </c>
      <c r="V615">
        <v>1</v>
      </c>
      <c r="AE615" t="s">
        <v>56</v>
      </c>
      <c r="AF615" t="s">
        <v>57</v>
      </c>
      <c r="AH615">
        <v>68</v>
      </c>
      <c r="AI615">
        <v>68</v>
      </c>
      <c r="AM615" s="23">
        <f t="shared" si="18"/>
        <v>190.5</v>
      </c>
      <c r="AN615" s="23">
        <v>508</v>
      </c>
      <c r="AO615" s="24">
        <v>0.2</v>
      </c>
      <c r="AP615" s="23">
        <f t="shared" si="19"/>
        <v>609.6</v>
      </c>
    </row>
    <row r="616" spans="1:42" ht="15" customHeight="1" x14ac:dyDescent="0.3">
      <c r="A616" t="s">
        <v>1975</v>
      </c>
      <c r="B616" t="s">
        <v>3140</v>
      </c>
      <c r="C616" t="s">
        <v>1977</v>
      </c>
      <c r="D616" s="22" t="s">
        <v>3141</v>
      </c>
      <c r="E616" t="s">
        <v>1979</v>
      </c>
      <c r="F616" t="s">
        <v>1980</v>
      </c>
      <c r="P616" t="s">
        <v>1830</v>
      </c>
      <c r="Q616" t="s">
        <v>1981</v>
      </c>
      <c r="R616" t="s">
        <v>1997</v>
      </c>
      <c r="S616" t="s">
        <v>1894</v>
      </c>
      <c r="T616" t="s">
        <v>1915</v>
      </c>
      <c r="V616">
        <v>1</v>
      </c>
      <c r="AE616" t="s">
        <v>56</v>
      </c>
      <c r="AF616" t="s">
        <v>57</v>
      </c>
      <c r="AH616">
        <v>72</v>
      </c>
      <c r="AI616">
        <v>72</v>
      </c>
      <c r="AM616" s="23">
        <f t="shared" si="18"/>
        <v>202.875</v>
      </c>
      <c r="AN616" s="23">
        <v>541</v>
      </c>
      <c r="AO616" s="24">
        <v>0.2</v>
      </c>
      <c r="AP616" s="23">
        <f t="shared" si="19"/>
        <v>649.19999999999993</v>
      </c>
    </row>
    <row r="617" spans="1:42" ht="15" customHeight="1" x14ac:dyDescent="0.3">
      <c r="A617" t="s">
        <v>1975</v>
      </c>
      <c r="B617" t="s">
        <v>3142</v>
      </c>
      <c r="C617" t="s">
        <v>1977</v>
      </c>
      <c r="D617" s="22" t="s">
        <v>3143</v>
      </c>
      <c r="E617" t="s">
        <v>1979</v>
      </c>
      <c r="F617" t="s">
        <v>1980</v>
      </c>
      <c r="P617" t="s">
        <v>1830</v>
      </c>
      <c r="Q617" t="s">
        <v>1981</v>
      </c>
      <c r="R617" t="s">
        <v>2000</v>
      </c>
      <c r="S617" t="s">
        <v>1894</v>
      </c>
      <c r="T617" t="s">
        <v>1915</v>
      </c>
      <c r="V617">
        <v>1</v>
      </c>
      <c r="AE617" t="s">
        <v>56</v>
      </c>
      <c r="AF617" t="s">
        <v>57</v>
      </c>
      <c r="AH617">
        <v>77</v>
      </c>
      <c r="AI617">
        <v>77</v>
      </c>
      <c r="AM617" s="23">
        <f t="shared" si="18"/>
        <v>215.25</v>
      </c>
      <c r="AN617" s="23">
        <v>574</v>
      </c>
      <c r="AO617" s="24">
        <v>0.2</v>
      </c>
      <c r="AP617" s="23">
        <f t="shared" si="19"/>
        <v>688.8</v>
      </c>
    </row>
    <row r="618" spans="1:42" ht="15" customHeight="1" x14ac:dyDescent="0.3">
      <c r="A618" t="s">
        <v>1975</v>
      </c>
      <c r="B618" t="s">
        <v>3144</v>
      </c>
      <c r="C618" t="s">
        <v>1977</v>
      </c>
      <c r="D618" s="22" t="s">
        <v>3145</v>
      </c>
      <c r="E618" t="s">
        <v>1979</v>
      </c>
      <c r="F618" t="s">
        <v>1980</v>
      </c>
      <c r="P618" t="s">
        <v>1830</v>
      </c>
      <c r="Q618" t="s">
        <v>1981</v>
      </c>
      <c r="R618" t="s">
        <v>2003</v>
      </c>
      <c r="S618" t="s">
        <v>1894</v>
      </c>
      <c r="T618" t="s">
        <v>1915</v>
      </c>
      <c r="V618">
        <v>1</v>
      </c>
      <c r="AE618" t="s">
        <v>56</v>
      </c>
      <c r="AF618" t="s">
        <v>57</v>
      </c>
      <c r="AH618">
        <v>82</v>
      </c>
      <c r="AI618">
        <v>82</v>
      </c>
      <c r="AM618" s="23">
        <f t="shared" si="18"/>
        <v>226.5</v>
      </c>
      <c r="AN618" s="23">
        <v>604</v>
      </c>
      <c r="AO618" s="24">
        <v>0.2</v>
      </c>
      <c r="AP618" s="23">
        <f t="shared" si="19"/>
        <v>724.8</v>
      </c>
    </row>
    <row r="619" spans="1:42" ht="15" customHeight="1" x14ac:dyDescent="0.3">
      <c r="A619" t="s">
        <v>1975</v>
      </c>
      <c r="B619" t="s">
        <v>3146</v>
      </c>
      <c r="C619" t="s">
        <v>1977</v>
      </c>
      <c r="D619" s="22" t="s">
        <v>3147</v>
      </c>
      <c r="E619" t="s">
        <v>1979</v>
      </c>
      <c r="F619" t="s">
        <v>1980</v>
      </c>
      <c r="P619" t="s">
        <v>1830</v>
      </c>
      <c r="Q619" t="s">
        <v>1981</v>
      </c>
      <c r="R619" t="s">
        <v>2006</v>
      </c>
      <c r="S619" t="s">
        <v>1894</v>
      </c>
      <c r="T619" t="s">
        <v>1915</v>
      </c>
      <c r="V619">
        <v>1</v>
      </c>
      <c r="AE619" t="s">
        <v>56</v>
      </c>
      <c r="AF619" t="s">
        <v>57</v>
      </c>
      <c r="AH619">
        <v>87</v>
      </c>
      <c r="AI619">
        <v>87</v>
      </c>
      <c r="AM619" s="23">
        <f t="shared" si="18"/>
        <v>242.25</v>
      </c>
      <c r="AN619" s="23">
        <v>646</v>
      </c>
      <c r="AO619" s="24">
        <v>0.2</v>
      </c>
      <c r="AP619" s="23">
        <f t="shared" si="19"/>
        <v>775.19999999999993</v>
      </c>
    </row>
    <row r="620" spans="1:42" ht="15" customHeight="1" x14ac:dyDescent="0.3">
      <c r="A620" t="s">
        <v>1975</v>
      </c>
      <c r="B620" t="s">
        <v>3148</v>
      </c>
      <c r="C620" t="s">
        <v>1977</v>
      </c>
      <c r="D620" s="22" t="s">
        <v>3149</v>
      </c>
      <c r="E620" t="s">
        <v>1979</v>
      </c>
      <c r="F620" t="s">
        <v>1980</v>
      </c>
      <c r="P620" t="s">
        <v>1830</v>
      </c>
      <c r="Q620" t="s">
        <v>1981</v>
      </c>
      <c r="R620" t="s">
        <v>2009</v>
      </c>
      <c r="S620" t="s">
        <v>1894</v>
      </c>
      <c r="T620" t="s">
        <v>1915</v>
      </c>
      <c r="V620">
        <v>1</v>
      </c>
      <c r="AE620" t="s">
        <v>56</v>
      </c>
      <c r="AF620" t="s">
        <v>57</v>
      </c>
      <c r="AH620">
        <v>92</v>
      </c>
      <c r="AI620">
        <v>92</v>
      </c>
      <c r="AM620" s="23">
        <f t="shared" si="18"/>
        <v>253.875</v>
      </c>
      <c r="AN620" s="23">
        <v>677</v>
      </c>
      <c r="AO620" s="24">
        <v>0.2</v>
      </c>
      <c r="AP620" s="23">
        <f t="shared" si="19"/>
        <v>812.4</v>
      </c>
    </row>
    <row r="621" spans="1:42" ht="15" customHeight="1" x14ac:dyDescent="0.3">
      <c r="A621" t="s">
        <v>1975</v>
      </c>
      <c r="B621" t="s">
        <v>3150</v>
      </c>
      <c r="C621" t="s">
        <v>1977</v>
      </c>
      <c r="D621" s="22" t="s">
        <v>3151</v>
      </c>
      <c r="E621" t="s">
        <v>1979</v>
      </c>
      <c r="F621" t="s">
        <v>1980</v>
      </c>
      <c r="P621" t="s">
        <v>1830</v>
      </c>
      <c r="Q621" t="s">
        <v>1981</v>
      </c>
      <c r="R621" t="s">
        <v>2012</v>
      </c>
      <c r="S621" t="s">
        <v>1894</v>
      </c>
      <c r="T621" t="s">
        <v>1915</v>
      </c>
      <c r="V621">
        <v>1</v>
      </c>
      <c r="AE621" t="s">
        <v>56</v>
      </c>
      <c r="AF621" t="s">
        <v>57</v>
      </c>
      <c r="AH621">
        <v>96</v>
      </c>
      <c r="AI621">
        <v>96</v>
      </c>
      <c r="AM621" s="23">
        <f t="shared" si="18"/>
        <v>266.25</v>
      </c>
      <c r="AN621" s="23">
        <v>710</v>
      </c>
      <c r="AO621" s="24">
        <v>0.2</v>
      </c>
      <c r="AP621" s="23">
        <f t="shared" si="19"/>
        <v>852</v>
      </c>
    </row>
    <row r="622" spans="1:42" ht="15" customHeight="1" x14ac:dyDescent="0.3">
      <c r="A622" t="s">
        <v>1975</v>
      </c>
      <c r="B622" t="s">
        <v>3152</v>
      </c>
      <c r="C622" t="s">
        <v>1977</v>
      </c>
      <c r="D622" s="22" t="s">
        <v>3153</v>
      </c>
      <c r="E622" t="s">
        <v>1979</v>
      </c>
      <c r="F622" t="s">
        <v>1980</v>
      </c>
      <c r="P622" t="s">
        <v>1830</v>
      </c>
      <c r="Q622" t="s">
        <v>1981</v>
      </c>
      <c r="R622" t="s">
        <v>2015</v>
      </c>
      <c r="S622" t="s">
        <v>1894</v>
      </c>
      <c r="T622" t="s">
        <v>1915</v>
      </c>
      <c r="V622">
        <v>1</v>
      </c>
      <c r="AE622" t="s">
        <v>56</v>
      </c>
      <c r="AF622" t="s">
        <v>57</v>
      </c>
      <c r="AH622">
        <v>34</v>
      </c>
      <c r="AI622">
        <v>34</v>
      </c>
      <c r="AM622" s="23">
        <f t="shared" si="18"/>
        <v>108</v>
      </c>
      <c r="AN622" s="23">
        <v>288</v>
      </c>
      <c r="AO622" s="24">
        <v>0.2</v>
      </c>
      <c r="AP622" s="23">
        <f t="shared" si="19"/>
        <v>345.59999999999997</v>
      </c>
    </row>
    <row r="623" spans="1:42" ht="15" customHeight="1" x14ac:dyDescent="0.3">
      <c r="A623" t="s">
        <v>1975</v>
      </c>
      <c r="B623" t="s">
        <v>3154</v>
      </c>
      <c r="C623" t="s">
        <v>1977</v>
      </c>
      <c r="D623" s="22" t="s">
        <v>3155</v>
      </c>
      <c r="E623" t="s">
        <v>1979</v>
      </c>
      <c r="F623" t="s">
        <v>1980</v>
      </c>
      <c r="P623" t="s">
        <v>1830</v>
      </c>
      <c r="Q623" t="s">
        <v>1981</v>
      </c>
      <c r="R623" t="s">
        <v>2018</v>
      </c>
      <c r="S623" t="s">
        <v>1894</v>
      </c>
      <c r="T623" t="s">
        <v>1915</v>
      </c>
      <c r="V623">
        <v>1</v>
      </c>
      <c r="AE623" t="s">
        <v>56</v>
      </c>
      <c r="AF623" t="s">
        <v>57</v>
      </c>
      <c r="AH623">
        <v>37</v>
      </c>
      <c r="AI623">
        <v>37</v>
      </c>
      <c r="AM623" s="23">
        <f t="shared" si="18"/>
        <v>126.75</v>
      </c>
      <c r="AN623" s="23">
        <v>338</v>
      </c>
      <c r="AO623" s="24">
        <v>0.2</v>
      </c>
      <c r="AP623" s="23">
        <f t="shared" si="19"/>
        <v>405.59999999999997</v>
      </c>
    </row>
    <row r="624" spans="1:42" ht="15" customHeight="1" x14ac:dyDescent="0.3">
      <c r="A624" t="s">
        <v>1975</v>
      </c>
      <c r="B624" t="s">
        <v>3156</v>
      </c>
      <c r="C624" t="s">
        <v>1977</v>
      </c>
      <c r="D624" s="22" t="s">
        <v>3157</v>
      </c>
      <c r="E624" t="s">
        <v>1979</v>
      </c>
      <c r="F624" t="s">
        <v>1980</v>
      </c>
      <c r="P624" t="s">
        <v>1830</v>
      </c>
      <c r="Q624" t="s">
        <v>1981</v>
      </c>
      <c r="R624" t="s">
        <v>2021</v>
      </c>
      <c r="S624" t="s">
        <v>1894</v>
      </c>
      <c r="T624" t="s">
        <v>1915</v>
      </c>
      <c r="V624">
        <v>1</v>
      </c>
      <c r="AE624" t="s">
        <v>56</v>
      </c>
      <c r="AF624" t="s">
        <v>57</v>
      </c>
      <c r="AH624">
        <v>41</v>
      </c>
      <c r="AI624">
        <v>41</v>
      </c>
      <c r="AM624" s="23">
        <f t="shared" si="18"/>
        <v>129.375</v>
      </c>
      <c r="AN624" s="23">
        <v>345</v>
      </c>
      <c r="AO624" s="24">
        <v>0.2</v>
      </c>
      <c r="AP624" s="23">
        <f t="shared" si="19"/>
        <v>414</v>
      </c>
    </row>
    <row r="625" spans="1:42" ht="15" customHeight="1" x14ac:dyDescent="0.3">
      <c r="A625" t="s">
        <v>1975</v>
      </c>
      <c r="B625" t="s">
        <v>3158</v>
      </c>
      <c r="C625" t="s">
        <v>1977</v>
      </c>
      <c r="D625" s="22" t="s">
        <v>3159</v>
      </c>
      <c r="E625" t="s">
        <v>1979</v>
      </c>
      <c r="F625" t="s">
        <v>1980</v>
      </c>
      <c r="P625" t="s">
        <v>1830</v>
      </c>
      <c r="Q625" t="s">
        <v>1981</v>
      </c>
      <c r="R625" t="s">
        <v>2024</v>
      </c>
      <c r="S625" t="s">
        <v>1894</v>
      </c>
      <c r="T625" t="s">
        <v>1915</v>
      </c>
      <c r="V625">
        <v>1</v>
      </c>
      <c r="AE625" t="s">
        <v>56</v>
      </c>
      <c r="AF625" t="s">
        <v>57</v>
      </c>
      <c r="AH625">
        <v>44</v>
      </c>
      <c r="AI625">
        <v>44</v>
      </c>
      <c r="AM625" s="23">
        <f t="shared" si="18"/>
        <v>139.875</v>
      </c>
      <c r="AN625" s="23">
        <v>373</v>
      </c>
      <c r="AO625" s="24">
        <v>0.2</v>
      </c>
      <c r="AP625" s="23">
        <f t="shared" si="19"/>
        <v>447.59999999999997</v>
      </c>
    </row>
    <row r="626" spans="1:42" ht="15" customHeight="1" x14ac:dyDescent="0.3">
      <c r="A626" t="s">
        <v>1975</v>
      </c>
      <c r="B626" t="s">
        <v>3160</v>
      </c>
      <c r="C626" t="s">
        <v>1977</v>
      </c>
      <c r="D626" s="22" t="s">
        <v>3161</v>
      </c>
      <c r="E626" t="s">
        <v>1979</v>
      </c>
      <c r="F626" t="s">
        <v>1980</v>
      </c>
      <c r="P626" t="s">
        <v>1830</v>
      </c>
      <c r="Q626" t="s">
        <v>1981</v>
      </c>
      <c r="R626" t="s">
        <v>2027</v>
      </c>
      <c r="S626" t="s">
        <v>1894</v>
      </c>
      <c r="T626" t="s">
        <v>1915</v>
      </c>
      <c r="V626">
        <v>1</v>
      </c>
      <c r="AE626" t="s">
        <v>56</v>
      </c>
      <c r="AF626" t="s">
        <v>57</v>
      </c>
      <c r="AH626">
        <v>48</v>
      </c>
      <c r="AI626">
        <v>48</v>
      </c>
      <c r="AM626" s="23">
        <f t="shared" si="18"/>
        <v>139.875</v>
      </c>
      <c r="AN626" s="23">
        <v>373</v>
      </c>
      <c r="AO626" s="24">
        <v>0.2</v>
      </c>
      <c r="AP626" s="23">
        <f t="shared" si="19"/>
        <v>447.59999999999997</v>
      </c>
    </row>
    <row r="627" spans="1:42" ht="15" customHeight="1" x14ac:dyDescent="0.3">
      <c r="A627" t="s">
        <v>1975</v>
      </c>
      <c r="B627" t="s">
        <v>3162</v>
      </c>
      <c r="C627" t="s">
        <v>1977</v>
      </c>
      <c r="D627" s="22" t="s">
        <v>3163</v>
      </c>
      <c r="E627" t="s">
        <v>1979</v>
      </c>
      <c r="F627" t="s">
        <v>1980</v>
      </c>
      <c r="P627" t="s">
        <v>1830</v>
      </c>
      <c r="Q627" t="s">
        <v>1981</v>
      </c>
      <c r="R627" t="s">
        <v>2030</v>
      </c>
      <c r="S627" t="s">
        <v>1894</v>
      </c>
      <c r="T627" t="s">
        <v>1915</v>
      </c>
      <c r="V627">
        <v>1</v>
      </c>
      <c r="AE627" t="s">
        <v>56</v>
      </c>
      <c r="AF627" t="s">
        <v>57</v>
      </c>
      <c r="AH627">
        <v>51</v>
      </c>
      <c r="AI627">
        <v>51</v>
      </c>
      <c r="AM627" s="23">
        <f t="shared" si="18"/>
        <v>148.125</v>
      </c>
      <c r="AN627" s="23">
        <v>395</v>
      </c>
      <c r="AO627" s="24">
        <v>0.2</v>
      </c>
      <c r="AP627" s="23">
        <f t="shared" si="19"/>
        <v>474</v>
      </c>
    </row>
    <row r="628" spans="1:42" ht="15" customHeight="1" x14ac:dyDescent="0.3">
      <c r="A628" t="s">
        <v>1975</v>
      </c>
      <c r="B628" t="s">
        <v>3164</v>
      </c>
      <c r="C628" t="s">
        <v>1977</v>
      </c>
      <c r="D628" s="22" t="s">
        <v>3165</v>
      </c>
      <c r="E628" t="s">
        <v>1979</v>
      </c>
      <c r="F628" t="s">
        <v>1980</v>
      </c>
      <c r="P628" t="s">
        <v>1830</v>
      </c>
      <c r="Q628" t="s">
        <v>1981</v>
      </c>
      <c r="R628" t="s">
        <v>2033</v>
      </c>
      <c r="S628" t="s">
        <v>1894</v>
      </c>
      <c r="T628" t="s">
        <v>1915</v>
      </c>
      <c r="V628">
        <v>1</v>
      </c>
      <c r="AE628" t="s">
        <v>56</v>
      </c>
      <c r="AF628" t="s">
        <v>57</v>
      </c>
      <c r="AH628">
        <v>54</v>
      </c>
      <c r="AI628">
        <v>54</v>
      </c>
      <c r="AM628" s="23">
        <f t="shared" si="18"/>
        <v>156.75</v>
      </c>
      <c r="AN628" s="23">
        <v>418</v>
      </c>
      <c r="AO628" s="24">
        <v>0.2</v>
      </c>
      <c r="AP628" s="23">
        <f t="shared" si="19"/>
        <v>501.59999999999997</v>
      </c>
    </row>
    <row r="629" spans="1:42" ht="15" customHeight="1" x14ac:dyDescent="0.3">
      <c r="A629" t="s">
        <v>1975</v>
      </c>
      <c r="B629" t="s">
        <v>3166</v>
      </c>
      <c r="C629" t="s">
        <v>1977</v>
      </c>
      <c r="D629" s="22" t="s">
        <v>3167</v>
      </c>
      <c r="E629" t="s">
        <v>1979</v>
      </c>
      <c r="F629" t="s">
        <v>1980</v>
      </c>
      <c r="P629" t="s">
        <v>1830</v>
      </c>
      <c r="Q629" t="s">
        <v>1981</v>
      </c>
      <c r="R629" t="s">
        <v>2036</v>
      </c>
      <c r="S629" t="s">
        <v>1894</v>
      </c>
      <c r="T629" t="s">
        <v>1915</v>
      </c>
      <c r="V629">
        <v>1</v>
      </c>
      <c r="AE629" t="s">
        <v>56</v>
      </c>
      <c r="AF629" t="s">
        <v>57</v>
      </c>
      <c r="AH629">
        <v>58</v>
      </c>
      <c r="AI629">
        <v>58</v>
      </c>
      <c r="AM629" s="23">
        <f t="shared" si="18"/>
        <v>165</v>
      </c>
      <c r="AN629" s="23">
        <v>440</v>
      </c>
      <c r="AO629" s="24">
        <v>0.2</v>
      </c>
      <c r="AP629" s="23">
        <f t="shared" si="19"/>
        <v>528</v>
      </c>
    </row>
    <row r="630" spans="1:42" ht="15" customHeight="1" x14ac:dyDescent="0.3">
      <c r="A630" t="s">
        <v>1975</v>
      </c>
      <c r="B630" t="s">
        <v>3168</v>
      </c>
      <c r="C630" t="s">
        <v>1977</v>
      </c>
      <c r="D630" s="22" t="s">
        <v>3169</v>
      </c>
      <c r="E630" t="s">
        <v>1979</v>
      </c>
      <c r="F630" t="s">
        <v>1980</v>
      </c>
      <c r="P630" t="s">
        <v>1830</v>
      </c>
      <c r="Q630" t="s">
        <v>1981</v>
      </c>
      <c r="R630" t="s">
        <v>2039</v>
      </c>
      <c r="S630" t="s">
        <v>1894</v>
      </c>
      <c r="T630" t="s">
        <v>1915</v>
      </c>
      <c r="V630">
        <v>1</v>
      </c>
      <c r="AE630" t="s">
        <v>56</v>
      </c>
      <c r="AF630" t="s">
        <v>57</v>
      </c>
      <c r="AH630">
        <v>61</v>
      </c>
      <c r="AI630">
        <v>61</v>
      </c>
      <c r="AM630" s="23">
        <f t="shared" si="18"/>
        <v>175.875</v>
      </c>
      <c r="AN630" s="23">
        <v>469</v>
      </c>
      <c r="AO630" s="24">
        <v>0.2</v>
      </c>
      <c r="AP630" s="23">
        <f t="shared" si="19"/>
        <v>562.79999999999995</v>
      </c>
    </row>
    <row r="631" spans="1:42" ht="15" customHeight="1" x14ac:dyDescent="0.3">
      <c r="A631" t="s">
        <v>1975</v>
      </c>
      <c r="B631" t="s">
        <v>3170</v>
      </c>
      <c r="C631" t="s">
        <v>1977</v>
      </c>
      <c r="D631" s="22" t="s">
        <v>3171</v>
      </c>
      <c r="E631" t="s">
        <v>1979</v>
      </c>
      <c r="F631" t="s">
        <v>1980</v>
      </c>
      <c r="P631" t="s">
        <v>1830</v>
      </c>
      <c r="Q631" t="s">
        <v>1981</v>
      </c>
      <c r="R631" t="s">
        <v>2042</v>
      </c>
      <c r="S631" t="s">
        <v>1894</v>
      </c>
      <c r="T631" t="s">
        <v>1915</v>
      </c>
      <c r="V631">
        <v>1</v>
      </c>
      <c r="AE631" t="s">
        <v>56</v>
      </c>
      <c r="AF631" t="s">
        <v>57</v>
      </c>
      <c r="AH631">
        <v>64</v>
      </c>
      <c r="AI631">
        <v>64</v>
      </c>
      <c r="AM631" s="23">
        <f t="shared" si="18"/>
        <v>196.125</v>
      </c>
      <c r="AN631" s="23">
        <v>523</v>
      </c>
      <c r="AO631" s="24">
        <v>0.2</v>
      </c>
      <c r="AP631" s="23">
        <f t="shared" si="19"/>
        <v>627.6</v>
      </c>
    </row>
    <row r="632" spans="1:42" ht="15" customHeight="1" x14ac:dyDescent="0.3">
      <c r="A632" t="s">
        <v>1975</v>
      </c>
      <c r="B632" t="s">
        <v>3172</v>
      </c>
      <c r="C632" t="s">
        <v>1977</v>
      </c>
      <c r="D632" s="22" t="s">
        <v>3173</v>
      </c>
      <c r="E632" t="s">
        <v>1979</v>
      </c>
      <c r="F632" t="s">
        <v>1980</v>
      </c>
      <c r="P632" t="s">
        <v>1830</v>
      </c>
      <c r="Q632" t="s">
        <v>1981</v>
      </c>
      <c r="R632" t="s">
        <v>2045</v>
      </c>
      <c r="S632" t="s">
        <v>1894</v>
      </c>
      <c r="T632" t="s">
        <v>1915</v>
      </c>
      <c r="V632">
        <v>1</v>
      </c>
      <c r="AE632" t="s">
        <v>56</v>
      </c>
      <c r="AF632" t="s">
        <v>57</v>
      </c>
      <c r="AH632">
        <v>68</v>
      </c>
      <c r="AI632">
        <v>68</v>
      </c>
      <c r="AM632" s="23">
        <f t="shared" si="18"/>
        <v>200.625</v>
      </c>
      <c r="AN632" s="23">
        <v>535</v>
      </c>
      <c r="AO632" s="24">
        <v>0.2</v>
      </c>
      <c r="AP632" s="23">
        <f t="shared" si="19"/>
        <v>642</v>
      </c>
    </row>
    <row r="633" spans="1:42" ht="15" customHeight="1" x14ac:dyDescent="0.3">
      <c r="A633" t="s">
        <v>1975</v>
      </c>
      <c r="B633" t="s">
        <v>3174</v>
      </c>
      <c r="C633" t="s">
        <v>1977</v>
      </c>
      <c r="D633" s="22" t="s">
        <v>3175</v>
      </c>
      <c r="E633" t="s">
        <v>1979</v>
      </c>
      <c r="F633" t="s">
        <v>1980</v>
      </c>
      <c r="P633" t="s">
        <v>1830</v>
      </c>
      <c r="Q633" t="s">
        <v>1981</v>
      </c>
      <c r="R633" t="s">
        <v>2048</v>
      </c>
      <c r="S633" t="s">
        <v>1894</v>
      </c>
      <c r="T633" t="s">
        <v>1915</v>
      </c>
      <c r="V633">
        <v>1</v>
      </c>
      <c r="AE633" t="s">
        <v>56</v>
      </c>
      <c r="AF633" t="s">
        <v>57</v>
      </c>
      <c r="AH633">
        <v>24</v>
      </c>
      <c r="AI633">
        <v>24</v>
      </c>
      <c r="AM633" s="23">
        <f t="shared" si="18"/>
        <v>95.625</v>
      </c>
      <c r="AN633" s="23">
        <v>255</v>
      </c>
      <c r="AO633" s="24">
        <v>0.2</v>
      </c>
      <c r="AP633" s="23">
        <f t="shared" si="19"/>
        <v>306</v>
      </c>
    </row>
    <row r="634" spans="1:42" ht="15" customHeight="1" x14ac:dyDescent="0.3">
      <c r="A634" t="s">
        <v>1975</v>
      </c>
      <c r="B634" t="s">
        <v>3176</v>
      </c>
      <c r="C634" t="s">
        <v>1977</v>
      </c>
      <c r="D634" s="22" t="s">
        <v>3177</v>
      </c>
      <c r="E634" t="s">
        <v>1979</v>
      </c>
      <c r="F634" t="s">
        <v>1980</v>
      </c>
      <c r="P634" t="s">
        <v>1830</v>
      </c>
      <c r="Q634" t="s">
        <v>1981</v>
      </c>
      <c r="R634" t="s">
        <v>2051</v>
      </c>
      <c r="S634" t="s">
        <v>1894</v>
      </c>
      <c r="T634" t="s">
        <v>1915</v>
      </c>
      <c r="V634">
        <v>1</v>
      </c>
      <c r="AE634" t="s">
        <v>56</v>
      </c>
      <c r="AF634" t="s">
        <v>57</v>
      </c>
      <c r="AH634">
        <v>27</v>
      </c>
      <c r="AI634">
        <v>27</v>
      </c>
      <c r="AM634" s="23">
        <f t="shared" si="18"/>
        <v>100.5</v>
      </c>
      <c r="AN634" s="23">
        <v>268</v>
      </c>
      <c r="AO634" s="24">
        <v>0.2</v>
      </c>
      <c r="AP634" s="23">
        <f t="shared" si="19"/>
        <v>321.59999999999997</v>
      </c>
    </row>
    <row r="635" spans="1:42" ht="15" customHeight="1" x14ac:dyDescent="0.3">
      <c r="A635" t="s">
        <v>1975</v>
      </c>
      <c r="B635" t="s">
        <v>3178</v>
      </c>
      <c r="C635" t="s">
        <v>1977</v>
      </c>
      <c r="D635" s="22" t="s">
        <v>3179</v>
      </c>
      <c r="E635" t="s">
        <v>1979</v>
      </c>
      <c r="F635" t="s">
        <v>1980</v>
      </c>
      <c r="P635" t="s">
        <v>1830</v>
      </c>
      <c r="Q635" t="s">
        <v>1981</v>
      </c>
      <c r="R635" t="s">
        <v>2054</v>
      </c>
      <c r="S635" t="s">
        <v>1894</v>
      </c>
      <c r="T635" t="s">
        <v>1915</v>
      </c>
      <c r="V635">
        <v>1</v>
      </c>
      <c r="AE635" t="s">
        <v>56</v>
      </c>
      <c r="AF635" t="s">
        <v>57</v>
      </c>
      <c r="AH635">
        <v>31</v>
      </c>
      <c r="AI635">
        <v>31</v>
      </c>
      <c r="AM635" s="23">
        <f t="shared" si="18"/>
        <v>104.25</v>
      </c>
      <c r="AN635" s="23">
        <v>278</v>
      </c>
      <c r="AO635" s="24">
        <v>0.2</v>
      </c>
      <c r="AP635" s="23">
        <f t="shared" si="19"/>
        <v>333.59999999999997</v>
      </c>
    </row>
    <row r="636" spans="1:42" ht="15" customHeight="1" x14ac:dyDescent="0.3">
      <c r="A636" t="s">
        <v>1975</v>
      </c>
      <c r="B636" t="s">
        <v>3180</v>
      </c>
      <c r="C636" t="s">
        <v>1977</v>
      </c>
      <c r="D636" s="22" t="s">
        <v>3181</v>
      </c>
      <c r="E636" t="s">
        <v>1979</v>
      </c>
      <c r="F636" t="s">
        <v>1980</v>
      </c>
      <c r="P636" t="s">
        <v>1830</v>
      </c>
      <c r="Q636" t="s">
        <v>1981</v>
      </c>
      <c r="R636" t="s">
        <v>2057</v>
      </c>
      <c r="S636" t="s">
        <v>1894</v>
      </c>
      <c r="T636" t="s">
        <v>1915</v>
      </c>
      <c r="V636">
        <v>1</v>
      </c>
      <c r="AE636" t="s">
        <v>56</v>
      </c>
      <c r="AF636" t="s">
        <v>57</v>
      </c>
      <c r="AH636">
        <v>39</v>
      </c>
      <c r="AI636">
        <v>39</v>
      </c>
      <c r="AM636" s="23">
        <f t="shared" si="18"/>
        <v>113.625</v>
      </c>
      <c r="AN636" s="23">
        <v>303</v>
      </c>
      <c r="AO636" s="24">
        <v>0.2</v>
      </c>
      <c r="AP636" s="23">
        <f t="shared" si="19"/>
        <v>363.59999999999997</v>
      </c>
    </row>
    <row r="637" spans="1:42" ht="15" customHeight="1" x14ac:dyDescent="0.3">
      <c r="A637" t="s">
        <v>1975</v>
      </c>
      <c r="B637" t="s">
        <v>3182</v>
      </c>
      <c r="C637" t="s">
        <v>1977</v>
      </c>
      <c r="D637" s="22" t="s">
        <v>3183</v>
      </c>
      <c r="E637" t="s">
        <v>1979</v>
      </c>
      <c r="F637" t="s">
        <v>1980</v>
      </c>
      <c r="P637" t="s">
        <v>1830</v>
      </c>
      <c r="Q637" t="s">
        <v>1981</v>
      </c>
      <c r="R637" t="s">
        <v>2060</v>
      </c>
      <c r="S637" t="s">
        <v>1894</v>
      </c>
      <c r="T637" t="s">
        <v>1915</v>
      </c>
      <c r="V637">
        <v>1</v>
      </c>
      <c r="AE637" t="s">
        <v>56</v>
      </c>
      <c r="AF637" t="s">
        <v>57</v>
      </c>
      <c r="AH637">
        <v>43</v>
      </c>
      <c r="AI637">
        <v>43</v>
      </c>
      <c r="AM637" s="23">
        <f t="shared" si="18"/>
        <v>130.5</v>
      </c>
      <c r="AN637" s="23">
        <v>348</v>
      </c>
      <c r="AO637" s="24">
        <v>0.2</v>
      </c>
      <c r="AP637" s="23">
        <f t="shared" si="19"/>
        <v>417.59999999999997</v>
      </c>
    </row>
    <row r="638" spans="1:42" ht="15" customHeight="1" x14ac:dyDescent="0.3">
      <c r="A638" t="s">
        <v>1975</v>
      </c>
      <c r="B638" t="s">
        <v>3184</v>
      </c>
      <c r="C638" t="s">
        <v>1977</v>
      </c>
      <c r="D638" s="22" t="s">
        <v>3185</v>
      </c>
      <c r="E638" t="s">
        <v>1979</v>
      </c>
      <c r="F638" t="s">
        <v>1980</v>
      </c>
      <c r="P638" t="s">
        <v>1830</v>
      </c>
      <c r="Q638" t="s">
        <v>1981</v>
      </c>
      <c r="R638" t="s">
        <v>2063</v>
      </c>
      <c r="S638" t="s">
        <v>1894</v>
      </c>
      <c r="T638" t="s">
        <v>1915</v>
      </c>
      <c r="V638">
        <v>1</v>
      </c>
      <c r="AE638" t="s">
        <v>56</v>
      </c>
      <c r="AF638" t="s">
        <v>57</v>
      </c>
      <c r="AH638">
        <v>47</v>
      </c>
      <c r="AI638">
        <v>47</v>
      </c>
      <c r="AM638" s="23">
        <f t="shared" si="18"/>
        <v>136.125</v>
      </c>
      <c r="AN638" s="23">
        <v>363</v>
      </c>
      <c r="AO638" s="24">
        <v>0.2</v>
      </c>
      <c r="AP638" s="23">
        <f t="shared" si="19"/>
        <v>435.59999999999997</v>
      </c>
    </row>
    <row r="639" spans="1:42" ht="15" customHeight="1" x14ac:dyDescent="0.3">
      <c r="A639" t="s">
        <v>1975</v>
      </c>
      <c r="B639" t="s">
        <v>3186</v>
      </c>
      <c r="C639" t="s">
        <v>1977</v>
      </c>
      <c r="D639" s="22" t="s">
        <v>3187</v>
      </c>
      <c r="E639" t="s">
        <v>1979</v>
      </c>
      <c r="F639" t="s">
        <v>1980</v>
      </c>
      <c r="P639" t="s">
        <v>1830</v>
      </c>
      <c r="Q639" t="s">
        <v>1981</v>
      </c>
      <c r="R639" t="s">
        <v>2066</v>
      </c>
      <c r="S639" t="s">
        <v>1894</v>
      </c>
      <c r="T639" t="s">
        <v>1915</v>
      </c>
      <c r="V639">
        <v>1</v>
      </c>
      <c r="AE639" t="s">
        <v>56</v>
      </c>
      <c r="AF639" t="s">
        <v>57</v>
      </c>
      <c r="AH639">
        <v>50</v>
      </c>
      <c r="AI639">
        <v>50</v>
      </c>
      <c r="AM639" s="23">
        <f t="shared" si="18"/>
        <v>153.75</v>
      </c>
      <c r="AN639" s="23">
        <v>410</v>
      </c>
      <c r="AO639" s="24">
        <v>0.2</v>
      </c>
      <c r="AP639" s="23">
        <f t="shared" si="19"/>
        <v>492</v>
      </c>
    </row>
    <row r="640" spans="1:42" ht="15" customHeight="1" x14ac:dyDescent="0.3">
      <c r="A640" t="s">
        <v>1975</v>
      </c>
      <c r="B640" t="s">
        <v>3188</v>
      </c>
      <c r="C640" t="s">
        <v>1977</v>
      </c>
      <c r="D640" s="22" t="s">
        <v>3189</v>
      </c>
      <c r="E640" t="s">
        <v>1979</v>
      </c>
      <c r="F640" t="s">
        <v>1980</v>
      </c>
      <c r="P640" t="s">
        <v>1830</v>
      </c>
      <c r="Q640" t="s">
        <v>1981</v>
      </c>
      <c r="R640" t="s">
        <v>2069</v>
      </c>
      <c r="S640" t="s">
        <v>1894</v>
      </c>
      <c r="T640" t="s">
        <v>1915</v>
      </c>
      <c r="V640">
        <v>1</v>
      </c>
      <c r="AE640" t="s">
        <v>56</v>
      </c>
      <c r="AF640" t="s">
        <v>57</v>
      </c>
      <c r="AH640">
        <v>54</v>
      </c>
      <c r="AI640">
        <v>54</v>
      </c>
      <c r="AM640" s="23">
        <f t="shared" si="18"/>
        <v>156.75</v>
      </c>
      <c r="AN640" s="23">
        <v>418</v>
      </c>
      <c r="AO640" s="24">
        <v>0.2</v>
      </c>
      <c r="AP640" s="23">
        <f t="shared" si="19"/>
        <v>501.59999999999997</v>
      </c>
    </row>
    <row r="641" spans="1:42" ht="15" customHeight="1" x14ac:dyDescent="0.3">
      <c r="A641" t="s">
        <v>1975</v>
      </c>
      <c r="B641" t="s">
        <v>3190</v>
      </c>
      <c r="C641" t="s">
        <v>1977</v>
      </c>
      <c r="D641" s="22" t="s">
        <v>3191</v>
      </c>
      <c r="E641" t="s">
        <v>1979</v>
      </c>
      <c r="F641" t="s">
        <v>1980</v>
      </c>
      <c r="P641" t="s">
        <v>1830</v>
      </c>
      <c r="Q641" t="s">
        <v>1981</v>
      </c>
      <c r="R641" t="s">
        <v>2072</v>
      </c>
      <c r="S641" t="s">
        <v>1894</v>
      </c>
      <c r="T641" t="s">
        <v>1915</v>
      </c>
      <c r="V641">
        <v>1</v>
      </c>
      <c r="AE641" t="s">
        <v>56</v>
      </c>
      <c r="AF641" t="s">
        <v>57</v>
      </c>
      <c r="AH641">
        <v>58</v>
      </c>
      <c r="AI641">
        <v>58</v>
      </c>
      <c r="AM641" s="23">
        <f t="shared" si="18"/>
        <v>166.5</v>
      </c>
      <c r="AN641" s="23">
        <v>444</v>
      </c>
      <c r="AO641" s="24">
        <v>0.2</v>
      </c>
      <c r="AP641" s="23">
        <f t="shared" si="19"/>
        <v>532.79999999999995</v>
      </c>
    </row>
    <row r="642" spans="1:42" ht="15" customHeight="1" x14ac:dyDescent="0.3">
      <c r="A642" t="s">
        <v>1975</v>
      </c>
      <c r="B642" t="s">
        <v>3192</v>
      </c>
      <c r="C642" t="s">
        <v>1977</v>
      </c>
      <c r="D642" s="22" t="s">
        <v>3193</v>
      </c>
      <c r="E642" t="s">
        <v>1979</v>
      </c>
      <c r="F642" t="s">
        <v>1980</v>
      </c>
      <c r="P642" t="s">
        <v>1830</v>
      </c>
      <c r="Q642" t="s">
        <v>1981</v>
      </c>
      <c r="R642" t="s">
        <v>2075</v>
      </c>
      <c r="S642" t="s">
        <v>1894</v>
      </c>
      <c r="T642" t="s">
        <v>1915</v>
      </c>
      <c r="V642">
        <v>1</v>
      </c>
      <c r="AE642" t="s">
        <v>56</v>
      </c>
      <c r="AF642" t="s">
        <v>57</v>
      </c>
      <c r="AH642">
        <v>62</v>
      </c>
      <c r="AI642">
        <v>62</v>
      </c>
      <c r="AM642" s="23">
        <f t="shared" ref="AM642:AM700" si="20">AN642*0.5*0.75</f>
        <v>175.875</v>
      </c>
      <c r="AN642" s="23">
        <v>469</v>
      </c>
      <c r="AO642" s="24">
        <v>0.2</v>
      </c>
      <c r="AP642" s="23">
        <f t="shared" ref="AP642:AP700" si="21">AN642*1.2</f>
        <v>562.79999999999995</v>
      </c>
    </row>
    <row r="643" spans="1:42" ht="15" customHeight="1" x14ac:dyDescent="0.3">
      <c r="A643" t="s">
        <v>1975</v>
      </c>
      <c r="B643" t="s">
        <v>3194</v>
      </c>
      <c r="C643" t="s">
        <v>1977</v>
      </c>
      <c r="D643" s="22" t="s">
        <v>3195</v>
      </c>
      <c r="E643" t="s">
        <v>1979</v>
      </c>
      <c r="F643" t="s">
        <v>1980</v>
      </c>
      <c r="P643" t="s">
        <v>1830</v>
      </c>
      <c r="Q643" t="s">
        <v>1981</v>
      </c>
      <c r="R643" t="s">
        <v>2078</v>
      </c>
      <c r="S643" t="s">
        <v>1894</v>
      </c>
      <c r="T643" t="s">
        <v>1915</v>
      </c>
      <c r="V643">
        <v>1</v>
      </c>
      <c r="AE643" t="s">
        <v>56</v>
      </c>
      <c r="AF643" t="s">
        <v>57</v>
      </c>
      <c r="AH643">
        <v>66</v>
      </c>
      <c r="AI643">
        <v>66</v>
      </c>
      <c r="AM643" s="23">
        <f t="shared" si="20"/>
        <v>185.625</v>
      </c>
      <c r="AN643" s="23">
        <v>495</v>
      </c>
      <c r="AO643" s="24">
        <v>0.2</v>
      </c>
      <c r="AP643" s="23">
        <f t="shared" si="21"/>
        <v>594</v>
      </c>
    </row>
    <row r="644" spans="1:42" ht="15" customHeight="1" x14ac:dyDescent="0.3">
      <c r="A644" t="s">
        <v>1975</v>
      </c>
      <c r="B644" t="s">
        <v>3196</v>
      </c>
      <c r="C644" t="s">
        <v>1977</v>
      </c>
      <c r="D644" s="22" t="s">
        <v>3197</v>
      </c>
      <c r="E644" t="s">
        <v>1979</v>
      </c>
      <c r="F644" t="s">
        <v>1980</v>
      </c>
      <c r="P644" t="s">
        <v>1830</v>
      </c>
      <c r="Q644" t="s">
        <v>1981</v>
      </c>
      <c r="R644" t="s">
        <v>2081</v>
      </c>
      <c r="S644" t="s">
        <v>1894</v>
      </c>
      <c r="T644" t="s">
        <v>1915</v>
      </c>
      <c r="V644">
        <v>1</v>
      </c>
      <c r="AE644" t="s">
        <v>56</v>
      </c>
      <c r="AF644" t="s">
        <v>57</v>
      </c>
      <c r="AH644">
        <v>70</v>
      </c>
      <c r="AI644">
        <v>70</v>
      </c>
      <c r="AM644" s="23">
        <f t="shared" si="20"/>
        <v>198</v>
      </c>
      <c r="AN644" s="23">
        <v>528</v>
      </c>
      <c r="AO644" s="24">
        <v>0.2</v>
      </c>
      <c r="AP644" s="23">
        <f t="shared" si="21"/>
        <v>633.6</v>
      </c>
    </row>
    <row r="645" spans="1:42" ht="15" customHeight="1" x14ac:dyDescent="0.3">
      <c r="A645" t="s">
        <v>1975</v>
      </c>
      <c r="B645" t="s">
        <v>3198</v>
      </c>
      <c r="C645" t="s">
        <v>1977</v>
      </c>
      <c r="D645" s="22" t="s">
        <v>3199</v>
      </c>
      <c r="E645" t="s">
        <v>1979</v>
      </c>
      <c r="F645" t="s">
        <v>1980</v>
      </c>
      <c r="P645" t="s">
        <v>1830</v>
      </c>
      <c r="Q645" t="s">
        <v>1981</v>
      </c>
      <c r="R645" t="s">
        <v>2084</v>
      </c>
      <c r="S645" t="s">
        <v>1894</v>
      </c>
      <c r="T645" t="s">
        <v>1915</v>
      </c>
      <c r="V645">
        <v>1</v>
      </c>
      <c r="AE645" t="s">
        <v>56</v>
      </c>
      <c r="AF645" t="s">
        <v>57</v>
      </c>
      <c r="AH645">
        <v>73</v>
      </c>
      <c r="AI645">
        <v>73</v>
      </c>
      <c r="AM645" s="23">
        <f t="shared" si="20"/>
        <v>219.375</v>
      </c>
      <c r="AN645" s="23">
        <v>585</v>
      </c>
      <c r="AO645" s="24">
        <v>0.2</v>
      </c>
      <c r="AP645" s="23">
        <f t="shared" si="21"/>
        <v>702</v>
      </c>
    </row>
    <row r="646" spans="1:42" ht="15" customHeight="1" x14ac:dyDescent="0.3">
      <c r="A646" t="s">
        <v>1975</v>
      </c>
      <c r="B646" t="s">
        <v>3200</v>
      </c>
      <c r="C646" t="s">
        <v>1977</v>
      </c>
      <c r="D646" s="22" t="s">
        <v>3201</v>
      </c>
      <c r="E646" t="s">
        <v>1979</v>
      </c>
      <c r="F646" t="s">
        <v>1980</v>
      </c>
      <c r="P646" t="s">
        <v>1830</v>
      </c>
      <c r="Q646" t="s">
        <v>1981</v>
      </c>
      <c r="R646" t="s">
        <v>2087</v>
      </c>
      <c r="S646" t="s">
        <v>1894</v>
      </c>
      <c r="T646" t="s">
        <v>1915</v>
      </c>
      <c r="V646">
        <v>1</v>
      </c>
      <c r="AE646" t="s">
        <v>56</v>
      </c>
      <c r="AF646" t="s">
        <v>57</v>
      </c>
      <c r="AH646">
        <v>77</v>
      </c>
      <c r="AI646">
        <v>77</v>
      </c>
      <c r="AM646" s="23">
        <f t="shared" si="20"/>
        <v>223.125</v>
      </c>
      <c r="AN646" s="23">
        <v>595</v>
      </c>
      <c r="AO646" s="24">
        <v>0.2</v>
      </c>
      <c r="AP646" s="23">
        <f t="shared" si="21"/>
        <v>714</v>
      </c>
    </row>
    <row r="647" spans="1:42" ht="15" customHeight="1" x14ac:dyDescent="0.3">
      <c r="A647" t="s">
        <v>1975</v>
      </c>
      <c r="B647" t="s">
        <v>3202</v>
      </c>
      <c r="C647" t="s">
        <v>1977</v>
      </c>
      <c r="D647" s="22" t="s">
        <v>3203</v>
      </c>
      <c r="E647" t="s">
        <v>1979</v>
      </c>
      <c r="F647" t="s">
        <v>1980</v>
      </c>
      <c r="P647" t="s">
        <v>1830</v>
      </c>
      <c r="Q647" t="s">
        <v>1981</v>
      </c>
      <c r="R647" t="s">
        <v>242</v>
      </c>
      <c r="S647" t="s">
        <v>1894</v>
      </c>
      <c r="T647" t="s">
        <v>1915</v>
      </c>
      <c r="V647">
        <v>1</v>
      </c>
      <c r="AE647" t="s">
        <v>56</v>
      </c>
      <c r="AF647" t="s">
        <v>57</v>
      </c>
      <c r="AH647">
        <v>31</v>
      </c>
      <c r="AI647">
        <v>31</v>
      </c>
      <c r="AM647" s="23">
        <f t="shared" si="20"/>
        <v>103.125</v>
      </c>
      <c r="AN647" s="23">
        <v>275</v>
      </c>
      <c r="AO647" s="24">
        <v>0.2</v>
      </c>
      <c r="AP647" s="23">
        <f t="shared" si="21"/>
        <v>330</v>
      </c>
    </row>
    <row r="648" spans="1:42" ht="15" customHeight="1" x14ac:dyDescent="0.3">
      <c r="A648" t="s">
        <v>1975</v>
      </c>
      <c r="B648" t="s">
        <v>3204</v>
      </c>
      <c r="C648" t="s">
        <v>1977</v>
      </c>
      <c r="D648" s="22" t="s">
        <v>3205</v>
      </c>
      <c r="E648" t="s">
        <v>1979</v>
      </c>
      <c r="F648" t="s">
        <v>1980</v>
      </c>
      <c r="P648" t="s">
        <v>1830</v>
      </c>
      <c r="Q648" t="s">
        <v>1981</v>
      </c>
      <c r="R648" t="s">
        <v>2092</v>
      </c>
      <c r="S648" t="s">
        <v>1894</v>
      </c>
      <c r="T648" t="s">
        <v>1915</v>
      </c>
      <c r="V648">
        <v>1</v>
      </c>
      <c r="AE648" t="s">
        <v>56</v>
      </c>
      <c r="AF648" t="s">
        <v>57</v>
      </c>
      <c r="AH648">
        <v>35</v>
      </c>
      <c r="AI648">
        <v>35</v>
      </c>
      <c r="AM648" s="23">
        <f t="shared" si="20"/>
        <v>110.625</v>
      </c>
      <c r="AN648" s="23">
        <v>295</v>
      </c>
      <c r="AO648" s="24">
        <v>0.2</v>
      </c>
      <c r="AP648" s="23">
        <f t="shared" si="21"/>
        <v>354</v>
      </c>
    </row>
    <row r="649" spans="1:42" ht="15" customHeight="1" x14ac:dyDescent="0.3">
      <c r="A649" t="s">
        <v>1975</v>
      </c>
      <c r="B649" t="s">
        <v>3206</v>
      </c>
      <c r="C649" t="s">
        <v>1977</v>
      </c>
      <c r="D649" s="22" t="s">
        <v>3207</v>
      </c>
      <c r="E649" t="s">
        <v>1979</v>
      </c>
      <c r="F649" t="s">
        <v>1980</v>
      </c>
      <c r="P649" t="s">
        <v>1830</v>
      </c>
      <c r="Q649" t="s">
        <v>1981</v>
      </c>
      <c r="R649" t="s">
        <v>2095</v>
      </c>
      <c r="S649" t="s">
        <v>1894</v>
      </c>
      <c r="T649" t="s">
        <v>1915</v>
      </c>
      <c r="V649">
        <v>1</v>
      </c>
      <c r="AE649" t="s">
        <v>56</v>
      </c>
      <c r="AF649" t="s">
        <v>57</v>
      </c>
      <c r="AH649">
        <v>44</v>
      </c>
      <c r="AI649">
        <v>44</v>
      </c>
      <c r="AM649" s="23">
        <f t="shared" si="20"/>
        <v>126.75</v>
      </c>
      <c r="AN649" s="23">
        <v>338</v>
      </c>
      <c r="AO649" s="24">
        <v>0.2</v>
      </c>
      <c r="AP649" s="23">
        <f t="shared" si="21"/>
        <v>405.59999999999997</v>
      </c>
    </row>
    <row r="650" spans="1:42" ht="15" customHeight="1" x14ac:dyDescent="0.3">
      <c r="A650" t="s">
        <v>1975</v>
      </c>
      <c r="B650" t="s">
        <v>3208</v>
      </c>
      <c r="C650" t="s">
        <v>1977</v>
      </c>
      <c r="D650" s="22" t="s">
        <v>3209</v>
      </c>
      <c r="E650" t="s">
        <v>1979</v>
      </c>
      <c r="F650" t="s">
        <v>1980</v>
      </c>
      <c r="P650" t="s">
        <v>1830</v>
      </c>
      <c r="Q650" t="s">
        <v>1981</v>
      </c>
      <c r="R650" t="s">
        <v>2098</v>
      </c>
      <c r="S650" t="s">
        <v>1894</v>
      </c>
      <c r="T650" t="s">
        <v>1915</v>
      </c>
      <c r="V650">
        <v>1</v>
      </c>
      <c r="AE650" t="s">
        <v>56</v>
      </c>
      <c r="AF650" t="s">
        <v>57</v>
      </c>
      <c r="AH650">
        <v>48</v>
      </c>
      <c r="AI650">
        <v>48</v>
      </c>
      <c r="AM650" s="23">
        <f t="shared" si="20"/>
        <v>148.125</v>
      </c>
      <c r="AN650" s="23">
        <v>395</v>
      </c>
      <c r="AO650" s="24">
        <v>0.2</v>
      </c>
      <c r="AP650" s="23">
        <f t="shared" si="21"/>
        <v>474</v>
      </c>
    </row>
    <row r="651" spans="1:42" ht="15" customHeight="1" x14ac:dyDescent="0.3">
      <c r="A651" t="s">
        <v>1975</v>
      </c>
      <c r="B651" t="s">
        <v>3210</v>
      </c>
      <c r="C651" t="s">
        <v>1977</v>
      </c>
      <c r="D651" s="22" t="s">
        <v>3211</v>
      </c>
      <c r="E651" t="s">
        <v>1979</v>
      </c>
      <c r="F651" t="s">
        <v>1980</v>
      </c>
      <c r="P651" t="s">
        <v>1830</v>
      </c>
      <c r="Q651" t="s">
        <v>1981</v>
      </c>
      <c r="R651" t="s">
        <v>2101</v>
      </c>
      <c r="S651" t="s">
        <v>1894</v>
      </c>
      <c r="T651" t="s">
        <v>1915</v>
      </c>
      <c r="V651">
        <v>1</v>
      </c>
      <c r="AE651" t="s">
        <v>56</v>
      </c>
      <c r="AF651" t="s">
        <v>57</v>
      </c>
      <c r="AH651">
        <v>52</v>
      </c>
      <c r="AI651">
        <v>52</v>
      </c>
      <c r="AM651" s="23">
        <f t="shared" si="20"/>
        <v>153</v>
      </c>
      <c r="AN651" s="23">
        <v>408</v>
      </c>
      <c r="AO651" s="24">
        <v>0.2</v>
      </c>
      <c r="AP651" s="23">
        <f t="shared" si="21"/>
        <v>489.59999999999997</v>
      </c>
    </row>
    <row r="652" spans="1:42" ht="15" customHeight="1" x14ac:dyDescent="0.3">
      <c r="A652" t="s">
        <v>1975</v>
      </c>
      <c r="B652" t="s">
        <v>3212</v>
      </c>
      <c r="C652" t="s">
        <v>1977</v>
      </c>
      <c r="D652" s="22" t="s">
        <v>3213</v>
      </c>
      <c r="E652" t="s">
        <v>1979</v>
      </c>
      <c r="F652" t="s">
        <v>1980</v>
      </c>
      <c r="P652" t="s">
        <v>1830</v>
      </c>
      <c r="Q652" t="s">
        <v>1981</v>
      </c>
      <c r="R652" t="s">
        <v>2104</v>
      </c>
      <c r="S652" t="s">
        <v>1894</v>
      </c>
      <c r="T652" t="s">
        <v>1915</v>
      </c>
      <c r="V652">
        <v>1</v>
      </c>
      <c r="AE652" t="s">
        <v>56</v>
      </c>
      <c r="AF652" t="s">
        <v>57</v>
      </c>
      <c r="AH652">
        <v>57</v>
      </c>
      <c r="AI652">
        <v>57</v>
      </c>
      <c r="AM652" s="23">
        <f t="shared" si="20"/>
        <v>168</v>
      </c>
      <c r="AN652" s="23">
        <v>448</v>
      </c>
      <c r="AO652" s="24">
        <v>0.2</v>
      </c>
      <c r="AP652" s="23">
        <f t="shared" si="21"/>
        <v>537.6</v>
      </c>
    </row>
    <row r="653" spans="1:42" ht="15" customHeight="1" x14ac:dyDescent="0.3">
      <c r="A653" t="s">
        <v>1975</v>
      </c>
      <c r="B653" t="s">
        <v>3214</v>
      </c>
      <c r="C653" t="s">
        <v>1977</v>
      </c>
      <c r="D653" s="22" t="s">
        <v>3215</v>
      </c>
      <c r="E653" t="s">
        <v>1979</v>
      </c>
      <c r="F653" t="s">
        <v>1980</v>
      </c>
      <c r="P653" t="s">
        <v>1830</v>
      </c>
      <c r="Q653" t="s">
        <v>1981</v>
      </c>
      <c r="R653" t="s">
        <v>2107</v>
      </c>
      <c r="S653" t="s">
        <v>1894</v>
      </c>
      <c r="T653" t="s">
        <v>1915</v>
      </c>
      <c r="V653">
        <v>1</v>
      </c>
      <c r="AE653" t="s">
        <v>56</v>
      </c>
      <c r="AF653" t="s">
        <v>57</v>
      </c>
      <c r="AH653">
        <v>61</v>
      </c>
      <c r="AI653">
        <v>61</v>
      </c>
      <c r="AM653" s="23">
        <f t="shared" si="20"/>
        <v>173.625</v>
      </c>
      <c r="AN653" s="23">
        <v>463</v>
      </c>
      <c r="AO653" s="24">
        <v>0.2</v>
      </c>
      <c r="AP653" s="23">
        <f t="shared" si="21"/>
        <v>555.6</v>
      </c>
    </row>
    <row r="654" spans="1:42" ht="15" customHeight="1" x14ac:dyDescent="0.3">
      <c r="A654" t="s">
        <v>1975</v>
      </c>
      <c r="B654" t="s">
        <v>3216</v>
      </c>
      <c r="C654" t="s">
        <v>1977</v>
      </c>
      <c r="D654" s="22" t="s">
        <v>3217</v>
      </c>
      <c r="E654" t="s">
        <v>1979</v>
      </c>
      <c r="F654" t="s">
        <v>1980</v>
      </c>
      <c r="P654" t="s">
        <v>1830</v>
      </c>
      <c r="Q654" t="s">
        <v>1981</v>
      </c>
      <c r="R654" t="s">
        <v>2110</v>
      </c>
      <c r="S654" t="s">
        <v>1894</v>
      </c>
      <c r="T654" t="s">
        <v>1915</v>
      </c>
      <c r="V654">
        <v>1</v>
      </c>
      <c r="AE654" t="s">
        <v>56</v>
      </c>
      <c r="AF654" t="s">
        <v>57</v>
      </c>
      <c r="AH654">
        <v>65</v>
      </c>
      <c r="AI654">
        <v>65</v>
      </c>
      <c r="AM654" s="23">
        <f t="shared" si="20"/>
        <v>184.125</v>
      </c>
      <c r="AN654" s="23">
        <v>491</v>
      </c>
      <c r="AO654" s="24">
        <v>0.2</v>
      </c>
      <c r="AP654" s="23">
        <f t="shared" si="21"/>
        <v>589.19999999999993</v>
      </c>
    </row>
    <row r="655" spans="1:42" ht="15" customHeight="1" x14ac:dyDescent="0.3">
      <c r="A655" t="s">
        <v>1975</v>
      </c>
      <c r="B655" t="s">
        <v>3218</v>
      </c>
      <c r="C655" t="s">
        <v>1977</v>
      </c>
      <c r="D655" s="22" t="s">
        <v>3219</v>
      </c>
      <c r="E655" t="s">
        <v>1979</v>
      </c>
      <c r="F655" t="s">
        <v>1980</v>
      </c>
      <c r="P655" t="s">
        <v>1830</v>
      </c>
      <c r="Q655" t="s">
        <v>1981</v>
      </c>
      <c r="R655" t="s">
        <v>2113</v>
      </c>
      <c r="S655" t="s">
        <v>1894</v>
      </c>
      <c r="T655" t="s">
        <v>1915</v>
      </c>
      <c r="V655">
        <v>1</v>
      </c>
      <c r="AE655" t="s">
        <v>56</v>
      </c>
      <c r="AF655" t="s">
        <v>57</v>
      </c>
      <c r="AH655">
        <v>70</v>
      </c>
      <c r="AI655">
        <v>70</v>
      </c>
      <c r="AM655" s="23">
        <f t="shared" si="20"/>
        <v>194.625</v>
      </c>
      <c r="AN655" s="23">
        <v>519</v>
      </c>
      <c r="AO655" s="24">
        <v>0.2</v>
      </c>
      <c r="AP655" s="23">
        <f t="shared" si="21"/>
        <v>622.79999999999995</v>
      </c>
    </row>
    <row r="656" spans="1:42" ht="15" customHeight="1" x14ac:dyDescent="0.3">
      <c r="A656" t="s">
        <v>1975</v>
      </c>
      <c r="B656" t="s">
        <v>3220</v>
      </c>
      <c r="C656" t="s">
        <v>1977</v>
      </c>
      <c r="D656" s="22" t="s">
        <v>3221</v>
      </c>
      <c r="E656" t="s">
        <v>1979</v>
      </c>
      <c r="F656" t="s">
        <v>1980</v>
      </c>
      <c r="P656" t="s">
        <v>1830</v>
      </c>
      <c r="Q656" t="s">
        <v>1981</v>
      </c>
      <c r="R656" t="s">
        <v>2116</v>
      </c>
      <c r="S656" t="s">
        <v>1894</v>
      </c>
      <c r="T656" t="s">
        <v>1915</v>
      </c>
      <c r="V656">
        <v>1</v>
      </c>
      <c r="AE656" t="s">
        <v>56</v>
      </c>
      <c r="AF656" t="s">
        <v>57</v>
      </c>
      <c r="AH656">
        <v>74</v>
      </c>
      <c r="AI656">
        <v>74</v>
      </c>
      <c r="AM656" s="23">
        <f t="shared" si="20"/>
        <v>205.5</v>
      </c>
      <c r="AN656" s="23">
        <v>548</v>
      </c>
      <c r="AO656" s="24">
        <v>0.2</v>
      </c>
      <c r="AP656" s="23">
        <f t="shared" si="21"/>
        <v>657.6</v>
      </c>
    </row>
    <row r="657" spans="1:42" ht="15" customHeight="1" x14ac:dyDescent="0.3">
      <c r="A657" t="s">
        <v>1975</v>
      </c>
      <c r="B657" t="s">
        <v>3222</v>
      </c>
      <c r="C657" t="s">
        <v>1977</v>
      </c>
      <c r="D657" s="22" t="s">
        <v>3223</v>
      </c>
      <c r="E657" t="s">
        <v>1979</v>
      </c>
      <c r="F657" t="s">
        <v>1980</v>
      </c>
      <c r="P657" t="s">
        <v>1830</v>
      </c>
      <c r="Q657" t="s">
        <v>1981</v>
      </c>
      <c r="R657" t="s">
        <v>2119</v>
      </c>
      <c r="S657" t="s">
        <v>1894</v>
      </c>
      <c r="T657" t="s">
        <v>1915</v>
      </c>
      <c r="V657">
        <v>1</v>
      </c>
      <c r="AE657" t="s">
        <v>56</v>
      </c>
      <c r="AF657" t="s">
        <v>57</v>
      </c>
      <c r="AH657">
        <v>78</v>
      </c>
      <c r="AI657">
        <v>78</v>
      </c>
      <c r="AM657" s="23">
        <f t="shared" si="20"/>
        <v>219.375</v>
      </c>
      <c r="AN657" s="23">
        <v>585</v>
      </c>
      <c r="AO657" s="24">
        <v>0.2</v>
      </c>
      <c r="AP657" s="23">
        <f t="shared" si="21"/>
        <v>702</v>
      </c>
    </row>
    <row r="658" spans="1:42" ht="15" customHeight="1" x14ac:dyDescent="0.3">
      <c r="A658" t="s">
        <v>1975</v>
      </c>
      <c r="B658" t="s">
        <v>3224</v>
      </c>
      <c r="C658" t="s">
        <v>1977</v>
      </c>
      <c r="D658" s="22" t="s">
        <v>3225</v>
      </c>
      <c r="E658" t="s">
        <v>1979</v>
      </c>
      <c r="F658" t="s">
        <v>1980</v>
      </c>
      <c r="P658" t="s">
        <v>1830</v>
      </c>
      <c r="Q658" t="s">
        <v>1981</v>
      </c>
      <c r="R658" t="s">
        <v>2122</v>
      </c>
      <c r="S658" t="s">
        <v>1894</v>
      </c>
      <c r="T658" t="s">
        <v>1915</v>
      </c>
      <c r="V658">
        <v>1</v>
      </c>
      <c r="AE658" t="s">
        <v>56</v>
      </c>
      <c r="AF658" t="s">
        <v>57</v>
      </c>
      <c r="AH658">
        <v>83</v>
      </c>
      <c r="AI658">
        <v>83</v>
      </c>
      <c r="AM658" s="23">
        <f t="shared" si="20"/>
        <v>236.25</v>
      </c>
      <c r="AN658" s="23">
        <v>630</v>
      </c>
      <c r="AO658" s="24">
        <v>0.2</v>
      </c>
      <c r="AP658" s="23">
        <f t="shared" si="21"/>
        <v>756</v>
      </c>
    </row>
    <row r="659" spans="1:42" ht="15" customHeight="1" x14ac:dyDescent="0.3">
      <c r="A659" t="s">
        <v>1975</v>
      </c>
      <c r="B659" t="s">
        <v>3226</v>
      </c>
      <c r="C659" t="s">
        <v>1977</v>
      </c>
      <c r="D659" s="22" t="s">
        <v>3227</v>
      </c>
      <c r="E659" t="s">
        <v>1979</v>
      </c>
      <c r="F659" t="s">
        <v>1980</v>
      </c>
      <c r="P659" t="s">
        <v>1830</v>
      </c>
      <c r="Q659" t="s">
        <v>1981</v>
      </c>
      <c r="R659" t="s">
        <v>2125</v>
      </c>
      <c r="S659" t="s">
        <v>1894</v>
      </c>
      <c r="T659" t="s">
        <v>1915</v>
      </c>
      <c r="V659">
        <v>1</v>
      </c>
      <c r="AE659" t="s">
        <v>56</v>
      </c>
      <c r="AF659" t="s">
        <v>57</v>
      </c>
      <c r="AH659">
        <v>87</v>
      </c>
      <c r="AI659">
        <v>87</v>
      </c>
      <c r="AM659" s="23">
        <f t="shared" si="20"/>
        <v>241.125</v>
      </c>
      <c r="AN659" s="23">
        <v>643</v>
      </c>
      <c r="AO659" s="24">
        <v>0.2</v>
      </c>
      <c r="AP659" s="23">
        <f t="shared" si="21"/>
        <v>771.6</v>
      </c>
    </row>
    <row r="660" spans="1:42" ht="15" customHeight="1" x14ac:dyDescent="0.3">
      <c r="A660" t="s">
        <v>1975</v>
      </c>
      <c r="B660" t="s">
        <v>3228</v>
      </c>
      <c r="C660" t="s">
        <v>1977</v>
      </c>
      <c r="D660" s="22" t="s">
        <v>3229</v>
      </c>
      <c r="E660" t="s">
        <v>1979</v>
      </c>
      <c r="F660" t="s">
        <v>1980</v>
      </c>
      <c r="P660" t="s">
        <v>1830</v>
      </c>
      <c r="Q660" t="s">
        <v>1981</v>
      </c>
      <c r="R660" t="s">
        <v>2128</v>
      </c>
      <c r="S660" t="s">
        <v>1894</v>
      </c>
      <c r="T660" t="s">
        <v>1915</v>
      </c>
      <c r="V660">
        <v>1</v>
      </c>
      <c r="AE660" t="s">
        <v>56</v>
      </c>
      <c r="AF660" t="s">
        <v>57</v>
      </c>
      <c r="AH660">
        <v>39</v>
      </c>
      <c r="AI660">
        <v>39</v>
      </c>
      <c r="AM660" s="23">
        <f t="shared" si="20"/>
        <v>114.375</v>
      </c>
      <c r="AN660" s="23">
        <v>305</v>
      </c>
      <c r="AO660" s="24">
        <v>0.2</v>
      </c>
      <c r="AP660" s="23">
        <f t="shared" si="21"/>
        <v>366</v>
      </c>
    </row>
    <row r="661" spans="1:42" ht="15" customHeight="1" x14ac:dyDescent="0.3">
      <c r="A661" t="s">
        <v>3230</v>
      </c>
      <c r="B661" t="s">
        <v>3231</v>
      </c>
      <c r="C661" t="s">
        <v>3232</v>
      </c>
      <c r="D661" s="22" t="s">
        <v>3233</v>
      </c>
      <c r="E661" t="s">
        <v>3234</v>
      </c>
      <c r="F661" t="s">
        <v>3235</v>
      </c>
      <c r="O661" t="s">
        <v>3236</v>
      </c>
      <c r="P661" t="s">
        <v>1830</v>
      </c>
      <c r="Q661" t="s">
        <v>1156</v>
      </c>
      <c r="R661" s="22" t="s">
        <v>3237</v>
      </c>
      <c r="S661" t="s">
        <v>3238</v>
      </c>
      <c r="T661" s="22" t="s">
        <v>49</v>
      </c>
      <c r="V661">
        <v>1</v>
      </c>
      <c r="AE661" t="s">
        <v>56</v>
      </c>
      <c r="AF661" t="s">
        <v>57</v>
      </c>
      <c r="AH661" s="25">
        <v>15</v>
      </c>
      <c r="AI661" s="25">
        <v>15</v>
      </c>
      <c r="AM661" s="23">
        <f t="shared" si="20"/>
        <v>186.375</v>
      </c>
      <c r="AN661" s="23">
        <v>497</v>
      </c>
      <c r="AO661" s="24">
        <v>0.2</v>
      </c>
      <c r="AP661" s="23">
        <f t="shared" si="21"/>
        <v>596.4</v>
      </c>
    </row>
    <row r="662" spans="1:42" ht="15" customHeight="1" x14ac:dyDescent="0.3">
      <c r="A662" t="s">
        <v>3230</v>
      </c>
      <c r="B662" t="s">
        <v>3239</v>
      </c>
      <c r="C662" t="s">
        <v>3232</v>
      </c>
      <c r="D662" s="22" t="s">
        <v>3240</v>
      </c>
      <c r="E662" t="s">
        <v>3234</v>
      </c>
      <c r="F662" t="s">
        <v>3235</v>
      </c>
      <c r="O662" t="s">
        <v>3236</v>
      </c>
      <c r="P662" t="s">
        <v>1830</v>
      </c>
      <c r="Q662" t="s">
        <v>1156</v>
      </c>
      <c r="R662" s="22" t="s">
        <v>3237</v>
      </c>
      <c r="S662" t="s">
        <v>3238</v>
      </c>
      <c r="T662" s="22" t="s">
        <v>1874</v>
      </c>
      <c r="V662">
        <v>1</v>
      </c>
      <c r="AE662" t="s">
        <v>56</v>
      </c>
      <c r="AF662" t="s">
        <v>57</v>
      </c>
      <c r="AH662" s="25">
        <v>15</v>
      </c>
      <c r="AI662" s="25">
        <v>15</v>
      </c>
      <c r="AM662" s="23">
        <f t="shared" si="20"/>
        <v>279</v>
      </c>
      <c r="AN662" s="23">
        <v>744</v>
      </c>
      <c r="AO662" s="24">
        <v>0.2</v>
      </c>
      <c r="AP662" s="23">
        <f t="shared" si="21"/>
        <v>892.8</v>
      </c>
    </row>
    <row r="663" spans="1:42" ht="15" customHeight="1" x14ac:dyDescent="0.3">
      <c r="A663" t="s">
        <v>3230</v>
      </c>
      <c r="B663" t="s">
        <v>3241</v>
      </c>
      <c r="C663" t="s">
        <v>3232</v>
      </c>
      <c r="D663" s="22" t="s">
        <v>3242</v>
      </c>
      <c r="E663" t="s">
        <v>3234</v>
      </c>
      <c r="F663" t="s">
        <v>3235</v>
      </c>
      <c r="O663" t="s">
        <v>3236</v>
      </c>
      <c r="P663" t="s">
        <v>1830</v>
      </c>
      <c r="Q663" t="s">
        <v>1156</v>
      </c>
      <c r="R663" s="22" t="s">
        <v>3237</v>
      </c>
      <c r="S663" t="s">
        <v>3238</v>
      </c>
      <c r="T663" s="22" t="s">
        <v>1877</v>
      </c>
      <c r="V663">
        <v>1</v>
      </c>
      <c r="AE663" t="s">
        <v>56</v>
      </c>
      <c r="AF663" t="s">
        <v>57</v>
      </c>
      <c r="AH663" s="25">
        <v>15</v>
      </c>
      <c r="AI663" s="25">
        <v>15</v>
      </c>
      <c r="AM663" s="23">
        <f t="shared" si="20"/>
        <v>211.875</v>
      </c>
      <c r="AN663" s="23">
        <v>565</v>
      </c>
      <c r="AO663" s="24">
        <v>0.2</v>
      </c>
      <c r="AP663" s="23">
        <f t="shared" si="21"/>
        <v>678</v>
      </c>
    </row>
    <row r="664" spans="1:42" ht="15" customHeight="1" x14ac:dyDescent="0.3">
      <c r="A664" t="s">
        <v>3230</v>
      </c>
      <c r="B664" t="s">
        <v>3243</v>
      </c>
      <c r="C664" t="s">
        <v>3232</v>
      </c>
      <c r="D664" s="22" t="s">
        <v>3244</v>
      </c>
      <c r="E664" t="s">
        <v>3234</v>
      </c>
      <c r="F664" t="s">
        <v>3235</v>
      </c>
      <c r="O664" t="s">
        <v>3236</v>
      </c>
      <c r="P664" t="s">
        <v>1830</v>
      </c>
      <c r="Q664" t="s">
        <v>1156</v>
      </c>
      <c r="R664" s="22" t="s">
        <v>3237</v>
      </c>
      <c r="S664" t="s">
        <v>3238</v>
      </c>
      <c r="T664" s="22" t="s">
        <v>1880</v>
      </c>
      <c r="V664">
        <v>1</v>
      </c>
      <c r="AE664" t="s">
        <v>56</v>
      </c>
      <c r="AF664" t="s">
        <v>57</v>
      </c>
      <c r="AH664" s="25">
        <v>15</v>
      </c>
      <c r="AI664" s="25">
        <v>15</v>
      </c>
      <c r="AM664" s="23">
        <f t="shared" si="20"/>
        <v>211.875</v>
      </c>
      <c r="AN664" s="23">
        <v>565</v>
      </c>
      <c r="AO664" s="24">
        <v>0.2</v>
      </c>
      <c r="AP664" s="23">
        <f t="shared" si="21"/>
        <v>678</v>
      </c>
    </row>
    <row r="665" spans="1:42" ht="15" customHeight="1" x14ac:dyDescent="0.3">
      <c r="A665" t="s">
        <v>3230</v>
      </c>
      <c r="B665" t="s">
        <v>3245</v>
      </c>
      <c r="C665" t="s">
        <v>3232</v>
      </c>
      <c r="D665" s="22" t="s">
        <v>3246</v>
      </c>
      <c r="E665" t="s">
        <v>3234</v>
      </c>
      <c r="F665" t="s">
        <v>3235</v>
      </c>
      <c r="O665" t="s">
        <v>3236</v>
      </c>
      <c r="P665" t="s">
        <v>1830</v>
      </c>
      <c r="Q665" t="s">
        <v>1156</v>
      </c>
      <c r="R665" s="22" t="s">
        <v>3237</v>
      </c>
      <c r="S665" t="s">
        <v>3238</v>
      </c>
      <c r="T665" s="22" t="s">
        <v>1915</v>
      </c>
      <c r="V665">
        <v>1</v>
      </c>
      <c r="AE665" t="s">
        <v>56</v>
      </c>
      <c r="AF665" t="s">
        <v>57</v>
      </c>
      <c r="AH665" s="25">
        <v>15</v>
      </c>
      <c r="AI665" s="25">
        <v>15</v>
      </c>
      <c r="AM665" s="23">
        <f t="shared" si="20"/>
        <v>211.875</v>
      </c>
      <c r="AN665" s="23">
        <v>565</v>
      </c>
      <c r="AO665" s="24">
        <v>0.2</v>
      </c>
      <c r="AP665" s="23">
        <f t="shared" si="21"/>
        <v>678</v>
      </c>
    </row>
    <row r="666" spans="1:42" ht="15" customHeight="1" x14ac:dyDescent="0.3">
      <c r="A666" t="s">
        <v>3230</v>
      </c>
      <c r="B666" t="s">
        <v>3247</v>
      </c>
      <c r="C666" t="s">
        <v>3232</v>
      </c>
      <c r="D666" s="22" t="s">
        <v>3248</v>
      </c>
      <c r="E666" t="s">
        <v>3234</v>
      </c>
      <c r="F666" t="s">
        <v>3235</v>
      </c>
      <c r="O666" t="s">
        <v>3236</v>
      </c>
      <c r="P666" t="s">
        <v>1830</v>
      </c>
      <c r="Q666" t="s">
        <v>1156</v>
      </c>
      <c r="R666" s="22" t="s">
        <v>3237</v>
      </c>
      <c r="S666" t="s">
        <v>3238</v>
      </c>
      <c r="T666" s="22" t="s">
        <v>325</v>
      </c>
      <c r="V666">
        <v>1</v>
      </c>
      <c r="AE666" t="s">
        <v>56</v>
      </c>
      <c r="AF666" t="s">
        <v>57</v>
      </c>
      <c r="AH666" s="25">
        <v>15</v>
      </c>
      <c r="AI666" s="25">
        <v>15</v>
      </c>
      <c r="AM666" s="23">
        <f t="shared" si="20"/>
        <v>211.875</v>
      </c>
      <c r="AN666" s="23">
        <v>565</v>
      </c>
      <c r="AO666" s="24">
        <v>0.2</v>
      </c>
      <c r="AP666" s="23">
        <f t="shared" si="21"/>
        <v>678</v>
      </c>
    </row>
    <row r="667" spans="1:42" ht="15" customHeight="1" x14ac:dyDescent="0.3">
      <c r="A667" t="s">
        <v>3230</v>
      </c>
      <c r="B667" t="s">
        <v>3249</v>
      </c>
      <c r="C667" t="s">
        <v>3232</v>
      </c>
      <c r="D667" s="22" t="s">
        <v>3250</v>
      </c>
      <c r="E667" t="s">
        <v>3234</v>
      </c>
      <c r="F667" t="s">
        <v>3235</v>
      </c>
      <c r="O667" t="s">
        <v>3236</v>
      </c>
      <c r="P667" t="s">
        <v>1830</v>
      </c>
      <c r="Q667" t="s">
        <v>1156</v>
      </c>
      <c r="R667" s="22" t="s">
        <v>3237</v>
      </c>
      <c r="S667" t="s">
        <v>3238</v>
      </c>
      <c r="T667" s="22" t="s">
        <v>1871</v>
      </c>
      <c r="V667">
        <v>1</v>
      </c>
      <c r="AE667" t="s">
        <v>56</v>
      </c>
      <c r="AF667" t="s">
        <v>57</v>
      </c>
      <c r="AH667" s="25">
        <v>15</v>
      </c>
      <c r="AI667" s="25">
        <v>15</v>
      </c>
      <c r="AM667" s="23">
        <f t="shared" si="20"/>
        <v>211.875</v>
      </c>
      <c r="AN667" s="23">
        <v>565</v>
      </c>
      <c r="AO667" s="24">
        <v>0.2</v>
      </c>
      <c r="AP667" s="23">
        <f t="shared" si="21"/>
        <v>678</v>
      </c>
    </row>
    <row r="668" spans="1:42" ht="15" customHeight="1" x14ac:dyDescent="0.3">
      <c r="A668" t="s">
        <v>3230</v>
      </c>
      <c r="B668" t="s">
        <v>3251</v>
      </c>
      <c r="C668" t="s">
        <v>3232</v>
      </c>
      <c r="D668" s="22" t="s">
        <v>3252</v>
      </c>
      <c r="E668" t="s">
        <v>3234</v>
      </c>
      <c r="F668" t="s">
        <v>3235</v>
      </c>
      <c r="O668" t="s">
        <v>3236</v>
      </c>
      <c r="P668" t="s">
        <v>1830</v>
      </c>
      <c r="Q668" t="s">
        <v>1156</v>
      </c>
      <c r="R668" s="22" t="s">
        <v>3237</v>
      </c>
      <c r="S668" t="s">
        <v>3238</v>
      </c>
      <c r="T668" s="22" t="s">
        <v>1940</v>
      </c>
      <c r="V668">
        <v>1</v>
      </c>
      <c r="AE668" t="s">
        <v>56</v>
      </c>
      <c r="AF668" t="s">
        <v>57</v>
      </c>
      <c r="AH668" s="25">
        <v>15</v>
      </c>
      <c r="AI668" s="25">
        <v>15</v>
      </c>
      <c r="AM668" s="23">
        <f t="shared" si="20"/>
        <v>211.875</v>
      </c>
      <c r="AN668" s="23">
        <v>565</v>
      </c>
      <c r="AO668" s="24">
        <v>0.2</v>
      </c>
      <c r="AP668" s="23">
        <f t="shared" si="21"/>
        <v>678</v>
      </c>
    </row>
    <row r="669" spans="1:42" ht="15" customHeight="1" x14ac:dyDescent="0.3">
      <c r="A669" t="s">
        <v>3230</v>
      </c>
      <c r="B669" t="s">
        <v>3253</v>
      </c>
      <c r="C669" t="s">
        <v>3232</v>
      </c>
      <c r="D669" s="22" t="s">
        <v>3254</v>
      </c>
      <c r="E669" t="s">
        <v>3234</v>
      </c>
      <c r="F669" t="s">
        <v>3235</v>
      </c>
      <c r="O669" t="s">
        <v>3236</v>
      </c>
      <c r="P669" t="s">
        <v>1830</v>
      </c>
      <c r="Q669" t="s">
        <v>1156</v>
      </c>
      <c r="R669" s="22" t="s">
        <v>3237</v>
      </c>
      <c r="S669" t="s">
        <v>3238</v>
      </c>
      <c r="T669" s="22" t="s">
        <v>1883</v>
      </c>
      <c r="V669">
        <v>1</v>
      </c>
      <c r="AE669" t="s">
        <v>56</v>
      </c>
      <c r="AF669" t="s">
        <v>57</v>
      </c>
      <c r="AH669" s="25">
        <v>15</v>
      </c>
      <c r="AI669" s="25">
        <v>15</v>
      </c>
      <c r="AM669" s="23">
        <f t="shared" si="20"/>
        <v>211.875</v>
      </c>
      <c r="AN669" s="23">
        <v>565</v>
      </c>
      <c r="AO669" s="24">
        <v>0.2</v>
      </c>
      <c r="AP669" s="23">
        <f t="shared" si="21"/>
        <v>678</v>
      </c>
    </row>
    <row r="670" spans="1:42" ht="15" customHeight="1" x14ac:dyDescent="0.3">
      <c r="A670" t="s">
        <v>3230</v>
      </c>
      <c r="B670" t="s">
        <v>3255</v>
      </c>
      <c r="C670" t="s">
        <v>3232</v>
      </c>
      <c r="D670" s="22" t="s">
        <v>3256</v>
      </c>
      <c r="E670" t="s">
        <v>3234</v>
      </c>
      <c r="F670" t="s">
        <v>3235</v>
      </c>
      <c r="O670" t="s">
        <v>3236</v>
      </c>
      <c r="P670" t="s">
        <v>1830</v>
      </c>
      <c r="Q670" t="s">
        <v>1156</v>
      </c>
      <c r="R670" s="22" t="s">
        <v>3237</v>
      </c>
      <c r="S670" t="s">
        <v>3238</v>
      </c>
      <c r="T670" s="22" t="s">
        <v>1863</v>
      </c>
      <c r="V670">
        <v>1</v>
      </c>
      <c r="AE670" t="s">
        <v>56</v>
      </c>
      <c r="AF670" t="s">
        <v>57</v>
      </c>
      <c r="AH670" s="25">
        <v>15</v>
      </c>
      <c r="AI670" s="25">
        <v>15</v>
      </c>
      <c r="AM670" s="23">
        <f t="shared" si="20"/>
        <v>211.875</v>
      </c>
      <c r="AN670" s="23">
        <v>565</v>
      </c>
      <c r="AO670" s="24">
        <v>0.2</v>
      </c>
      <c r="AP670" s="23">
        <f t="shared" si="21"/>
        <v>678</v>
      </c>
    </row>
    <row r="671" spans="1:42" ht="15" customHeight="1" x14ac:dyDescent="0.3">
      <c r="A671" t="s">
        <v>3230</v>
      </c>
      <c r="B671" t="s">
        <v>3257</v>
      </c>
      <c r="C671" t="s">
        <v>3232</v>
      </c>
      <c r="D671" s="22" t="s">
        <v>3258</v>
      </c>
      <c r="E671" t="s">
        <v>3234</v>
      </c>
      <c r="F671" t="s">
        <v>3235</v>
      </c>
      <c r="O671" t="s">
        <v>3236</v>
      </c>
      <c r="P671" t="s">
        <v>1830</v>
      </c>
      <c r="Q671" t="s">
        <v>1156</v>
      </c>
      <c r="R671" s="22" t="s">
        <v>3237</v>
      </c>
      <c r="S671" t="s">
        <v>3238</v>
      </c>
      <c r="T671" s="26" t="s">
        <v>328</v>
      </c>
      <c r="V671">
        <v>1</v>
      </c>
      <c r="AE671" t="s">
        <v>56</v>
      </c>
      <c r="AF671" t="s">
        <v>57</v>
      </c>
      <c r="AH671" s="25">
        <v>15</v>
      </c>
      <c r="AI671" s="25">
        <v>15</v>
      </c>
      <c r="AM671" s="23">
        <f t="shared" si="20"/>
        <v>211.875</v>
      </c>
      <c r="AN671" s="23">
        <v>565</v>
      </c>
      <c r="AO671" s="24">
        <v>0.2</v>
      </c>
      <c r="AP671" s="23">
        <f t="shared" si="21"/>
        <v>678</v>
      </c>
    </row>
    <row r="672" spans="1:42" ht="15" customHeight="1" x14ac:dyDescent="0.3">
      <c r="A672" t="s">
        <v>3230</v>
      </c>
      <c r="B672" t="s">
        <v>3259</v>
      </c>
      <c r="C672" t="s">
        <v>3232</v>
      </c>
      <c r="D672" s="22" t="s">
        <v>3260</v>
      </c>
      <c r="E672" t="s">
        <v>3234</v>
      </c>
      <c r="F672" t="s">
        <v>3235</v>
      </c>
      <c r="O672" t="s">
        <v>3236</v>
      </c>
      <c r="P672" t="s">
        <v>1830</v>
      </c>
      <c r="Q672" t="s">
        <v>1156</v>
      </c>
      <c r="R672" s="22" t="s">
        <v>3237</v>
      </c>
      <c r="S672" t="s">
        <v>3238</v>
      </c>
      <c r="T672" s="22" t="s">
        <v>279</v>
      </c>
      <c r="V672">
        <v>1</v>
      </c>
      <c r="AE672" t="s">
        <v>56</v>
      </c>
      <c r="AF672" t="s">
        <v>57</v>
      </c>
      <c r="AH672" s="25">
        <v>15</v>
      </c>
      <c r="AI672" s="25">
        <v>15</v>
      </c>
      <c r="AM672" s="23">
        <f t="shared" si="20"/>
        <v>211.875</v>
      </c>
      <c r="AN672" s="23">
        <v>565</v>
      </c>
      <c r="AO672" s="24">
        <v>0.2</v>
      </c>
      <c r="AP672" s="23">
        <f t="shared" si="21"/>
        <v>678</v>
      </c>
    </row>
    <row r="673" spans="1:42" ht="15" customHeight="1" x14ac:dyDescent="0.3">
      <c r="A673" t="s">
        <v>3230</v>
      </c>
      <c r="B673" t="s">
        <v>3261</v>
      </c>
      <c r="C673" t="s">
        <v>3232</v>
      </c>
      <c r="D673" s="22" t="s">
        <v>3262</v>
      </c>
      <c r="E673" t="s">
        <v>3234</v>
      </c>
      <c r="F673" t="s">
        <v>3235</v>
      </c>
      <c r="O673" t="s">
        <v>3236</v>
      </c>
      <c r="P673" t="s">
        <v>1830</v>
      </c>
      <c r="Q673" t="s">
        <v>1156</v>
      </c>
      <c r="R673" s="22" t="s">
        <v>3237</v>
      </c>
      <c r="S673" t="s">
        <v>3238</v>
      </c>
      <c r="T673" s="22" t="s">
        <v>3263</v>
      </c>
      <c r="V673">
        <v>1</v>
      </c>
      <c r="AE673" t="s">
        <v>56</v>
      </c>
      <c r="AF673" t="s">
        <v>57</v>
      </c>
      <c r="AH673" s="25">
        <v>15</v>
      </c>
      <c r="AI673" s="25">
        <v>15</v>
      </c>
      <c r="AM673" s="23">
        <f t="shared" si="20"/>
        <v>211.875</v>
      </c>
      <c r="AN673" s="23">
        <v>565</v>
      </c>
      <c r="AO673" s="24">
        <v>0.2</v>
      </c>
      <c r="AP673" s="23">
        <f t="shared" si="21"/>
        <v>678</v>
      </c>
    </row>
    <row r="674" spans="1:42" ht="15" customHeight="1" x14ac:dyDescent="0.3">
      <c r="A674" t="s">
        <v>3230</v>
      </c>
      <c r="B674" t="s">
        <v>3264</v>
      </c>
      <c r="C674" t="s">
        <v>3232</v>
      </c>
      <c r="D674" s="22" t="s">
        <v>3265</v>
      </c>
      <c r="E674" t="s">
        <v>3234</v>
      </c>
      <c r="F674" t="s">
        <v>3235</v>
      </c>
      <c r="O674" t="s">
        <v>3236</v>
      </c>
      <c r="P674" t="s">
        <v>1830</v>
      </c>
      <c r="Q674" t="s">
        <v>1156</v>
      </c>
      <c r="R674" s="22" t="s">
        <v>3237</v>
      </c>
      <c r="S674" t="s">
        <v>3238</v>
      </c>
      <c r="T674" s="22" t="s">
        <v>1845</v>
      </c>
      <c r="V674">
        <v>1</v>
      </c>
      <c r="AE674" t="s">
        <v>56</v>
      </c>
      <c r="AF674" t="s">
        <v>57</v>
      </c>
      <c r="AH674" s="25">
        <v>15</v>
      </c>
      <c r="AI674" s="25">
        <v>15</v>
      </c>
      <c r="AM674" s="23">
        <f t="shared" si="20"/>
        <v>211.875</v>
      </c>
      <c r="AN674" s="23">
        <v>565</v>
      </c>
      <c r="AO674" s="24">
        <v>0.2</v>
      </c>
      <c r="AP674" s="23">
        <f t="shared" si="21"/>
        <v>678</v>
      </c>
    </row>
    <row r="675" spans="1:42" ht="15" customHeight="1" x14ac:dyDescent="0.3">
      <c r="A675" t="s">
        <v>3230</v>
      </c>
      <c r="B675" t="s">
        <v>3266</v>
      </c>
      <c r="C675" t="s">
        <v>3232</v>
      </c>
      <c r="D675" s="22" t="s">
        <v>3267</v>
      </c>
      <c r="E675" t="s">
        <v>3234</v>
      </c>
      <c r="F675" t="s">
        <v>3235</v>
      </c>
      <c r="O675" t="s">
        <v>3236</v>
      </c>
      <c r="P675" t="s">
        <v>1830</v>
      </c>
      <c r="Q675" t="s">
        <v>1156</v>
      </c>
      <c r="R675" s="22" t="s">
        <v>3237</v>
      </c>
      <c r="S675" t="s">
        <v>3238</v>
      </c>
      <c r="T675" s="22" t="s">
        <v>3268</v>
      </c>
      <c r="V675">
        <v>1</v>
      </c>
      <c r="AE675" t="s">
        <v>56</v>
      </c>
      <c r="AF675" t="s">
        <v>57</v>
      </c>
      <c r="AH675" s="25">
        <v>15</v>
      </c>
      <c r="AI675" s="25">
        <v>15</v>
      </c>
      <c r="AM675" s="23">
        <f t="shared" si="20"/>
        <v>211.875</v>
      </c>
      <c r="AN675" s="23">
        <v>565</v>
      </c>
      <c r="AO675" s="24">
        <v>0.2</v>
      </c>
      <c r="AP675" s="23">
        <f t="shared" si="21"/>
        <v>678</v>
      </c>
    </row>
    <row r="676" spans="1:42" ht="15" customHeight="1" x14ac:dyDescent="0.3">
      <c r="A676" t="s">
        <v>3230</v>
      </c>
      <c r="B676" t="s">
        <v>3269</v>
      </c>
      <c r="C676" t="s">
        <v>3232</v>
      </c>
      <c r="D676" s="22" t="s">
        <v>3270</v>
      </c>
      <c r="E676" t="s">
        <v>3234</v>
      </c>
      <c r="F676" t="s">
        <v>3235</v>
      </c>
      <c r="O676" t="s">
        <v>3236</v>
      </c>
      <c r="P676" t="s">
        <v>1830</v>
      </c>
      <c r="Q676" t="s">
        <v>1156</v>
      </c>
      <c r="R676" s="22" t="s">
        <v>3237</v>
      </c>
      <c r="S676" t="s">
        <v>3238</v>
      </c>
      <c r="T676" s="22" t="s">
        <v>1150</v>
      </c>
      <c r="V676">
        <v>1</v>
      </c>
      <c r="AE676" t="s">
        <v>56</v>
      </c>
      <c r="AF676" t="s">
        <v>57</v>
      </c>
      <c r="AH676" s="25">
        <v>15</v>
      </c>
      <c r="AI676" s="25">
        <v>15</v>
      </c>
      <c r="AM676" s="23">
        <f t="shared" si="20"/>
        <v>211.875</v>
      </c>
      <c r="AN676" s="23">
        <v>565</v>
      </c>
      <c r="AO676" s="24">
        <v>0.2</v>
      </c>
      <c r="AP676" s="23">
        <f t="shared" si="21"/>
        <v>678</v>
      </c>
    </row>
    <row r="677" spans="1:42" ht="15" customHeight="1" x14ac:dyDescent="0.3">
      <c r="A677" t="s">
        <v>3230</v>
      </c>
      <c r="B677" t="s">
        <v>3271</v>
      </c>
      <c r="C677" t="s">
        <v>3232</v>
      </c>
      <c r="D677" s="22" t="s">
        <v>3272</v>
      </c>
      <c r="E677" t="s">
        <v>3234</v>
      </c>
      <c r="F677" t="s">
        <v>3235</v>
      </c>
      <c r="O677" t="s">
        <v>3236</v>
      </c>
      <c r="P677" t="s">
        <v>1830</v>
      </c>
      <c r="Q677" t="s">
        <v>1156</v>
      </c>
      <c r="R677" s="22" t="s">
        <v>3237</v>
      </c>
      <c r="S677" t="s">
        <v>3238</v>
      </c>
      <c r="T677" s="22" t="s">
        <v>1848</v>
      </c>
      <c r="V677">
        <v>1</v>
      </c>
      <c r="AE677" t="s">
        <v>56</v>
      </c>
      <c r="AF677" t="s">
        <v>57</v>
      </c>
      <c r="AH677" s="25">
        <v>15</v>
      </c>
      <c r="AI677" s="25">
        <v>15</v>
      </c>
      <c r="AM677" s="23">
        <f t="shared" si="20"/>
        <v>211.875</v>
      </c>
      <c r="AN677" s="23">
        <v>565</v>
      </c>
      <c r="AO677" s="24">
        <v>0.2</v>
      </c>
      <c r="AP677" s="23">
        <f t="shared" si="21"/>
        <v>678</v>
      </c>
    </row>
    <row r="678" spans="1:42" ht="15" customHeight="1" x14ac:dyDescent="0.3">
      <c r="A678" t="s">
        <v>3230</v>
      </c>
      <c r="B678" t="s">
        <v>3273</v>
      </c>
      <c r="C678" t="s">
        <v>3232</v>
      </c>
      <c r="D678" s="22" t="s">
        <v>3274</v>
      </c>
      <c r="E678" t="s">
        <v>3234</v>
      </c>
      <c r="F678" t="s">
        <v>3235</v>
      </c>
      <c r="O678" t="s">
        <v>3236</v>
      </c>
      <c r="P678" t="s">
        <v>1830</v>
      </c>
      <c r="Q678" t="s">
        <v>1156</v>
      </c>
      <c r="R678" s="22" t="s">
        <v>3237</v>
      </c>
      <c r="S678" t="s">
        <v>3238</v>
      </c>
      <c r="T678" s="22" t="s">
        <v>1842</v>
      </c>
      <c r="V678">
        <v>1</v>
      </c>
      <c r="AE678" t="s">
        <v>56</v>
      </c>
      <c r="AF678" t="s">
        <v>57</v>
      </c>
      <c r="AH678" s="25">
        <v>15</v>
      </c>
      <c r="AI678" s="25">
        <v>15</v>
      </c>
      <c r="AM678" s="23">
        <f t="shared" si="20"/>
        <v>211.875</v>
      </c>
      <c r="AN678" s="23">
        <v>565</v>
      </c>
      <c r="AO678" s="24">
        <v>0.2</v>
      </c>
      <c r="AP678" s="23">
        <f t="shared" si="21"/>
        <v>678</v>
      </c>
    </row>
    <row r="679" spans="1:42" ht="15" customHeight="1" x14ac:dyDescent="0.3">
      <c r="A679" t="s">
        <v>3230</v>
      </c>
      <c r="B679" t="s">
        <v>3275</v>
      </c>
      <c r="C679" t="s">
        <v>3232</v>
      </c>
      <c r="D679" s="22" t="s">
        <v>3276</v>
      </c>
      <c r="E679" t="s">
        <v>3234</v>
      </c>
      <c r="F679" t="s">
        <v>3235</v>
      </c>
      <c r="O679" t="s">
        <v>3236</v>
      </c>
      <c r="P679" t="s">
        <v>1830</v>
      </c>
      <c r="Q679" t="s">
        <v>1156</v>
      </c>
      <c r="R679" s="22" t="s">
        <v>3237</v>
      </c>
      <c r="S679" t="s">
        <v>3238</v>
      </c>
      <c r="T679" s="22" t="s">
        <v>1886</v>
      </c>
      <c r="V679">
        <v>1</v>
      </c>
      <c r="AE679" t="s">
        <v>56</v>
      </c>
      <c r="AF679" t="s">
        <v>57</v>
      </c>
      <c r="AH679" s="25">
        <v>15</v>
      </c>
      <c r="AI679" s="25">
        <v>15</v>
      </c>
      <c r="AM679" s="23">
        <f t="shared" si="20"/>
        <v>211.875</v>
      </c>
      <c r="AN679" s="23">
        <v>565</v>
      </c>
      <c r="AO679" s="24">
        <v>0.2</v>
      </c>
      <c r="AP679" s="23">
        <f t="shared" si="21"/>
        <v>678</v>
      </c>
    </row>
    <row r="680" spans="1:42" ht="15" customHeight="1" x14ac:dyDescent="0.3">
      <c r="A680" t="s">
        <v>3277</v>
      </c>
      <c r="B680" t="s">
        <v>3278</v>
      </c>
      <c r="C680" t="s">
        <v>3279</v>
      </c>
      <c r="D680" s="22" t="s">
        <v>3280</v>
      </c>
      <c r="E680" t="s">
        <v>3281</v>
      </c>
      <c r="F680" t="s">
        <v>3235</v>
      </c>
      <c r="O680" t="s">
        <v>3236</v>
      </c>
      <c r="P680" t="s">
        <v>1830</v>
      </c>
      <c r="Q680" t="s">
        <v>1156</v>
      </c>
      <c r="R680" s="22" t="s">
        <v>3282</v>
      </c>
      <c r="S680" t="s">
        <v>3238</v>
      </c>
      <c r="T680" s="22" t="s">
        <v>49</v>
      </c>
      <c r="V680">
        <v>1</v>
      </c>
      <c r="AE680" t="s">
        <v>56</v>
      </c>
      <c r="AF680" t="s">
        <v>57</v>
      </c>
      <c r="AH680" s="25">
        <v>7</v>
      </c>
      <c r="AI680" s="25">
        <v>10</v>
      </c>
      <c r="AM680" s="23">
        <f t="shared" si="20"/>
        <v>402.75</v>
      </c>
      <c r="AN680" s="23">
        <v>1074</v>
      </c>
      <c r="AO680" s="24">
        <v>0.2</v>
      </c>
      <c r="AP680" s="23">
        <f t="shared" si="21"/>
        <v>1288.8</v>
      </c>
    </row>
    <row r="681" spans="1:42" ht="15" customHeight="1" x14ac:dyDescent="0.3">
      <c r="A681" t="s">
        <v>3277</v>
      </c>
      <c r="B681" t="s">
        <v>3283</v>
      </c>
      <c r="C681" t="s">
        <v>3279</v>
      </c>
      <c r="D681" s="22" t="s">
        <v>3284</v>
      </c>
      <c r="E681" t="s">
        <v>3281</v>
      </c>
      <c r="F681" t="s">
        <v>3235</v>
      </c>
      <c r="O681" t="s">
        <v>3236</v>
      </c>
      <c r="P681" t="s">
        <v>1830</v>
      </c>
      <c r="Q681" t="s">
        <v>1156</v>
      </c>
      <c r="R681" s="22" t="s">
        <v>3282</v>
      </c>
      <c r="S681" t="s">
        <v>3238</v>
      </c>
      <c r="T681" s="22" t="s">
        <v>1848</v>
      </c>
      <c r="V681">
        <v>1</v>
      </c>
      <c r="AE681" t="s">
        <v>56</v>
      </c>
      <c r="AF681" t="s">
        <v>57</v>
      </c>
      <c r="AH681" s="25">
        <v>7</v>
      </c>
      <c r="AI681" s="25">
        <v>10</v>
      </c>
      <c r="AM681" s="23">
        <f t="shared" si="20"/>
        <v>491.25</v>
      </c>
      <c r="AN681" s="23">
        <v>1310</v>
      </c>
      <c r="AO681" s="24">
        <v>0.2</v>
      </c>
      <c r="AP681" s="23">
        <f t="shared" si="21"/>
        <v>1572</v>
      </c>
    </row>
    <row r="682" spans="1:42" ht="15" customHeight="1" x14ac:dyDescent="0.3">
      <c r="A682" t="s">
        <v>3277</v>
      </c>
      <c r="B682" t="s">
        <v>3285</v>
      </c>
      <c r="C682" t="s">
        <v>3279</v>
      </c>
      <c r="D682" s="22" t="s">
        <v>3286</v>
      </c>
      <c r="E682" t="s">
        <v>3281</v>
      </c>
      <c r="F682" t="s">
        <v>3235</v>
      </c>
      <c r="O682" t="s">
        <v>3236</v>
      </c>
      <c r="P682" t="s">
        <v>1830</v>
      </c>
      <c r="Q682" t="s">
        <v>1156</v>
      </c>
      <c r="R682" s="22" t="s">
        <v>3282</v>
      </c>
      <c r="S682" t="s">
        <v>3238</v>
      </c>
      <c r="T682" s="22" t="s">
        <v>3268</v>
      </c>
      <c r="V682">
        <v>1</v>
      </c>
      <c r="AE682" t="s">
        <v>56</v>
      </c>
      <c r="AF682" t="s">
        <v>57</v>
      </c>
      <c r="AH682" s="25">
        <v>7</v>
      </c>
      <c r="AI682" s="25">
        <v>10</v>
      </c>
      <c r="AM682" s="23">
        <f t="shared" si="20"/>
        <v>491.25</v>
      </c>
      <c r="AN682" s="23">
        <v>1310</v>
      </c>
      <c r="AO682" s="24">
        <v>0.2</v>
      </c>
      <c r="AP682" s="23">
        <f t="shared" si="21"/>
        <v>1572</v>
      </c>
    </row>
    <row r="683" spans="1:42" ht="15" customHeight="1" x14ac:dyDescent="0.3">
      <c r="A683" t="s">
        <v>3277</v>
      </c>
      <c r="B683" t="s">
        <v>3287</v>
      </c>
      <c r="C683" t="s">
        <v>3279</v>
      </c>
      <c r="D683" s="22" t="s">
        <v>3288</v>
      </c>
      <c r="E683" t="s">
        <v>3281</v>
      </c>
      <c r="F683" t="s">
        <v>3235</v>
      </c>
      <c r="O683" t="s">
        <v>3236</v>
      </c>
      <c r="P683" t="s">
        <v>1830</v>
      </c>
      <c r="Q683" t="s">
        <v>1156</v>
      </c>
      <c r="R683" s="22" t="s">
        <v>3282</v>
      </c>
      <c r="S683" t="s">
        <v>3238</v>
      </c>
      <c r="T683" s="22" t="s">
        <v>3263</v>
      </c>
      <c r="V683">
        <v>1</v>
      </c>
      <c r="AE683" t="s">
        <v>56</v>
      </c>
      <c r="AF683" t="s">
        <v>57</v>
      </c>
      <c r="AH683" s="25">
        <v>7</v>
      </c>
      <c r="AI683" s="25">
        <v>10</v>
      </c>
      <c r="AM683" s="23">
        <f t="shared" si="20"/>
        <v>491.25</v>
      </c>
      <c r="AN683" s="23">
        <v>1310</v>
      </c>
      <c r="AO683" s="24">
        <v>0.2</v>
      </c>
      <c r="AP683" s="23">
        <f t="shared" si="21"/>
        <v>1572</v>
      </c>
    </row>
    <row r="684" spans="1:42" ht="15" customHeight="1" x14ac:dyDescent="0.3">
      <c r="A684" t="s">
        <v>3277</v>
      </c>
      <c r="B684" t="s">
        <v>3289</v>
      </c>
      <c r="C684" t="s">
        <v>3279</v>
      </c>
      <c r="D684" s="22" t="s">
        <v>3290</v>
      </c>
      <c r="E684" t="s">
        <v>3281</v>
      </c>
      <c r="F684" t="s">
        <v>3235</v>
      </c>
      <c r="O684" t="s">
        <v>3236</v>
      </c>
      <c r="P684" t="s">
        <v>1830</v>
      </c>
      <c r="Q684" t="s">
        <v>1156</v>
      </c>
      <c r="R684" s="22" t="s">
        <v>3282</v>
      </c>
      <c r="S684" t="s">
        <v>3238</v>
      </c>
      <c r="T684" s="22" t="s">
        <v>1842</v>
      </c>
      <c r="V684">
        <v>1</v>
      </c>
      <c r="AE684" t="s">
        <v>56</v>
      </c>
      <c r="AF684" t="s">
        <v>57</v>
      </c>
      <c r="AH684" s="25">
        <v>7</v>
      </c>
      <c r="AI684" s="25">
        <v>10</v>
      </c>
      <c r="AM684" s="23">
        <f t="shared" si="20"/>
        <v>491.25</v>
      </c>
      <c r="AN684" s="23">
        <v>1310</v>
      </c>
      <c r="AO684" s="24">
        <v>0.2</v>
      </c>
      <c r="AP684" s="23">
        <f t="shared" si="21"/>
        <v>1572</v>
      </c>
    </row>
    <row r="685" spans="1:42" ht="15" customHeight="1" x14ac:dyDescent="0.3">
      <c r="A685" t="s">
        <v>3277</v>
      </c>
      <c r="B685" t="s">
        <v>3291</v>
      </c>
      <c r="C685" t="s">
        <v>3279</v>
      </c>
      <c r="D685" s="22" t="s">
        <v>3292</v>
      </c>
      <c r="E685" t="s">
        <v>3281</v>
      </c>
      <c r="F685" t="s">
        <v>3235</v>
      </c>
      <c r="O685" t="s">
        <v>3236</v>
      </c>
      <c r="P685" t="s">
        <v>1830</v>
      </c>
      <c r="Q685" t="s">
        <v>1156</v>
      </c>
      <c r="R685" s="22" t="s">
        <v>3282</v>
      </c>
      <c r="S685" t="s">
        <v>3238</v>
      </c>
      <c r="T685" s="22" t="s">
        <v>1845</v>
      </c>
      <c r="V685">
        <v>1</v>
      </c>
      <c r="AE685" t="s">
        <v>56</v>
      </c>
      <c r="AF685" t="s">
        <v>57</v>
      </c>
      <c r="AH685" s="25">
        <v>7</v>
      </c>
      <c r="AI685" s="25">
        <v>10</v>
      </c>
      <c r="AM685" s="23">
        <f t="shared" si="20"/>
        <v>491.25</v>
      </c>
      <c r="AN685" s="23">
        <v>1310</v>
      </c>
      <c r="AO685" s="24">
        <v>0.2</v>
      </c>
      <c r="AP685" s="23">
        <f t="shared" si="21"/>
        <v>1572</v>
      </c>
    </row>
    <row r="686" spans="1:42" ht="15" customHeight="1" x14ac:dyDescent="0.3">
      <c r="A686" t="s">
        <v>3277</v>
      </c>
      <c r="B686" t="s">
        <v>3293</v>
      </c>
      <c r="C686" t="s">
        <v>3279</v>
      </c>
      <c r="D686" s="22" t="s">
        <v>3294</v>
      </c>
      <c r="E686" t="s">
        <v>3281</v>
      </c>
      <c r="F686" t="s">
        <v>3235</v>
      </c>
      <c r="O686" t="s">
        <v>3236</v>
      </c>
      <c r="P686" t="s">
        <v>1830</v>
      </c>
      <c r="Q686" t="s">
        <v>1156</v>
      </c>
      <c r="R686" s="22" t="s">
        <v>3282</v>
      </c>
      <c r="S686" t="s">
        <v>3238</v>
      </c>
      <c r="T686" s="22" t="s">
        <v>3295</v>
      </c>
      <c r="V686">
        <v>1</v>
      </c>
      <c r="AE686" t="s">
        <v>56</v>
      </c>
      <c r="AF686" t="s">
        <v>57</v>
      </c>
      <c r="AH686" s="25">
        <v>7</v>
      </c>
      <c r="AI686" s="25">
        <v>10</v>
      </c>
      <c r="AM686" s="23">
        <f t="shared" si="20"/>
        <v>491.25</v>
      </c>
      <c r="AN686" s="23">
        <v>1310</v>
      </c>
      <c r="AO686" s="24">
        <v>0.2</v>
      </c>
      <c r="AP686" s="23">
        <f t="shared" si="21"/>
        <v>1572</v>
      </c>
    </row>
    <row r="687" spans="1:42" ht="15" customHeight="1" x14ac:dyDescent="0.3">
      <c r="A687" t="s">
        <v>3277</v>
      </c>
      <c r="B687" t="s">
        <v>3296</v>
      </c>
      <c r="C687" t="s">
        <v>3279</v>
      </c>
      <c r="D687" s="22" t="s">
        <v>3297</v>
      </c>
      <c r="E687" t="s">
        <v>3281</v>
      </c>
      <c r="F687" t="s">
        <v>3235</v>
      </c>
      <c r="O687" t="s">
        <v>3236</v>
      </c>
      <c r="P687" t="s">
        <v>1830</v>
      </c>
      <c r="Q687" t="s">
        <v>1156</v>
      </c>
      <c r="R687" s="22" t="s">
        <v>3282</v>
      </c>
      <c r="S687" t="s">
        <v>3238</v>
      </c>
      <c r="T687" s="22" t="s">
        <v>279</v>
      </c>
      <c r="V687">
        <v>1</v>
      </c>
      <c r="AE687" t="s">
        <v>56</v>
      </c>
      <c r="AF687" t="s">
        <v>57</v>
      </c>
      <c r="AH687" s="25">
        <v>7</v>
      </c>
      <c r="AI687" s="25">
        <v>10</v>
      </c>
      <c r="AM687" s="23">
        <f t="shared" si="20"/>
        <v>491.25</v>
      </c>
      <c r="AN687" s="23">
        <v>1310</v>
      </c>
      <c r="AO687" s="24">
        <v>0.2</v>
      </c>
      <c r="AP687" s="23">
        <f t="shared" si="21"/>
        <v>1572</v>
      </c>
    </row>
    <row r="688" spans="1:42" ht="15" customHeight="1" x14ac:dyDescent="0.3">
      <c r="A688" t="s">
        <v>3277</v>
      </c>
      <c r="B688" t="s">
        <v>3298</v>
      </c>
      <c r="C688" t="s">
        <v>3279</v>
      </c>
      <c r="D688" s="22" t="s">
        <v>3299</v>
      </c>
      <c r="E688" t="s">
        <v>3281</v>
      </c>
      <c r="F688" t="s">
        <v>3235</v>
      </c>
      <c r="O688" t="s">
        <v>3236</v>
      </c>
      <c r="P688" t="s">
        <v>1830</v>
      </c>
      <c r="Q688" t="s">
        <v>1156</v>
      </c>
      <c r="R688" s="22" t="s">
        <v>3282</v>
      </c>
      <c r="S688" t="s">
        <v>3238</v>
      </c>
      <c r="T688" s="22" t="s">
        <v>1940</v>
      </c>
      <c r="V688">
        <v>1</v>
      </c>
      <c r="AE688" t="s">
        <v>56</v>
      </c>
      <c r="AF688" t="s">
        <v>57</v>
      </c>
      <c r="AH688" s="25">
        <v>7</v>
      </c>
      <c r="AI688" s="25">
        <v>10</v>
      </c>
      <c r="AM688" s="23">
        <f t="shared" si="20"/>
        <v>491.25</v>
      </c>
      <c r="AN688" s="23">
        <v>1310</v>
      </c>
      <c r="AO688" s="24">
        <v>0.2</v>
      </c>
      <c r="AP688" s="23">
        <f t="shared" si="21"/>
        <v>1572</v>
      </c>
    </row>
    <row r="689" spans="1:42" ht="15" customHeight="1" x14ac:dyDescent="0.3">
      <c r="A689" t="s">
        <v>3277</v>
      </c>
      <c r="B689" t="s">
        <v>3300</v>
      </c>
      <c r="C689" t="s">
        <v>3279</v>
      </c>
      <c r="D689" s="22" t="s">
        <v>3301</v>
      </c>
      <c r="E689" t="s">
        <v>3281</v>
      </c>
      <c r="F689" t="s">
        <v>3235</v>
      </c>
      <c r="O689" t="s">
        <v>3236</v>
      </c>
      <c r="P689" t="s">
        <v>1830</v>
      </c>
      <c r="Q689" t="s">
        <v>1156</v>
      </c>
      <c r="R689" s="22" t="s">
        <v>3282</v>
      </c>
      <c r="S689" t="s">
        <v>3238</v>
      </c>
      <c r="T689" s="22" t="s">
        <v>328</v>
      </c>
      <c r="V689">
        <v>1</v>
      </c>
      <c r="AE689" t="s">
        <v>56</v>
      </c>
      <c r="AF689" t="s">
        <v>57</v>
      </c>
      <c r="AH689" s="25">
        <v>7</v>
      </c>
      <c r="AI689" s="25">
        <v>10</v>
      </c>
      <c r="AM689" s="23">
        <f t="shared" si="20"/>
        <v>491.25</v>
      </c>
      <c r="AN689" s="23">
        <v>1310</v>
      </c>
      <c r="AO689" s="24">
        <v>0.2</v>
      </c>
      <c r="AP689" s="23">
        <f t="shared" si="21"/>
        <v>1572</v>
      </c>
    </row>
    <row r="690" spans="1:42" ht="15" customHeight="1" x14ac:dyDescent="0.3">
      <c r="A690" t="s">
        <v>3277</v>
      </c>
      <c r="B690" t="s">
        <v>3302</v>
      </c>
      <c r="C690" t="s">
        <v>3279</v>
      </c>
      <c r="D690" s="22" t="s">
        <v>3303</v>
      </c>
      <c r="E690" t="s">
        <v>3281</v>
      </c>
      <c r="F690" t="s">
        <v>3235</v>
      </c>
      <c r="O690" t="s">
        <v>3236</v>
      </c>
      <c r="P690" t="s">
        <v>1830</v>
      </c>
      <c r="Q690" t="s">
        <v>1156</v>
      </c>
      <c r="R690" s="22" t="s">
        <v>3282</v>
      </c>
      <c r="S690" t="s">
        <v>3238</v>
      </c>
      <c r="T690" s="22" t="s">
        <v>1863</v>
      </c>
      <c r="V690">
        <v>1</v>
      </c>
      <c r="AE690" t="s">
        <v>56</v>
      </c>
      <c r="AF690" t="s">
        <v>57</v>
      </c>
      <c r="AH690" s="25">
        <v>7</v>
      </c>
      <c r="AI690" s="25">
        <v>10</v>
      </c>
      <c r="AM690" s="23">
        <f t="shared" si="20"/>
        <v>491.25</v>
      </c>
      <c r="AN690" s="23">
        <v>1310</v>
      </c>
      <c r="AO690" s="24">
        <v>0.2</v>
      </c>
      <c r="AP690" s="23">
        <f t="shared" si="21"/>
        <v>1572</v>
      </c>
    </row>
    <row r="691" spans="1:42" ht="15" customHeight="1" x14ac:dyDescent="0.3">
      <c r="A691" t="s">
        <v>3277</v>
      </c>
      <c r="B691" t="s">
        <v>3304</v>
      </c>
      <c r="C691" t="s">
        <v>3279</v>
      </c>
      <c r="D691" s="22" t="s">
        <v>3305</v>
      </c>
      <c r="E691" t="s">
        <v>3281</v>
      </c>
      <c r="F691" t="s">
        <v>3235</v>
      </c>
      <c r="O691" t="s">
        <v>3236</v>
      </c>
      <c r="P691" t="s">
        <v>1830</v>
      </c>
      <c r="Q691" t="s">
        <v>1156</v>
      </c>
      <c r="R691" s="22" t="s">
        <v>3282</v>
      </c>
      <c r="S691" t="s">
        <v>3238</v>
      </c>
      <c r="T691" s="22" t="s">
        <v>1915</v>
      </c>
      <c r="V691">
        <v>1</v>
      </c>
      <c r="AE691" t="s">
        <v>56</v>
      </c>
      <c r="AF691" t="s">
        <v>57</v>
      </c>
      <c r="AH691" s="25">
        <v>7</v>
      </c>
      <c r="AI691" s="25">
        <v>10</v>
      </c>
      <c r="AM691" s="23">
        <f t="shared" si="20"/>
        <v>491.25</v>
      </c>
      <c r="AN691" s="23">
        <v>1310</v>
      </c>
      <c r="AO691" s="24">
        <v>0.2</v>
      </c>
      <c r="AP691" s="23">
        <f t="shared" si="21"/>
        <v>1572</v>
      </c>
    </row>
    <row r="692" spans="1:42" ht="15" customHeight="1" x14ac:dyDescent="0.3">
      <c r="A692" t="s">
        <v>3277</v>
      </c>
      <c r="B692" t="s">
        <v>3306</v>
      </c>
      <c r="C692" t="s">
        <v>3279</v>
      </c>
      <c r="D692" s="22" t="s">
        <v>3307</v>
      </c>
      <c r="E692" t="s">
        <v>3281</v>
      </c>
      <c r="F692" t="s">
        <v>3235</v>
      </c>
      <c r="O692" t="s">
        <v>3236</v>
      </c>
      <c r="P692" t="s">
        <v>1830</v>
      </c>
      <c r="Q692" t="s">
        <v>1156</v>
      </c>
      <c r="R692" s="22" t="s">
        <v>3282</v>
      </c>
      <c r="S692" t="s">
        <v>3238</v>
      </c>
      <c r="T692" s="22" t="s">
        <v>325</v>
      </c>
      <c r="V692">
        <v>1</v>
      </c>
      <c r="AE692" t="s">
        <v>56</v>
      </c>
      <c r="AF692" t="s">
        <v>57</v>
      </c>
      <c r="AH692" s="25">
        <v>7</v>
      </c>
      <c r="AI692" s="25">
        <v>10</v>
      </c>
      <c r="AM692" s="23">
        <f t="shared" si="20"/>
        <v>491.25</v>
      </c>
      <c r="AN692" s="23">
        <v>1310</v>
      </c>
      <c r="AO692" s="24">
        <v>0.2</v>
      </c>
      <c r="AP692" s="23">
        <f t="shared" si="21"/>
        <v>1572</v>
      </c>
    </row>
    <row r="693" spans="1:42" ht="15" customHeight="1" x14ac:dyDescent="0.3">
      <c r="A693" t="s">
        <v>3277</v>
      </c>
      <c r="B693" t="s">
        <v>3308</v>
      </c>
      <c r="C693" t="s">
        <v>3279</v>
      </c>
      <c r="D693" s="22" t="s">
        <v>3309</v>
      </c>
      <c r="E693" t="s">
        <v>3281</v>
      </c>
      <c r="F693" t="s">
        <v>3235</v>
      </c>
      <c r="O693" t="s">
        <v>3236</v>
      </c>
      <c r="P693" t="s">
        <v>1830</v>
      </c>
      <c r="Q693" t="s">
        <v>1156</v>
      </c>
      <c r="R693" s="22" t="s">
        <v>3282</v>
      </c>
      <c r="S693" t="s">
        <v>3238</v>
      </c>
      <c r="T693" s="22" t="s">
        <v>1871</v>
      </c>
      <c r="V693">
        <v>1</v>
      </c>
      <c r="AE693" t="s">
        <v>56</v>
      </c>
      <c r="AF693" t="s">
        <v>57</v>
      </c>
      <c r="AH693" s="25">
        <v>7</v>
      </c>
      <c r="AI693" s="25">
        <v>10</v>
      </c>
      <c r="AM693" s="23">
        <f t="shared" si="20"/>
        <v>491.25</v>
      </c>
      <c r="AN693" s="23">
        <v>1310</v>
      </c>
      <c r="AO693" s="24">
        <v>0.2</v>
      </c>
      <c r="AP693" s="23">
        <f t="shared" si="21"/>
        <v>1572</v>
      </c>
    </row>
    <row r="694" spans="1:42" ht="15" customHeight="1" x14ac:dyDescent="0.3">
      <c r="A694" t="s">
        <v>3277</v>
      </c>
      <c r="B694" t="s">
        <v>3310</v>
      </c>
      <c r="C694" t="s">
        <v>3279</v>
      </c>
      <c r="D694" s="22" t="s">
        <v>3311</v>
      </c>
      <c r="E694" t="s">
        <v>3281</v>
      </c>
      <c r="F694" t="s">
        <v>3235</v>
      </c>
      <c r="O694" t="s">
        <v>3236</v>
      </c>
      <c r="P694" t="s">
        <v>1830</v>
      </c>
      <c r="Q694" t="s">
        <v>1156</v>
      </c>
      <c r="R694" s="22" t="s">
        <v>3282</v>
      </c>
      <c r="S694" t="s">
        <v>3238</v>
      </c>
      <c r="T694" s="22" t="s">
        <v>1874</v>
      </c>
      <c r="V694">
        <v>1</v>
      </c>
      <c r="AE694" t="s">
        <v>56</v>
      </c>
      <c r="AF694" t="s">
        <v>57</v>
      </c>
      <c r="AH694" s="25">
        <v>7</v>
      </c>
      <c r="AI694" s="25">
        <v>10</v>
      </c>
      <c r="AM694" s="23">
        <f t="shared" si="20"/>
        <v>491.25</v>
      </c>
      <c r="AN694" s="23">
        <v>1310</v>
      </c>
      <c r="AO694" s="24">
        <v>0.2</v>
      </c>
      <c r="AP694" s="23">
        <f t="shared" si="21"/>
        <v>1572</v>
      </c>
    </row>
    <row r="695" spans="1:42" ht="15" customHeight="1" x14ac:dyDescent="0.3">
      <c r="A695" t="s">
        <v>3277</v>
      </c>
      <c r="B695" t="s">
        <v>3312</v>
      </c>
      <c r="C695" t="s">
        <v>3279</v>
      </c>
      <c r="D695" s="22" t="s">
        <v>3313</v>
      </c>
      <c r="E695" t="s">
        <v>3281</v>
      </c>
      <c r="F695" t="s">
        <v>3235</v>
      </c>
      <c r="O695" t="s">
        <v>3236</v>
      </c>
      <c r="P695" t="s">
        <v>1830</v>
      </c>
      <c r="Q695" t="s">
        <v>1156</v>
      </c>
      <c r="R695" s="22" t="s">
        <v>3282</v>
      </c>
      <c r="S695" t="s">
        <v>3238</v>
      </c>
      <c r="T695" s="22" t="s">
        <v>1877</v>
      </c>
      <c r="V695">
        <v>1</v>
      </c>
      <c r="AE695" t="s">
        <v>56</v>
      </c>
      <c r="AF695" t="s">
        <v>57</v>
      </c>
      <c r="AH695" s="25">
        <v>7</v>
      </c>
      <c r="AI695" s="25">
        <v>10</v>
      </c>
      <c r="AM695" s="23">
        <f t="shared" si="20"/>
        <v>491.25</v>
      </c>
      <c r="AN695" s="23">
        <v>1310</v>
      </c>
      <c r="AO695" s="24">
        <v>0.2</v>
      </c>
      <c r="AP695" s="23">
        <f t="shared" si="21"/>
        <v>1572</v>
      </c>
    </row>
    <row r="696" spans="1:42" ht="15" customHeight="1" x14ac:dyDescent="0.3">
      <c r="A696" t="s">
        <v>3277</v>
      </c>
      <c r="B696" t="s">
        <v>3314</v>
      </c>
      <c r="C696" t="s">
        <v>3279</v>
      </c>
      <c r="D696" s="22" t="s">
        <v>3315</v>
      </c>
      <c r="E696" t="s">
        <v>3281</v>
      </c>
      <c r="F696" t="s">
        <v>3235</v>
      </c>
      <c r="O696" t="s">
        <v>3236</v>
      </c>
      <c r="P696" t="s">
        <v>1830</v>
      </c>
      <c r="Q696" t="s">
        <v>1156</v>
      </c>
      <c r="R696" s="22" t="s">
        <v>3282</v>
      </c>
      <c r="S696" t="s">
        <v>3238</v>
      </c>
      <c r="T696" s="22" t="s">
        <v>1880</v>
      </c>
      <c r="V696">
        <v>1</v>
      </c>
      <c r="AE696" t="s">
        <v>56</v>
      </c>
      <c r="AF696" t="s">
        <v>57</v>
      </c>
      <c r="AH696" s="25">
        <v>7</v>
      </c>
      <c r="AI696" s="25">
        <v>10</v>
      </c>
      <c r="AM696" s="23">
        <f t="shared" si="20"/>
        <v>491.25</v>
      </c>
      <c r="AN696" s="23">
        <v>1310</v>
      </c>
      <c r="AO696" s="24">
        <v>0.2</v>
      </c>
      <c r="AP696" s="23">
        <f t="shared" si="21"/>
        <v>1572</v>
      </c>
    </row>
    <row r="697" spans="1:42" ht="15" customHeight="1" x14ac:dyDescent="0.3">
      <c r="A697" t="s">
        <v>3277</v>
      </c>
      <c r="B697" t="s">
        <v>3316</v>
      </c>
      <c r="C697" t="s">
        <v>3279</v>
      </c>
      <c r="D697" s="22">
        <v>8445583477986</v>
      </c>
      <c r="E697" t="s">
        <v>3281</v>
      </c>
      <c r="F697" t="s">
        <v>3235</v>
      </c>
      <c r="O697" t="s">
        <v>3236</v>
      </c>
      <c r="P697" t="s">
        <v>1830</v>
      </c>
      <c r="Q697" t="s">
        <v>1156</v>
      </c>
      <c r="R697" s="22" t="s">
        <v>3282</v>
      </c>
      <c r="S697" t="s">
        <v>3238</v>
      </c>
      <c r="T697" s="22" t="s">
        <v>1883</v>
      </c>
      <c r="V697">
        <v>1</v>
      </c>
      <c r="AE697" t="s">
        <v>56</v>
      </c>
      <c r="AF697" t="s">
        <v>57</v>
      </c>
      <c r="AH697" s="25">
        <v>7</v>
      </c>
      <c r="AI697" s="25">
        <v>10</v>
      </c>
      <c r="AM697" s="23">
        <f t="shared" si="20"/>
        <v>491.25</v>
      </c>
      <c r="AN697" s="23">
        <v>1310</v>
      </c>
      <c r="AO697" s="24">
        <v>0.2</v>
      </c>
      <c r="AP697" s="23">
        <f t="shared" si="21"/>
        <v>1572</v>
      </c>
    </row>
    <row r="698" spans="1:42" ht="15" customHeight="1" x14ac:dyDescent="0.3">
      <c r="A698" t="s">
        <v>3277</v>
      </c>
      <c r="B698" t="s">
        <v>3317</v>
      </c>
      <c r="C698" t="s">
        <v>3279</v>
      </c>
      <c r="D698" s="22" t="s">
        <v>3318</v>
      </c>
      <c r="E698" t="s">
        <v>3281</v>
      </c>
      <c r="F698" t="s">
        <v>3235</v>
      </c>
      <c r="O698" t="s">
        <v>3236</v>
      </c>
      <c r="P698" t="s">
        <v>1830</v>
      </c>
      <c r="Q698" t="s">
        <v>1156</v>
      </c>
      <c r="R698" s="22" t="s">
        <v>3282</v>
      </c>
      <c r="S698" t="s">
        <v>3238</v>
      </c>
      <c r="T698" s="22" t="s">
        <v>1886</v>
      </c>
      <c r="V698">
        <v>1</v>
      </c>
      <c r="AE698" t="s">
        <v>56</v>
      </c>
      <c r="AF698" t="s">
        <v>57</v>
      </c>
      <c r="AH698" s="25">
        <v>7</v>
      </c>
      <c r="AI698" s="25">
        <v>10</v>
      </c>
      <c r="AM698" s="23">
        <f t="shared" si="20"/>
        <v>491.25</v>
      </c>
      <c r="AN698" s="23">
        <v>1310</v>
      </c>
      <c r="AO698" s="24">
        <v>0.2</v>
      </c>
      <c r="AP698" s="23">
        <f t="shared" si="21"/>
        <v>1572</v>
      </c>
    </row>
    <row r="699" spans="1:42" ht="15" customHeight="1" x14ac:dyDescent="0.3">
      <c r="A699" t="s">
        <v>3319</v>
      </c>
      <c r="B699" t="s">
        <v>3320</v>
      </c>
      <c r="C699" t="s">
        <v>3321</v>
      </c>
      <c r="D699" s="22" t="s">
        <v>3322</v>
      </c>
      <c r="E699" t="s">
        <v>3323</v>
      </c>
      <c r="F699" t="s">
        <v>3235</v>
      </c>
      <c r="O699" t="s">
        <v>280</v>
      </c>
      <c r="P699" t="s">
        <v>1830</v>
      </c>
      <c r="Q699" t="s">
        <v>1156</v>
      </c>
      <c r="R699" s="22" t="s">
        <v>3324</v>
      </c>
      <c r="S699" t="s">
        <v>3238</v>
      </c>
      <c r="T699" s="22" t="s">
        <v>49</v>
      </c>
      <c r="V699">
        <v>2</v>
      </c>
      <c r="AE699" t="s">
        <v>56</v>
      </c>
      <c r="AF699" t="s">
        <v>57</v>
      </c>
      <c r="AH699" s="25">
        <v>30</v>
      </c>
      <c r="AI699" s="25">
        <v>33</v>
      </c>
      <c r="AM699" s="23">
        <f t="shared" si="20"/>
        <v>410.25</v>
      </c>
      <c r="AN699" s="23">
        <v>1094</v>
      </c>
      <c r="AO699" s="24">
        <v>0.2</v>
      </c>
      <c r="AP699" s="23">
        <f t="shared" si="21"/>
        <v>1312.8</v>
      </c>
    </row>
    <row r="700" spans="1:42" ht="15" customHeight="1" x14ac:dyDescent="0.3">
      <c r="A700" t="s">
        <v>3325</v>
      </c>
      <c r="B700" t="s">
        <v>3326</v>
      </c>
      <c r="C700" t="s">
        <v>3321</v>
      </c>
      <c r="D700" s="22" t="s">
        <v>3327</v>
      </c>
      <c r="E700" t="s">
        <v>3323</v>
      </c>
      <c r="F700" t="s">
        <v>3235</v>
      </c>
      <c r="O700" t="s">
        <v>3236</v>
      </c>
      <c r="P700" t="s">
        <v>1830</v>
      </c>
      <c r="Q700" t="s">
        <v>1156</v>
      </c>
      <c r="R700" s="22" t="s">
        <v>3324</v>
      </c>
      <c r="S700" t="s">
        <v>3238</v>
      </c>
      <c r="T700" s="22" t="s">
        <v>49</v>
      </c>
      <c r="V700">
        <v>3</v>
      </c>
      <c r="AE700" t="s">
        <v>56</v>
      </c>
      <c r="AF700" t="s">
        <v>57</v>
      </c>
      <c r="AH700" s="25">
        <v>30</v>
      </c>
      <c r="AI700" s="25">
        <v>33</v>
      </c>
      <c r="AM700" s="23">
        <f t="shared" si="20"/>
        <v>410.25</v>
      </c>
      <c r="AN700" s="23">
        <v>1094</v>
      </c>
      <c r="AO700" s="24">
        <v>0.2</v>
      </c>
      <c r="AP700" s="23">
        <f t="shared" si="21"/>
        <v>1312.8</v>
      </c>
    </row>
    <row r="701" spans="1:42" s="37" customFormat="1" ht="15" customHeight="1" x14ac:dyDescent="0.3">
      <c r="A701" s="37" t="s">
        <v>5525</v>
      </c>
      <c r="B701" s="37" t="s">
        <v>5528</v>
      </c>
      <c r="C701" s="37" t="s">
        <v>5547</v>
      </c>
      <c r="D701" s="61" t="s">
        <v>5548</v>
      </c>
      <c r="E701" s="39" t="s">
        <v>5566</v>
      </c>
      <c r="F701" s="37" t="s">
        <v>1829</v>
      </c>
      <c r="G701" s="37" t="s">
        <v>5570</v>
      </c>
      <c r="P701" s="37" t="s">
        <v>1830</v>
      </c>
      <c r="Q701" s="37" t="s">
        <v>1156</v>
      </c>
      <c r="R701" s="61" t="s">
        <v>5567</v>
      </c>
      <c r="S701" s="37" t="s">
        <v>1832</v>
      </c>
      <c r="T701" s="37" t="s">
        <v>1833</v>
      </c>
      <c r="V701" s="37">
        <v>1</v>
      </c>
      <c r="Y701" s="37" t="s">
        <v>1156</v>
      </c>
      <c r="AE701" s="37" t="s">
        <v>56</v>
      </c>
      <c r="AF701" s="37" t="s">
        <v>57</v>
      </c>
      <c r="AH701" s="62">
        <v>47</v>
      </c>
      <c r="AI701" s="62">
        <v>55</v>
      </c>
      <c r="AP701" s="63">
        <v>1693</v>
      </c>
    </row>
    <row r="702" spans="1:42" s="37" customFormat="1" ht="15" customHeight="1" x14ac:dyDescent="0.3">
      <c r="A702" s="37" t="s">
        <v>5525</v>
      </c>
      <c r="B702" s="37" t="s">
        <v>5529</v>
      </c>
      <c r="C702" s="37" t="s">
        <v>5547</v>
      </c>
      <c r="D702" s="61" t="s">
        <v>5549</v>
      </c>
      <c r="E702" s="39" t="s">
        <v>5566</v>
      </c>
      <c r="F702" s="37" t="s">
        <v>1829</v>
      </c>
      <c r="G702" s="37" t="s">
        <v>5570</v>
      </c>
      <c r="P702" s="37" t="s">
        <v>1830</v>
      </c>
      <c r="Q702" s="37" t="s">
        <v>1156</v>
      </c>
      <c r="R702" s="61" t="s">
        <v>5567</v>
      </c>
      <c r="S702" s="37" t="s">
        <v>1832</v>
      </c>
      <c r="T702" s="37" t="s">
        <v>1886</v>
      </c>
      <c r="V702" s="37">
        <v>1</v>
      </c>
      <c r="Y702" s="37" t="s">
        <v>1156</v>
      </c>
      <c r="AE702" s="37" t="s">
        <v>56</v>
      </c>
      <c r="AF702" s="37" t="s">
        <v>57</v>
      </c>
      <c r="AH702" s="62">
        <v>47</v>
      </c>
      <c r="AI702" s="62">
        <v>55</v>
      </c>
      <c r="AP702" s="63">
        <v>2844</v>
      </c>
    </row>
    <row r="703" spans="1:42" s="37" customFormat="1" ht="15" customHeight="1" x14ac:dyDescent="0.3">
      <c r="A703" s="37" t="s">
        <v>5525</v>
      </c>
      <c r="B703" s="37" t="s">
        <v>5530</v>
      </c>
      <c r="C703" s="37" t="s">
        <v>5547</v>
      </c>
      <c r="D703" s="61" t="s">
        <v>5550</v>
      </c>
      <c r="E703" s="39" t="s">
        <v>5566</v>
      </c>
      <c r="F703" s="37" t="s">
        <v>1829</v>
      </c>
      <c r="G703" s="37" t="s">
        <v>5570</v>
      </c>
      <c r="P703" s="37" t="s">
        <v>1830</v>
      </c>
      <c r="Q703" s="37" t="s">
        <v>1156</v>
      </c>
      <c r="R703" s="61" t="s">
        <v>5567</v>
      </c>
      <c r="S703" s="37" t="s">
        <v>1832</v>
      </c>
      <c r="T703" s="37" t="s">
        <v>5526</v>
      </c>
      <c r="V703" s="37">
        <v>1</v>
      </c>
      <c r="Y703" s="37" t="s">
        <v>1156</v>
      </c>
      <c r="AE703" s="37" t="s">
        <v>56</v>
      </c>
      <c r="AF703" s="37" t="s">
        <v>57</v>
      </c>
      <c r="AH703" s="62">
        <v>47</v>
      </c>
      <c r="AI703" s="62">
        <v>55</v>
      </c>
      <c r="AP703" s="63">
        <v>2844</v>
      </c>
    </row>
    <row r="704" spans="1:42" s="37" customFormat="1" ht="15" customHeight="1" x14ac:dyDescent="0.3">
      <c r="A704" s="37" t="s">
        <v>5525</v>
      </c>
      <c r="B704" s="37" t="s">
        <v>5531</v>
      </c>
      <c r="C704" s="37" t="s">
        <v>5547</v>
      </c>
      <c r="D704" s="61" t="s">
        <v>5551</v>
      </c>
      <c r="E704" s="39" t="s">
        <v>5566</v>
      </c>
      <c r="F704" s="37" t="s">
        <v>1829</v>
      </c>
      <c r="G704" s="37" t="s">
        <v>5570</v>
      </c>
      <c r="P704" s="37" t="s">
        <v>1830</v>
      </c>
      <c r="Q704" s="37" t="s">
        <v>1156</v>
      </c>
      <c r="R704" s="61" t="s">
        <v>5567</v>
      </c>
      <c r="S704" s="37" t="s">
        <v>1832</v>
      </c>
      <c r="T704" s="37" t="s">
        <v>1915</v>
      </c>
      <c r="V704" s="37">
        <v>1</v>
      </c>
      <c r="Y704" s="37" t="s">
        <v>1156</v>
      </c>
      <c r="AE704" s="37" t="s">
        <v>56</v>
      </c>
      <c r="AF704" s="37" t="s">
        <v>57</v>
      </c>
      <c r="AH704" s="62">
        <v>47</v>
      </c>
      <c r="AI704" s="62">
        <v>55</v>
      </c>
      <c r="AP704" s="63">
        <v>2844</v>
      </c>
    </row>
    <row r="705" spans="1:42" s="37" customFormat="1" ht="15" customHeight="1" x14ac:dyDescent="0.3">
      <c r="A705" s="37" t="s">
        <v>5525</v>
      </c>
      <c r="B705" s="37" t="s">
        <v>5532</v>
      </c>
      <c r="C705" s="37" t="s">
        <v>5547</v>
      </c>
      <c r="D705" s="61" t="s">
        <v>5552</v>
      </c>
      <c r="E705" s="39" t="s">
        <v>5566</v>
      </c>
      <c r="F705" s="37" t="s">
        <v>1829</v>
      </c>
      <c r="G705" s="37" t="s">
        <v>5570</v>
      </c>
      <c r="P705" s="37" t="s">
        <v>1830</v>
      </c>
      <c r="Q705" s="37" t="s">
        <v>1156</v>
      </c>
      <c r="R705" s="61" t="s">
        <v>5567</v>
      </c>
      <c r="S705" s="37" t="s">
        <v>1832</v>
      </c>
      <c r="T705" s="37" t="s">
        <v>5527</v>
      </c>
      <c r="V705" s="37">
        <v>1</v>
      </c>
      <c r="Y705" s="37" t="s">
        <v>1156</v>
      </c>
      <c r="AE705" s="37" t="s">
        <v>56</v>
      </c>
      <c r="AF705" s="37" t="s">
        <v>57</v>
      </c>
      <c r="AH705" s="62">
        <v>47</v>
      </c>
      <c r="AI705" s="62">
        <v>55</v>
      </c>
      <c r="AP705" s="63">
        <v>2844</v>
      </c>
    </row>
    <row r="706" spans="1:42" s="37" customFormat="1" ht="15" customHeight="1" x14ac:dyDescent="0.3">
      <c r="A706" s="37" t="s">
        <v>5525</v>
      </c>
      <c r="B706" s="37" t="s">
        <v>5533</v>
      </c>
      <c r="C706" s="37" t="s">
        <v>5547</v>
      </c>
      <c r="D706" s="61" t="s">
        <v>5553</v>
      </c>
      <c r="E706" s="39" t="s">
        <v>5566</v>
      </c>
      <c r="F706" s="37" t="s">
        <v>1829</v>
      </c>
      <c r="G706" s="37" t="s">
        <v>5570</v>
      </c>
      <c r="P706" s="37" t="s">
        <v>1830</v>
      </c>
      <c r="Q706" s="37" t="s">
        <v>1156</v>
      </c>
      <c r="R706" s="61" t="s">
        <v>5567</v>
      </c>
      <c r="S706" s="37" t="s">
        <v>1832</v>
      </c>
      <c r="T706" s="37" t="s">
        <v>1851</v>
      </c>
      <c r="V706" s="37">
        <v>1</v>
      </c>
      <c r="Y706" s="37" t="s">
        <v>1156</v>
      </c>
      <c r="AE706" s="37" t="s">
        <v>56</v>
      </c>
      <c r="AF706" s="37" t="s">
        <v>57</v>
      </c>
      <c r="AH706" s="62">
        <v>47</v>
      </c>
      <c r="AI706" s="62">
        <v>55</v>
      </c>
      <c r="AP706" s="63">
        <v>2844</v>
      </c>
    </row>
    <row r="707" spans="1:42" s="37" customFormat="1" ht="15" customHeight="1" x14ac:dyDescent="0.3">
      <c r="A707" s="37" t="s">
        <v>5525</v>
      </c>
      <c r="B707" s="37" t="s">
        <v>5534</v>
      </c>
      <c r="C707" s="37" t="s">
        <v>5547</v>
      </c>
      <c r="D707" s="61">
        <v>8445583509205</v>
      </c>
      <c r="E707" s="39" t="s">
        <v>5566</v>
      </c>
      <c r="F707" s="37" t="s">
        <v>1829</v>
      </c>
      <c r="G707" s="37" t="s">
        <v>5570</v>
      </c>
      <c r="P707" s="37" t="s">
        <v>1830</v>
      </c>
      <c r="Q707" s="37" t="s">
        <v>1156</v>
      </c>
      <c r="R707" s="61" t="s">
        <v>5567</v>
      </c>
      <c r="S707" s="37" t="s">
        <v>1832</v>
      </c>
      <c r="T707" s="37" t="s">
        <v>1848</v>
      </c>
      <c r="V707" s="37">
        <v>1</v>
      </c>
      <c r="Y707" s="37" t="s">
        <v>1156</v>
      </c>
      <c r="AE707" s="37" t="s">
        <v>56</v>
      </c>
      <c r="AF707" s="37" t="s">
        <v>57</v>
      </c>
      <c r="AH707" s="62">
        <v>47</v>
      </c>
      <c r="AI707" s="62">
        <v>55</v>
      </c>
      <c r="AP707" s="63">
        <v>2844</v>
      </c>
    </row>
    <row r="708" spans="1:42" s="37" customFormat="1" ht="15" customHeight="1" x14ac:dyDescent="0.3">
      <c r="A708" s="37" t="s">
        <v>5525</v>
      </c>
      <c r="B708" s="37" t="s">
        <v>5535</v>
      </c>
      <c r="C708" s="37" t="s">
        <v>5547</v>
      </c>
      <c r="D708" s="61" t="s">
        <v>5554</v>
      </c>
      <c r="E708" s="39" t="s">
        <v>5566</v>
      </c>
      <c r="F708" s="37" t="s">
        <v>1829</v>
      </c>
      <c r="G708" s="37" t="s">
        <v>5570</v>
      </c>
      <c r="P708" s="37" t="s">
        <v>1830</v>
      </c>
      <c r="Q708" s="37" t="s">
        <v>1156</v>
      </c>
      <c r="R708" s="61" t="s">
        <v>5567</v>
      </c>
      <c r="S708" s="37" t="s">
        <v>1832</v>
      </c>
      <c r="T708" s="37" t="s">
        <v>1883</v>
      </c>
      <c r="V708" s="37">
        <v>1</v>
      </c>
      <c r="Y708" s="37" t="s">
        <v>1156</v>
      </c>
      <c r="AE708" s="37" t="s">
        <v>56</v>
      </c>
      <c r="AF708" s="37" t="s">
        <v>57</v>
      </c>
      <c r="AH708" s="62">
        <v>47</v>
      </c>
      <c r="AI708" s="62">
        <v>55</v>
      </c>
      <c r="AP708" s="63">
        <v>2844</v>
      </c>
    </row>
    <row r="709" spans="1:42" s="37" customFormat="1" ht="15" customHeight="1" x14ac:dyDescent="0.3">
      <c r="A709" s="37" t="s">
        <v>5525</v>
      </c>
      <c r="B709" s="37" t="s">
        <v>5536</v>
      </c>
      <c r="C709" s="37" t="s">
        <v>5547</v>
      </c>
      <c r="D709" s="61" t="s">
        <v>5555</v>
      </c>
      <c r="E709" s="39" t="s">
        <v>5566</v>
      </c>
      <c r="F709" s="37" t="s">
        <v>1829</v>
      </c>
      <c r="G709" s="37" t="s">
        <v>5570</v>
      </c>
      <c r="P709" s="37" t="s">
        <v>1830</v>
      </c>
      <c r="Q709" s="37" t="s">
        <v>1156</v>
      </c>
      <c r="R709" s="61" t="s">
        <v>5567</v>
      </c>
      <c r="S709" s="37" t="s">
        <v>1832</v>
      </c>
      <c r="T709" s="37" t="s">
        <v>1845</v>
      </c>
      <c r="V709" s="37">
        <v>1</v>
      </c>
      <c r="Y709" s="37" t="s">
        <v>1156</v>
      </c>
      <c r="AE709" s="37" t="s">
        <v>56</v>
      </c>
      <c r="AF709" s="37" t="s">
        <v>57</v>
      </c>
      <c r="AH709" s="62">
        <v>47</v>
      </c>
      <c r="AI709" s="62">
        <v>55</v>
      </c>
      <c r="AP709" s="63">
        <v>2844</v>
      </c>
    </row>
    <row r="710" spans="1:42" s="37" customFormat="1" ht="15" customHeight="1" x14ac:dyDescent="0.3">
      <c r="A710" s="37" t="s">
        <v>5525</v>
      </c>
      <c r="B710" s="37" t="s">
        <v>5537</v>
      </c>
      <c r="C710" s="37" t="s">
        <v>5547</v>
      </c>
      <c r="D710" s="61" t="s">
        <v>5556</v>
      </c>
      <c r="E710" s="39" t="s">
        <v>5566</v>
      </c>
      <c r="F710" s="37" t="s">
        <v>1829</v>
      </c>
      <c r="G710" s="37" t="s">
        <v>5570</v>
      </c>
      <c r="P710" s="37" t="s">
        <v>1830</v>
      </c>
      <c r="Q710" s="37" t="s">
        <v>1156</v>
      </c>
      <c r="R710" s="61" t="s">
        <v>5567</v>
      </c>
      <c r="S710" s="37" t="s">
        <v>1832</v>
      </c>
      <c r="T710" s="37" t="s">
        <v>3263</v>
      </c>
      <c r="V710" s="37">
        <v>1</v>
      </c>
      <c r="Y710" s="37" t="s">
        <v>1156</v>
      </c>
      <c r="AE710" s="37" t="s">
        <v>56</v>
      </c>
      <c r="AF710" s="37" t="s">
        <v>57</v>
      </c>
      <c r="AH710" s="62">
        <v>47</v>
      </c>
      <c r="AI710" s="62">
        <v>55</v>
      </c>
      <c r="AP710" s="63">
        <v>2844</v>
      </c>
    </row>
    <row r="711" spans="1:42" s="37" customFormat="1" ht="15" customHeight="1" x14ac:dyDescent="0.3">
      <c r="A711" s="37" t="s">
        <v>5525</v>
      </c>
      <c r="B711" s="37" t="s">
        <v>5538</v>
      </c>
      <c r="C711" s="37" t="s">
        <v>5547</v>
      </c>
      <c r="D711" s="61" t="s">
        <v>5557</v>
      </c>
      <c r="E711" s="39" t="s">
        <v>5566</v>
      </c>
      <c r="F711" s="37" t="s">
        <v>1829</v>
      </c>
      <c r="G711" s="37" t="s">
        <v>5570</v>
      </c>
      <c r="P711" s="37" t="s">
        <v>1830</v>
      </c>
      <c r="Q711" s="37" t="s">
        <v>1156</v>
      </c>
      <c r="R711" s="61" t="s">
        <v>5567</v>
      </c>
      <c r="S711" s="37" t="s">
        <v>1832</v>
      </c>
      <c r="T711" s="37" t="s">
        <v>5568</v>
      </c>
      <c r="V711" s="37">
        <v>1</v>
      </c>
      <c r="Y711" s="37" t="s">
        <v>1156</v>
      </c>
      <c r="AE711" s="37" t="s">
        <v>56</v>
      </c>
      <c r="AF711" s="37" t="s">
        <v>57</v>
      </c>
      <c r="AH711" s="62">
        <v>47</v>
      </c>
      <c r="AI711" s="62">
        <v>55</v>
      </c>
      <c r="AP711" s="63">
        <v>2844</v>
      </c>
    </row>
    <row r="712" spans="1:42" s="37" customFormat="1" ht="15" customHeight="1" x14ac:dyDescent="0.3">
      <c r="A712" s="37" t="s">
        <v>5525</v>
      </c>
      <c r="B712" s="37" t="s">
        <v>5539</v>
      </c>
      <c r="C712" s="37" t="s">
        <v>5547</v>
      </c>
      <c r="D712" s="61" t="s">
        <v>5558</v>
      </c>
      <c r="E712" s="39" t="s">
        <v>5566</v>
      </c>
      <c r="F712" s="37" t="s">
        <v>1829</v>
      </c>
      <c r="G712" s="37" t="s">
        <v>5570</v>
      </c>
      <c r="P712" s="37" t="s">
        <v>1830</v>
      </c>
      <c r="Q712" s="37" t="s">
        <v>1156</v>
      </c>
      <c r="R712" s="61" t="s">
        <v>5567</v>
      </c>
      <c r="S712" s="37" t="s">
        <v>1832</v>
      </c>
      <c r="T712" s="37" t="s">
        <v>279</v>
      </c>
      <c r="V712" s="37">
        <v>1</v>
      </c>
      <c r="Y712" s="37" t="s">
        <v>1156</v>
      </c>
      <c r="AE712" s="37" t="s">
        <v>56</v>
      </c>
      <c r="AF712" s="37" t="s">
        <v>57</v>
      </c>
      <c r="AH712" s="62">
        <v>47</v>
      </c>
      <c r="AI712" s="62">
        <v>55</v>
      </c>
      <c r="AP712" s="63">
        <v>2844</v>
      </c>
    </row>
    <row r="713" spans="1:42" s="37" customFormat="1" ht="15" customHeight="1" x14ac:dyDescent="0.3">
      <c r="A713" s="37" t="s">
        <v>5525</v>
      </c>
      <c r="B713" s="37" t="s">
        <v>5540</v>
      </c>
      <c r="C713" s="37" t="s">
        <v>5547</v>
      </c>
      <c r="D713" s="61" t="s">
        <v>5559</v>
      </c>
      <c r="E713" s="39" t="s">
        <v>5566</v>
      </c>
      <c r="F713" s="37" t="s">
        <v>1829</v>
      </c>
      <c r="G713" s="37" t="s">
        <v>5570</v>
      </c>
      <c r="P713" s="37" t="s">
        <v>1830</v>
      </c>
      <c r="Q713" s="37" t="s">
        <v>1156</v>
      </c>
      <c r="R713" s="61" t="s">
        <v>5567</v>
      </c>
      <c r="S713" s="37" t="s">
        <v>1832</v>
      </c>
      <c r="T713" s="37" t="s">
        <v>1874</v>
      </c>
      <c r="V713" s="37">
        <v>1</v>
      </c>
      <c r="Y713" s="37" t="s">
        <v>1156</v>
      </c>
      <c r="AE713" s="37" t="s">
        <v>56</v>
      </c>
      <c r="AF713" s="37" t="s">
        <v>57</v>
      </c>
      <c r="AH713" s="62">
        <v>47</v>
      </c>
      <c r="AI713" s="62">
        <v>55</v>
      </c>
      <c r="AP713" s="63">
        <v>2844</v>
      </c>
    </row>
    <row r="714" spans="1:42" s="37" customFormat="1" ht="15" customHeight="1" x14ac:dyDescent="0.3">
      <c r="A714" s="37" t="s">
        <v>5525</v>
      </c>
      <c r="B714" s="37" t="s">
        <v>5541</v>
      </c>
      <c r="C714" s="37" t="s">
        <v>5547</v>
      </c>
      <c r="D714" s="61" t="s">
        <v>5560</v>
      </c>
      <c r="E714" s="39" t="s">
        <v>5566</v>
      </c>
      <c r="F714" s="37" t="s">
        <v>1829</v>
      </c>
      <c r="G714" s="37" t="s">
        <v>5570</v>
      </c>
      <c r="P714" s="37" t="s">
        <v>1830</v>
      </c>
      <c r="Q714" s="37" t="s">
        <v>1156</v>
      </c>
      <c r="R714" s="61" t="s">
        <v>5567</v>
      </c>
      <c r="S714" s="37" t="s">
        <v>1832</v>
      </c>
      <c r="T714" s="37" t="s">
        <v>1871</v>
      </c>
      <c r="V714" s="37">
        <v>1</v>
      </c>
      <c r="Y714" s="37" t="s">
        <v>1156</v>
      </c>
      <c r="AE714" s="37" t="s">
        <v>56</v>
      </c>
      <c r="AF714" s="37" t="s">
        <v>57</v>
      </c>
      <c r="AH714" s="62">
        <v>47</v>
      </c>
      <c r="AI714" s="62">
        <v>55</v>
      </c>
      <c r="AP714" s="63">
        <v>2844</v>
      </c>
    </row>
    <row r="715" spans="1:42" s="37" customFormat="1" ht="15" customHeight="1" x14ac:dyDescent="0.3">
      <c r="A715" s="37" t="s">
        <v>5525</v>
      </c>
      <c r="B715" s="37" t="s">
        <v>5542</v>
      </c>
      <c r="C715" s="37" t="s">
        <v>5547</v>
      </c>
      <c r="D715" s="61" t="s">
        <v>5561</v>
      </c>
      <c r="E715" s="39" t="s">
        <v>5566</v>
      </c>
      <c r="F715" s="37" t="s">
        <v>1829</v>
      </c>
      <c r="G715" s="37" t="s">
        <v>5570</v>
      </c>
      <c r="P715" s="37" t="s">
        <v>1830</v>
      </c>
      <c r="Q715" s="37" t="s">
        <v>1156</v>
      </c>
      <c r="R715" s="61" t="s">
        <v>5567</v>
      </c>
      <c r="S715" s="37" t="s">
        <v>1832</v>
      </c>
      <c r="T715" s="37" t="s">
        <v>5569</v>
      </c>
      <c r="V715" s="37">
        <v>1</v>
      </c>
      <c r="Y715" s="37" t="s">
        <v>1156</v>
      </c>
      <c r="AE715" s="37" t="s">
        <v>56</v>
      </c>
      <c r="AF715" s="37" t="s">
        <v>57</v>
      </c>
      <c r="AH715" s="62">
        <v>47</v>
      </c>
      <c r="AI715" s="62">
        <v>55</v>
      </c>
      <c r="AP715" s="63">
        <v>2844</v>
      </c>
    </row>
    <row r="716" spans="1:42" s="37" customFormat="1" ht="15" customHeight="1" x14ac:dyDescent="0.3">
      <c r="A716" s="37" t="s">
        <v>5525</v>
      </c>
      <c r="B716" s="37" t="s">
        <v>5543</v>
      </c>
      <c r="C716" s="37" t="s">
        <v>5547</v>
      </c>
      <c r="D716" s="61" t="s">
        <v>5562</v>
      </c>
      <c r="E716" s="39" t="s">
        <v>5566</v>
      </c>
      <c r="F716" s="37" t="s">
        <v>1829</v>
      </c>
      <c r="G716" s="37" t="s">
        <v>5570</v>
      </c>
      <c r="P716" s="37" t="s">
        <v>1830</v>
      </c>
      <c r="Q716" s="37" t="s">
        <v>1156</v>
      </c>
      <c r="R716" s="61" t="s">
        <v>5567</v>
      </c>
      <c r="S716" s="37" t="s">
        <v>1832</v>
      </c>
      <c r="T716" s="37" t="s">
        <v>1836</v>
      </c>
      <c r="V716" s="37">
        <v>1</v>
      </c>
      <c r="Y716" s="37" t="s">
        <v>1156</v>
      </c>
      <c r="AE716" s="37" t="s">
        <v>56</v>
      </c>
      <c r="AF716" s="37" t="s">
        <v>57</v>
      </c>
      <c r="AH716" s="62">
        <v>47</v>
      </c>
      <c r="AI716" s="62">
        <v>55</v>
      </c>
      <c r="AP716" s="63">
        <v>2844</v>
      </c>
    </row>
    <row r="717" spans="1:42" s="37" customFormat="1" ht="15" customHeight="1" x14ac:dyDescent="0.3">
      <c r="A717" s="37" t="s">
        <v>5525</v>
      </c>
      <c r="B717" s="37" t="s">
        <v>5544</v>
      </c>
      <c r="C717" s="37" t="s">
        <v>5547</v>
      </c>
      <c r="D717" s="61" t="s">
        <v>5563</v>
      </c>
      <c r="E717" s="39" t="s">
        <v>5566</v>
      </c>
      <c r="F717" s="37" t="s">
        <v>1829</v>
      </c>
      <c r="G717" s="37" t="s">
        <v>5570</v>
      </c>
      <c r="P717" s="37" t="s">
        <v>1830</v>
      </c>
      <c r="Q717" s="37" t="s">
        <v>1156</v>
      </c>
      <c r="R717" s="61" t="s">
        <v>5567</v>
      </c>
      <c r="S717" s="37" t="s">
        <v>1832</v>
      </c>
      <c r="T717" s="37" t="s">
        <v>1880</v>
      </c>
      <c r="V717" s="37">
        <v>1</v>
      </c>
      <c r="Y717" s="37" t="s">
        <v>1156</v>
      </c>
      <c r="AE717" s="37" t="s">
        <v>56</v>
      </c>
      <c r="AF717" s="37" t="s">
        <v>57</v>
      </c>
      <c r="AH717" s="62">
        <v>47</v>
      </c>
      <c r="AI717" s="62">
        <v>55</v>
      </c>
      <c r="AP717" s="63">
        <v>2844</v>
      </c>
    </row>
    <row r="718" spans="1:42" s="37" customFormat="1" ht="15" customHeight="1" x14ac:dyDescent="0.3">
      <c r="A718" s="37" t="s">
        <v>5525</v>
      </c>
      <c r="B718" s="37" t="s">
        <v>5545</v>
      </c>
      <c r="C718" s="37" t="s">
        <v>5547</v>
      </c>
      <c r="D718" s="61" t="s">
        <v>5564</v>
      </c>
      <c r="E718" s="39" t="s">
        <v>5566</v>
      </c>
      <c r="F718" s="37" t="s">
        <v>1829</v>
      </c>
      <c r="G718" s="37" t="s">
        <v>5570</v>
      </c>
      <c r="P718" s="37" t="s">
        <v>1830</v>
      </c>
      <c r="Q718" s="37" t="s">
        <v>1156</v>
      </c>
      <c r="R718" s="61" t="s">
        <v>5567</v>
      </c>
      <c r="S718" s="37" t="s">
        <v>1832</v>
      </c>
      <c r="T718" s="37" t="s">
        <v>1863</v>
      </c>
      <c r="V718" s="37">
        <v>1</v>
      </c>
      <c r="Y718" s="37" t="s">
        <v>1156</v>
      </c>
      <c r="AE718" s="37" t="s">
        <v>56</v>
      </c>
      <c r="AF718" s="37" t="s">
        <v>57</v>
      </c>
      <c r="AH718" s="62">
        <v>47</v>
      </c>
      <c r="AI718" s="62">
        <v>55</v>
      </c>
      <c r="AP718" s="63">
        <v>2844</v>
      </c>
    </row>
    <row r="719" spans="1:42" s="37" customFormat="1" ht="15" customHeight="1" x14ac:dyDescent="0.3">
      <c r="A719" s="37" t="s">
        <v>5525</v>
      </c>
      <c r="B719" s="37" t="s">
        <v>5546</v>
      </c>
      <c r="C719" s="37" t="s">
        <v>5547</v>
      </c>
      <c r="D719" s="61" t="s">
        <v>5565</v>
      </c>
      <c r="E719" s="39" t="s">
        <v>5566</v>
      </c>
      <c r="F719" s="37" t="s">
        <v>1829</v>
      </c>
      <c r="G719" s="37" t="s">
        <v>5570</v>
      </c>
      <c r="P719" s="37" t="s">
        <v>1830</v>
      </c>
      <c r="Q719" s="37" t="s">
        <v>1156</v>
      </c>
      <c r="R719" s="61" t="s">
        <v>5567</v>
      </c>
      <c r="S719" s="37" t="s">
        <v>1832</v>
      </c>
      <c r="T719" s="37" t="s">
        <v>328</v>
      </c>
      <c r="V719" s="37">
        <v>1</v>
      </c>
      <c r="Y719" s="37" t="s">
        <v>1156</v>
      </c>
      <c r="AE719" s="37" t="s">
        <v>56</v>
      </c>
      <c r="AF719" s="37" t="s">
        <v>57</v>
      </c>
      <c r="AH719" s="62">
        <v>47</v>
      </c>
      <c r="AI719" s="62">
        <v>55</v>
      </c>
      <c r="AP719" s="63">
        <v>2844</v>
      </c>
    </row>
    <row r="720" spans="1:42" ht="15" customHeight="1" x14ac:dyDescent="0.3">
      <c r="A720" s="37" t="s">
        <v>5571</v>
      </c>
      <c r="B720" s="37" t="s">
        <v>5573</v>
      </c>
      <c r="C720" s="37" t="s">
        <v>5592</v>
      </c>
      <c r="D720" s="61" t="s">
        <v>5593</v>
      </c>
      <c r="E720" s="39" t="s">
        <v>5572</v>
      </c>
      <c r="F720" s="37" t="s">
        <v>5612</v>
      </c>
      <c r="G720" s="37" t="s">
        <v>5615</v>
      </c>
      <c r="P720" s="37" t="s">
        <v>1830</v>
      </c>
      <c r="Q720" s="37" t="s">
        <v>1156</v>
      </c>
      <c r="R720" s="61" t="s">
        <v>5613</v>
      </c>
      <c r="S720" s="37" t="s">
        <v>5614</v>
      </c>
      <c r="T720" s="37" t="s">
        <v>1833</v>
      </c>
      <c r="V720" s="37">
        <v>1</v>
      </c>
      <c r="Y720" s="37" t="s">
        <v>1156</v>
      </c>
      <c r="AE720" s="37" t="s">
        <v>56</v>
      </c>
      <c r="AF720" s="37" t="s">
        <v>57</v>
      </c>
      <c r="AH720" s="62">
        <v>12</v>
      </c>
      <c r="AI720" s="62">
        <v>17</v>
      </c>
      <c r="AP720" s="63">
        <v>636</v>
      </c>
    </row>
    <row r="721" spans="1:42" ht="15" customHeight="1" x14ac:dyDescent="0.3">
      <c r="A721" s="37" t="s">
        <v>5571</v>
      </c>
      <c r="B721" s="37" t="s">
        <v>5574</v>
      </c>
      <c r="C721" s="37" t="s">
        <v>5592</v>
      </c>
      <c r="D721" s="61" t="s">
        <v>5594</v>
      </c>
      <c r="E721" s="39" t="s">
        <v>5572</v>
      </c>
      <c r="F721" s="37" t="s">
        <v>5612</v>
      </c>
      <c r="G721" s="37" t="s">
        <v>5615</v>
      </c>
      <c r="P721" s="37" t="s">
        <v>1830</v>
      </c>
      <c r="Q721" s="37" t="s">
        <v>1156</v>
      </c>
      <c r="R721" s="61" t="s">
        <v>5613</v>
      </c>
      <c r="S721" s="37" t="s">
        <v>5614</v>
      </c>
      <c r="T721" s="37" t="s">
        <v>1880</v>
      </c>
      <c r="V721" s="37">
        <v>1</v>
      </c>
      <c r="Y721" s="37" t="s">
        <v>1156</v>
      </c>
      <c r="AE721" s="37" t="s">
        <v>56</v>
      </c>
      <c r="AF721" s="37" t="s">
        <v>57</v>
      </c>
      <c r="AH721" s="62">
        <v>12</v>
      </c>
      <c r="AI721" s="62">
        <v>17</v>
      </c>
      <c r="AP721" s="63">
        <v>873</v>
      </c>
    </row>
    <row r="722" spans="1:42" ht="15" customHeight="1" x14ac:dyDescent="0.3">
      <c r="A722" s="37" t="s">
        <v>5571</v>
      </c>
      <c r="B722" s="37" t="s">
        <v>5575</v>
      </c>
      <c r="C722" s="37" t="s">
        <v>5592</v>
      </c>
      <c r="D722" s="61" t="s">
        <v>5595</v>
      </c>
      <c r="E722" s="39" t="s">
        <v>5572</v>
      </c>
      <c r="F722" s="37" t="s">
        <v>5612</v>
      </c>
      <c r="G722" s="37" t="s">
        <v>5615</v>
      </c>
      <c r="P722" s="37" t="s">
        <v>1830</v>
      </c>
      <c r="Q722" s="37" t="s">
        <v>1156</v>
      </c>
      <c r="R722" s="61" t="s">
        <v>5613</v>
      </c>
      <c r="S722" s="37" t="s">
        <v>5614</v>
      </c>
      <c r="T722" s="37" t="s">
        <v>1836</v>
      </c>
      <c r="V722" s="37">
        <v>1</v>
      </c>
      <c r="Y722" s="37" t="s">
        <v>1156</v>
      </c>
      <c r="AE722" s="37" t="s">
        <v>56</v>
      </c>
      <c r="AF722" s="37" t="s">
        <v>57</v>
      </c>
      <c r="AH722" s="62">
        <v>12</v>
      </c>
      <c r="AI722" s="62">
        <v>17</v>
      </c>
      <c r="AP722" s="63">
        <v>873</v>
      </c>
    </row>
    <row r="723" spans="1:42" ht="15" customHeight="1" x14ac:dyDescent="0.3">
      <c r="A723" s="37" t="s">
        <v>5571</v>
      </c>
      <c r="B723" s="37" t="s">
        <v>5576</v>
      </c>
      <c r="C723" s="37" t="s">
        <v>5592</v>
      </c>
      <c r="D723" s="61" t="s">
        <v>5596</v>
      </c>
      <c r="E723" s="39" t="s">
        <v>5572</v>
      </c>
      <c r="F723" s="37" t="s">
        <v>5612</v>
      </c>
      <c r="G723" s="37" t="s">
        <v>5615</v>
      </c>
      <c r="P723" s="37" t="s">
        <v>1830</v>
      </c>
      <c r="Q723" s="37" t="s">
        <v>1156</v>
      </c>
      <c r="R723" s="61" t="s">
        <v>5613</v>
      </c>
      <c r="S723" s="37" t="s">
        <v>5614</v>
      </c>
      <c r="T723" s="37" t="s">
        <v>3263</v>
      </c>
      <c r="V723" s="37">
        <v>1</v>
      </c>
      <c r="Y723" s="37" t="s">
        <v>1156</v>
      </c>
      <c r="AE723" s="37" t="s">
        <v>56</v>
      </c>
      <c r="AF723" s="37" t="s">
        <v>57</v>
      </c>
      <c r="AH723" s="62">
        <v>12</v>
      </c>
      <c r="AI723" s="62">
        <v>17</v>
      </c>
      <c r="AP723" s="63">
        <v>873</v>
      </c>
    </row>
    <row r="724" spans="1:42" ht="15" customHeight="1" x14ac:dyDescent="0.3">
      <c r="A724" s="37" t="s">
        <v>5571</v>
      </c>
      <c r="B724" s="37" t="s">
        <v>5577</v>
      </c>
      <c r="C724" s="37" t="s">
        <v>5592</v>
      </c>
      <c r="D724" s="61" t="s">
        <v>5597</v>
      </c>
      <c r="E724" s="39" t="s">
        <v>5572</v>
      </c>
      <c r="F724" s="37" t="s">
        <v>5612</v>
      </c>
      <c r="G724" s="37" t="s">
        <v>5615</v>
      </c>
      <c r="P724" s="37" t="s">
        <v>1830</v>
      </c>
      <c r="Q724" s="37" t="s">
        <v>1156</v>
      </c>
      <c r="R724" s="61" t="s">
        <v>5613</v>
      </c>
      <c r="S724" s="37" t="s">
        <v>5614</v>
      </c>
      <c r="T724" s="37" t="s">
        <v>1842</v>
      </c>
      <c r="V724" s="37">
        <v>1</v>
      </c>
      <c r="Y724" s="37" t="s">
        <v>1156</v>
      </c>
      <c r="AE724" s="37" t="s">
        <v>56</v>
      </c>
      <c r="AF724" s="37" t="s">
        <v>57</v>
      </c>
      <c r="AH724" s="62">
        <v>12</v>
      </c>
      <c r="AI724" s="62">
        <v>17</v>
      </c>
      <c r="AP724" s="63">
        <v>873</v>
      </c>
    </row>
    <row r="725" spans="1:42" ht="15" customHeight="1" x14ac:dyDescent="0.3">
      <c r="A725" s="37" t="s">
        <v>5571</v>
      </c>
      <c r="B725" s="37" t="s">
        <v>5578</v>
      </c>
      <c r="C725" s="37" t="s">
        <v>5592</v>
      </c>
      <c r="D725" s="61" t="s">
        <v>5598</v>
      </c>
      <c r="E725" s="39" t="s">
        <v>5572</v>
      </c>
      <c r="F725" s="37" t="s">
        <v>5612</v>
      </c>
      <c r="G725" s="37" t="s">
        <v>5615</v>
      </c>
      <c r="P725" s="37" t="s">
        <v>1830</v>
      </c>
      <c r="Q725" s="37" t="s">
        <v>1156</v>
      </c>
      <c r="R725" s="61" t="s">
        <v>5613</v>
      </c>
      <c r="S725" s="37" t="s">
        <v>5614</v>
      </c>
      <c r="T725" s="37" t="s">
        <v>1845</v>
      </c>
      <c r="V725" s="37">
        <v>1</v>
      </c>
      <c r="Y725" s="37" t="s">
        <v>1156</v>
      </c>
      <c r="AE725" s="37" t="s">
        <v>56</v>
      </c>
      <c r="AF725" s="37" t="s">
        <v>57</v>
      </c>
      <c r="AH725" s="62">
        <v>12</v>
      </c>
      <c r="AI725" s="62">
        <v>17</v>
      </c>
      <c r="AP725" s="63">
        <v>873</v>
      </c>
    </row>
    <row r="726" spans="1:42" ht="15" customHeight="1" x14ac:dyDescent="0.3">
      <c r="A726" s="37" t="s">
        <v>5571</v>
      </c>
      <c r="B726" s="37" t="s">
        <v>5579</v>
      </c>
      <c r="C726" s="37" t="s">
        <v>5592</v>
      </c>
      <c r="D726" s="61" t="s">
        <v>5599</v>
      </c>
      <c r="E726" s="39" t="s">
        <v>5572</v>
      </c>
      <c r="F726" s="37" t="s">
        <v>5612</v>
      </c>
      <c r="G726" s="37" t="s">
        <v>5615</v>
      </c>
      <c r="P726" s="37" t="s">
        <v>1830</v>
      </c>
      <c r="Q726" s="37" t="s">
        <v>1156</v>
      </c>
      <c r="R726" s="61" t="s">
        <v>5613</v>
      </c>
      <c r="S726" s="37" t="s">
        <v>5614</v>
      </c>
      <c r="T726" s="37" t="s">
        <v>1848</v>
      </c>
      <c r="V726" s="37">
        <v>1</v>
      </c>
      <c r="Y726" s="37" t="s">
        <v>1156</v>
      </c>
      <c r="AE726" s="37" t="s">
        <v>56</v>
      </c>
      <c r="AF726" s="37" t="s">
        <v>57</v>
      </c>
      <c r="AH726" s="62">
        <v>12</v>
      </c>
      <c r="AI726" s="62">
        <v>17</v>
      </c>
      <c r="AP726" s="63">
        <v>873</v>
      </c>
    </row>
    <row r="727" spans="1:42" ht="15" customHeight="1" x14ac:dyDescent="0.3">
      <c r="A727" s="37" t="s">
        <v>5571</v>
      </c>
      <c r="B727" s="37" t="s">
        <v>5580</v>
      </c>
      <c r="C727" s="37" t="s">
        <v>5592</v>
      </c>
      <c r="D727" s="61" t="s">
        <v>5600</v>
      </c>
      <c r="E727" s="39" t="s">
        <v>5572</v>
      </c>
      <c r="F727" s="37" t="s">
        <v>5612</v>
      </c>
      <c r="G727" s="37" t="s">
        <v>5615</v>
      </c>
      <c r="P727" s="37" t="s">
        <v>1830</v>
      </c>
      <c r="Q727" s="37" t="s">
        <v>1156</v>
      </c>
      <c r="R727" s="61" t="s">
        <v>5613</v>
      </c>
      <c r="S727" s="37" t="s">
        <v>5614</v>
      </c>
      <c r="T727" s="37" t="s">
        <v>1851</v>
      </c>
      <c r="V727" s="37">
        <v>1</v>
      </c>
      <c r="Y727" s="37" t="s">
        <v>1156</v>
      </c>
      <c r="AE727" s="37" t="s">
        <v>56</v>
      </c>
      <c r="AF727" s="37" t="s">
        <v>57</v>
      </c>
      <c r="AH727" s="62">
        <v>12</v>
      </c>
      <c r="AI727" s="62">
        <v>17</v>
      </c>
      <c r="AP727" s="63">
        <v>873</v>
      </c>
    </row>
    <row r="728" spans="1:42" ht="15" customHeight="1" x14ac:dyDescent="0.3">
      <c r="A728" s="37" t="s">
        <v>5571</v>
      </c>
      <c r="B728" s="37" t="s">
        <v>5581</v>
      </c>
      <c r="C728" s="37" t="s">
        <v>5592</v>
      </c>
      <c r="D728" s="61" t="s">
        <v>5601</v>
      </c>
      <c r="E728" s="39" t="s">
        <v>5572</v>
      </c>
      <c r="F728" s="37" t="s">
        <v>5612</v>
      </c>
      <c r="G728" s="37" t="s">
        <v>5615</v>
      </c>
      <c r="P728" s="37" t="s">
        <v>1830</v>
      </c>
      <c r="Q728" s="37" t="s">
        <v>1156</v>
      </c>
      <c r="R728" s="61" t="s">
        <v>5613</v>
      </c>
      <c r="S728" s="37" t="s">
        <v>5614</v>
      </c>
      <c r="T728" s="37" t="s">
        <v>279</v>
      </c>
      <c r="V728" s="37">
        <v>1</v>
      </c>
      <c r="Y728" s="37" t="s">
        <v>1156</v>
      </c>
      <c r="AE728" s="37" t="s">
        <v>56</v>
      </c>
      <c r="AF728" s="37" t="s">
        <v>57</v>
      </c>
      <c r="AH728" s="62">
        <v>12</v>
      </c>
      <c r="AI728" s="62">
        <v>17</v>
      </c>
      <c r="AP728" s="63">
        <v>873</v>
      </c>
    </row>
    <row r="729" spans="1:42" ht="15" customHeight="1" x14ac:dyDescent="0.3">
      <c r="A729" s="37" t="s">
        <v>5571</v>
      </c>
      <c r="B729" s="37" t="s">
        <v>5582</v>
      </c>
      <c r="C729" s="37" t="s">
        <v>5592</v>
      </c>
      <c r="D729" s="61" t="s">
        <v>5602</v>
      </c>
      <c r="E729" s="39" t="s">
        <v>5572</v>
      </c>
      <c r="F729" s="37" t="s">
        <v>5612</v>
      </c>
      <c r="G729" s="37" t="s">
        <v>5615</v>
      </c>
      <c r="P729" s="37" t="s">
        <v>1830</v>
      </c>
      <c r="Q729" s="37" t="s">
        <v>1156</v>
      </c>
      <c r="R729" s="61" t="s">
        <v>5613</v>
      </c>
      <c r="S729" s="37" t="s">
        <v>5614</v>
      </c>
      <c r="T729" s="37" t="s">
        <v>5568</v>
      </c>
      <c r="V729" s="37">
        <v>1</v>
      </c>
      <c r="Y729" s="37" t="s">
        <v>1156</v>
      </c>
      <c r="AE729" s="37" t="s">
        <v>56</v>
      </c>
      <c r="AF729" s="37" t="s">
        <v>57</v>
      </c>
      <c r="AH729" s="62">
        <v>12</v>
      </c>
      <c r="AI729" s="62">
        <v>17</v>
      </c>
      <c r="AP729" s="63">
        <v>873</v>
      </c>
    </row>
    <row r="730" spans="1:42" ht="15" customHeight="1" x14ac:dyDescent="0.3">
      <c r="A730" s="37" t="s">
        <v>5571</v>
      </c>
      <c r="B730" s="37" t="s">
        <v>5583</v>
      </c>
      <c r="C730" s="37" t="s">
        <v>5592</v>
      </c>
      <c r="D730" s="61" t="s">
        <v>5603</v>
      </c>
      <c r="E730" s="39" t="s">
        <v>5572</v>
      </c>
      <c r="F730" s="37" t="s">
        <v>5612</v>
      </c>
      <c r="G730" s="37" t="s">
        <v>5615</v>
      </c>
      <c r="P730" s="37" t="s">
        <v>1830</v>
      </c>
      <c r="Q730" s="37" t="s">
        <v>1156</v>
      </c>
      <c r="R730" s="61" t="s">
        <v>5613</v>
      </c>
      <c r="S730" s="37" t="s">
        <v>5614</v>
      </c>
      <c r="T730" s="37" t="s">
        <v>328</v>
      </c>
      <c r="V730" s="37">
        <v>1</v>
      </c>
      <c r="Y730" s="37" t="s">
        <v>1156</v>
      </c>
      <c r="AE730" s="37" t="s">
        <v>56</v>
      </c>
      <c r="AF730" s="37" t="s">
        <v>57</v>
      </c>
      <c r="AH730" s="62">
        <v>12</v>
      </c>
      <c r="AI730" s="62">
        <v>17</v>
      </c>
      <c r="AP730" s="63">
        <v>873</v>
      </c>
    </row>
    <row r="731" spans="1:42" ht="15" customHeight="1" x14ac:dyDescent="0.3">
      <c r="A731" s="37" t="s">
        <v>5571</v>
      </c>
      <c r="B731" s="37" t="s">
        <v>5584</v>
      </c>
      <c r="C731" s="37" t="s">
        <v>5592</v>
      </c>
      <c r="D731" s="61" t="s">
        <v>5604</v>
      </c>
      <c r="E731" s="39" t="s">
        <v>5572</v>
      </c>
      <c r="F731" s="37" t="s">
        <v>5612</v>
      </c>
      <c r="G731" s="37" t="s">
        <v>5615</v>
      </c>
      <c r="P731" s="37" t="s">
        <v>1830</v>
      </c>
      <c r="Q731" s="37" t="s">
        <v>1156</v>
      </c>
      <c r="R731" s="61" t="s">
        <v>5613</v>
      </c>
      <c r="S731" s="37" t="s">
        <v>5614</v>
      </c>
      <c r="T731" s="37" t="s">
        <v>1863</v>
      </c>
      <c r="V731" s="37">
        <v>1</v>
      </c>
      <c r="Y731" s="37" t="s">
        <v>1156</v>
      </c>
      <c r="AE731" s="37" t="s">
        <v>56</v>
      </c>
      <c r="AF731" s="37" t="s">
        <v>57</v>
      </c>
      <c r="AH731" s="62">
        <v>12</v>
      </c>
      <c r="AI731" s="62">
        <v>17</v>
      </c>
      <c r="AP731" s="63">
        <v>873</v>
      </c>
    </row>
    <row r="732" spans="1:42" ht="15" customHeight="1" x14ac:dyDescent="0.3">
      <c r="A732" s="37" t="s">
        <v>5571</v>
      </c>
      <c r="B732" s="37" t="s">
        <v>5585</v>
      </c>
      <c r="C732" s="37" t="s">
        <v>5592</v>
      </c>
      <c r="D732" s="61" t="s">
        <v>5605</v>
      </c>
      <c r="E732" s="39" t="s">
        <v>5572</v>
      </c>
      <c r="F732" s="37" t="s">
        <v>5612</v>
      </c>
      <c r="G732" s="37" t="s">
        <v>5615</v>
      </c>
      <c r="P732" s="37" t="s">
        <v>1830</v>
      </c>
      <c r="Q732" s="37" t="s">
        <v>1156</v>
      </c>
      <c r="R732" s="61" t="s">
        <v>5613</v>
      </c>
      <c r="S732" s="37" t="s">
        <v>5614</v>
      </c>
      <c r="T732" s="37" t="s">
        <v>1802</v>
      </c>
      <c r="V732" s="37">
        <v>1</v>
      </c>
      <c r="Y732" s="37" t="s">
        <v>1156</v>
      </c>
      <c r="AE732" s="37" t="s">
        <v>56</v>
      </c>
      <c r="AF732" s="37" t="s">
        <v>57</v>
      </c>
      <c r="AH732" s="62">
        <v>12</v>
      </c>
      <c r="AI732" s="62">
        <v>17</v>
      </c>
      <c r="AP732" s="63">
        <v>873</v>
      </c>
    </row>
    <row r="733" spans="1:42" ht="15" customHeight="1" x14ac:dyDescent="0.3">
      <c r="A733" s="37" t="s">
        <v>5571</v>
      </c>
      <c r="B733" s="37" t="s">
        <v>5586</v>
      </c>
      <c r="C733" s="37" t="s">
        <v>5592</v>
      </c>
      <c r="D733" s="61" t="s">
        <v>5606</v>
      </c>
      <c r="E733" s="39" t="s">
        <v>5572</v>
      </c>
      <c r="F733" s="37" t="s">
        <v>5612</v>
      </c>
      <c r="G733" s="37" t="s">
        <v>5615</v>
      </c>
      <c r="P733" s="37" t="s">
        <v>1830</v>
      </c>
      <c r="Q733" s="37" t="s">
        <v>1156</v>
      </c>
      <c r="R733" s="61" t="s">
        <v>5613</v>
      </c>
      <c r="S733" s="37" t="s">
        <v>5614</v>
      </c>
      <c r="T733" s="37" t="s">
        <v>325</v>
      </c>
      <c r="V733" s="37">
        <v>1</v>
      </c>
      <c r="Y733" s="37" t="s">
        <v>1156</v>
      </c>
      <c r="AE733" s="37" t="s">
        <v>56</v>
      </c>
      <c r="AF733" s="37" t="s">
        <v>57</v>
      </c>
      <c r="AH733" s="62">
        <v>12</v>
      </c>
      <c r="AI733" s="62">
        <v>17</v>
      </c>
      <c r="AP733" s="63">
        <v>873</v>
      </c>
    </row>
    <row r="734" spans="1:42" ht="15" customHeight="1" x14ac:dyDescent="0.3">
      <c r="A734" s="37" t="s">
        <v>5571</v>
      </c>
      <c r="B734" s="37" t="s">
        <v>5587</v>
      </c>
      <c r="C734" s="37" t="s">
        <v>5592</v>
      </c>
      <c r="D734" s="61" t="s">
        <v>5607</v>
      </c>
      <c r="E734" s="39" t="s">
        <v>5572</v>
      </c>
      <c r="F734" s="37" t="s">
        <v>5612</v>
      </c>
      <c r="G734" s="37" t="s">
        <v>5615</v>
      </c>
      <c r="P734" s="37" t="s">
        <v>1830</v>
      </c>
      <c r="Q734" s="37" t="s">
        <v>1156</v>
      </c>
      <c r="R734" s="61" t="s">
        <v>5613</v>
      </c>
      <c r="S734" s="37" t="s">
        <v>5614</v>
      </c>
      <c r="T734" s="37" t="s">
        <v>1871</v>
      </c>
      <c r="V734" s="37">
        <v>1</v>
      </c>
      <c r="Y734" s="37" t="s">
        <v>1156</v>
      </c>
      <c r="AE734" s="37" t="s">
        <v>56</v>
      </c>
      <c r="AF734" s="37" t="s">
        <v>57</v>
      </c>
      <c r="AH734" s="62">
        <v>12</v>
      </c>
      <c r="AI734" s="62">
        <v>17</v>
      </c>
      <c r="AP734" s="63">
        <v>873</v>
      </c>
    </row>
    <row r="735" spans="1:42" ht="15" customHeight="1" x14ac:dyDescent="0.3">
      <c r="A735" s="37" t="s">
        <v>5571</v>
      </c>
      <c r="B735" s="37" t="s">
        <v>5588</v>
      </c>
      <c r="C735" s="37" t="s">
        <v>5592</v>
      </c>
      <c r="D735" s="61" t="s">
        <v>5608</v>
      </c>
      <c r="E735" s="39" t="s">
        <v>5572</v>
      </c>
      <c r="F735" s="37" t="s">
        <v>5612</v>
      </c>
      <c r="G735" s="37" t="s">
        <v>5615</v>
      </c>
      <c r="P735" s="37" t="s">
        <v>1830</v>
      </c>
      <c r="Q735" s="37" t="s">
        <v>1156</v>
      </c>
      <c r="R735" s="61" t="s">
        <v>5613</v>
      </c>
      <c r="S735" s="37" t="s">
        <v>5614</v>
      </c>
      <c r="T735" s="37" t="s">
        <v>1874</v>
      </c>
      <c r="V735" s="37">
        <v>1</v>
      </c>
      <c r="Y735" s="37" t="s">
        <v>1156</v>
      </c>
      <c r="AE735" s="37" t="s">
        <v>56</v>
      </c>
      <c r="AF735" s="37" t="s">
        <v>57</v>
      </c>
      <c r="AH735" s="62">
        <v>12</v>
      </c>
      <c r="AI735" s="62">
        <v>17</v>
      </c>
      <c r="AP735" s="63">
        <v>873</v>
      </c>
    </row>
    <row r="736" spans="1:42" ht="15" customHeight="1" x14ac:dyDescent="0.3">
      <c r="A736" s="37" t="s">
        <v>5571</v>
      </c>
      <c r="B736" s="37" t="s">
        <v>5589</v>
      </c>
      <c r="C736" s="37" t="s">
        <v>5592</v>
      </c>
      <c r="D736" s="61" t="s">
        <v>5609</v>
      </c>
      <c r="E736" s="39" t="s">
        <v>5572</v>
      </c>
      <c r="F736" s="37" t="s">
        <v>5612</v>
      </c>
      <c r="G736" s="37" t="s">
        <v>5615</v>
      </c>
      <c r="P736" s="37" t="s">
        <v>1830</v>
      </c>
      <c r="Q736" s="37" t="s">
        <v>1156</v>
      </c>
      <c r="R736" s="61" t="s">
        <v>5613</v>
      </c>
      <c r="S736" s="37" t="s">
        <v>5614</v>
      </c>
      <c r="T736" s="37" t="s">
        <v>1877</v>
      </c>
      <c r="V736" s="37">
        <v>1</v>
      </c>
      <c r="Y736" s="37" t="s">
        <v>1156</v>
      </c>
      <c r="AE736" s="37" t="s">
        <v>56</v>
      </c>
      <c r="AF736" s="37" t="s">
        <v>57</v>
      </c>
      <c r="AH736" s="62">
        <v>12</v>
      </c>
      <c r="AI736" s="62">
        <v>17</v>
      </c>
      <c r="AP736" s="63">
        <v>873</v>
      </c>
    </row>
    <row r="737" spans="1:42" ht="15" customHeight="1" x14ac:dyDescent="0.3">
      <c r="A737" s="37" t="s">
        <v>5571</v>
      </c>
      <c r="B737" s="37" t="s">
        <v>5590</v>
      </c>
      <c r="C737" s="37" t="s">
        <v>5592</v>
      </c>
      <c r="D737" s="61" t="s">
        <v>5610</v>
      </c>
      <c r="E737" s="39" t="s">
        <v>5572</v>
      </c>
      <c r="F737" s="37" t="s">
        <v>5612</v>
      </c>
      <c r="G737" s="37" t="s">
        <v>5615</v>
      </c>
      <c r="P737" s="37" t="s">
        <v>1830</v>
      </c>
      <c r="Q737" s="37" t="s">
        <v>1156</v>
      </c>
      <c r="R737" s="61" t="s">
        <v>5613</v>
      </c>
      <c r="S737" s="37" t="s">
        <v>5614</v>
      </c>
      <c r="T737" s="37" t="s">
        <v>1883</v>
      </c>
      <c r="V737" s="37">
        <v>1</v>
      </c>
      <c r="Y737" s="37" t="s">
        <v>1156</v>
      </c>
      <c r="AE737" s="37" t="s">
        <v>56</v>
      </c>
      <c r="AF737" s="37" t="s">
        <v>57</v>
      </c>
      <c r="AH737" s="62">
        <v>12</v>
      </c>
      <c r="AI737" s="62">
        <v>17</v>
      </c>
      <c r="AP737" s="63">
        <v>873</v>
      </c>
    </row>
    <row r="738" spans="1:42" ht="15" customHeight="1" x14ac:dyDescent="0.3">
      <c r="A738" s="37" t="s">
        <v>5571</v>
      </c>
      <c r="B738" s="37" t="s">
        <v>5591</v>
      </c>
      <c r="C738" s="37" t="s">
        <v>5592</v>
      </c>
      <c r="D738" s="61" t="s">
        <v>5611</v>
      </c>
      <c r="E738" s="39" t="s">
        <v>5572</v>
      </c>
      <c r="F738" s="37" t="s">
        <v>5612</v>
      </c>
      <c r="G738" s="37" t="s">
        <v>5615</v>
      </c>
      <c r="P738" s="37" t="s">
        <v>1830</v>
      </c>
      <c r="Q738" s="37" t="s">
        <v>1156</v>
      </c>
      <c r="R738" s="61" t="s">
        <v>5613</v>
      </c>
      <c r="S738" s="37" t="s">
        <v>5614</v>
      </c>
      <c r="T738" s="37" t="s">
        <v>1886</v>
      </c>
      <c r="V738" s="37">
        <v>1</v>
      </c>
      <c r="Y738" s="37" t="s">
        <v>1156</v>
      </c>
      <c r="AE738" s="37" t="s">
        <v>56</v>
      </c>
      <c r="AF738" s="37" t="s">
        <v>57</v>
      </c>
      <c r="AH738" s="62">
        <v>12</v>
      </c>
      <c r="AI738" s="62">
        <v>17</v>
      </c>
      <c r="AP738" s="63">
        <v>873</v>
      </c>
    </row>
    <row r="746" spans="1:42" ht="14.4" x14ac:dyDescent="0.3"/>
    <row r="747" spans="1:42" ht="14.4" x14ac:dyDescent="0.3"/>
    <row r="748" spans="1:42" ht="14.4" x14ac:dyDescent="0.3"/>
    <row r="749" spans="1:42" ht="14.4" x14ac:dyDescent="0.3"/>
    <row r="750" spans="1:42" ht="14.4" x14ac:dyDescent="0.3"/>
    <row r="751" spans="1:42" ht="14.4" x14ac:dyDescent="0.3"/>
    <row r="752" spans="1:42" ht="14.4" x14ac:dyDescent="0.3"/>
    <row r="753" ht="14.4" x14ac:dyDescent="0.3"/>
    <row r="754" ht="14.4" x14ac:dyDescent="0.3"/>
    <row r="755" ht="14.4" x14ac:dyDescent="0.3"/>
    <row r="756" ht="14.4" x14ac:dyDescent="0.3"/>
    <row r="757" ht="14.4" x14ac:dyDescent="0.3"/>
    <row r="758" ht="14.4" x14ac:dyDescent="0.3"/>
    <row r="759" ht="14.4" x14ac:dyDescent="0.3"/>
    <row r="760" ht="14.4" x14ac:dyDescent="0.3"/>
    <row r="761" ht="14.4" x14ac:dyDescent="0.3"/>
    <row r="762" ht="14.4" x14ac:dyDescent="0.3"/>
    <row r="763" ht="14.4" x14ac:dyDescent="0.3"/>
    <row r="764" ht="14.4" x14ac:dyDescent="0.3"/>
    <row r="765" ht="14.4" x14ac:dyDescent="0.3"/>
    <row r="766" ht="14.4" x14ac:dyDescent="0.3"/>
    <row r="767" ht="14.4" x14ac:dyDescent="0.3"/>
    <row r="768" ht="14.4" x14ac:dyDescent="0.3"/>
    <row r="769" ht="14.4" x14ac:dyDescent="0.3"/>
    <row r="770" ht="14.4" x14ac:dyDescent="0.3"/>
    <row r="771" ht="14.4" x14ac:dyDescent="0.3"/>
    <row r="772" ht="14.4" x14ac:dyDescent="0.3"/>
    <row r="773" ht="14.4" x14ac:dyDescent="0.3"/>
    <row r="774" ht="14.4" x14ac:dyDescent="0.3"/>
    <row r="775" ht="14.4" x14ac:dyDescent="0.3"/>
    <row r="776" ht="14.4" x14ac:dyDescent="0.3"/>
    <row r="777" ht="14.4" x14ac:dyDescent="0.3"/>
    <row r="778" ht="14.4" x14ac:dyDescent="0.3"/>
    <row r="779" ht="14.4" x14ac:dyDescent="0.3"/>
    <row r="780" ht="14.4" x14ac:dyDescent="0.3"/>
    <row r="781" ht="14.4" x14ac:dyDescent="0.3"/>
    <row r="782" ht="14.4" x14ac:dyDescent="0.3"/>
    <row r="783" ht="14.4" x14ac:dyDescent="0.3"/>
    <row r="784" ht="14.4" x14ac:dyDescent="0.3"/>
    <row r="785" ht="14.4" x14ac:dyDescent="0.3"/>
    <row r="786" ht="14.4" x14ac:dyDescent="0.3"/>
    <row r="787" ht="14.4" x14ac:dyDescent="0.3"/>
    <row r="788" ht="14.4" x14ac:dyDescent="0.3"/>
    <row r="789" ht="14.4" x14ac:dyDescent="0.3"/>
    <row r="790" ht="14.4" x14ac:dyDescent="0.3"/>
    <row r="791" ht="14.4" x14ac:dyDescent="0.3"/>
    <row r="792" ht="14.4" x14ac:dyDescent="0.3"/>
    <row r="793" ht="14.4" x14ac:dyDescent="0.3"/>
    <row r="794" ht="14.4" x14ac:dyDescent="0.3"/>
    <row r="795" ht="14.4" x14ac:dyDescent="0.3"/>
    <row r="796" ht="14.4" x14ac:dyDescent="0.3"/>
    <row r="797" ht="14.4" x14ac:dyDescent="0.3"/>
    <row r="798" ht="14.4" x14ac:dyDescent="0.3"/>
    <row r="799" ht="14.4" x14ac:dyDescent="0.3"/>
    <row r="800" ht="14.4" x14ac:dyDescent="0.3"/>
    <row r="801" ht="14.4" x14ac:dyDescent="0.3"/>
    <row r="802" ht="14.4" x14ac:dyDescent="0.3"/>
    <row r="803" ht="14.4" x14ac:dyDescent="0.3"/>
    <row r="804" ht="14.4" x14ac:dyDescent="0.3"/>
    <row r="805" ht="14.4" x14ac:dyDescent="0.3"/>
    <row r="806" ht="14.4" x14ac:dyDescent="0.3"/>
    <row r="807" ht="14.4" x14ac:dyDescent="0.3"/>
    <row r="808" ht="14.4" x14ac:dyDescent="0.3"/>
    <row r="809" ht="14.4" x14ac:dyDescent="0.3"/>
    <row r="810" ht="14.4" x14ac:dyDescent="0.3"/>
    <row r="811" ht="14.4" x14ac:dyDescent="0.3"/>
    <row r="812" ht="14.4" x14ac:dyDescent="0.3"/>
    <row r="813" ht="14.4" x14ac:dyDescent="0.3"/>
    <row r="814" ht="14.4" x14ac:dyDescent="0.3"/>
    <row r="815" ht="14.4" x14ac:dyDescent="0.3"/>
    <row r="816" ht="14.4" x14ac:dyDescent="0.3"/>
    <row r="817" ht="14.4" x14ac:dyDescent="0.3"/>
    <row r="818" ht="14.4" x14ac:dyDescent="0.3"/>
    <row r="819" ht="14.4" x14ac:dyDescent="0.3"/>
    <row r="820" ht="14.4" x14ac:dyDescent="0.3"/>
    <row r="821" ht="14.4" x14ac:dyDescent="0.3"/>
    <row r="822" ht="14.4" x14ac:dyDescent="0.3"/>
    <row r="823" ht="14.4" x14ac:dyDescent="0.3"/>
    <row r="824" ht="14.4" x14ac:dyDescent="0.3"/>
    <row r="825" ht="14.4" x14ac:dyDescent="0.3"/>
    <row r="826" ht="14.4" x14ac:dyDescent="0.3"/>
    <row r="827" ht="14.4" x14ac:dyDescent="0.3"/>
    <row r="828" ht="14.4" x14ac:dyDescent="0.3"/>
    <row r="829" ht="14.4" x14ac:dyDescent="0.3"/>
    <row r="830" ht="14.4" x14ac:dyDescent="0.3"/>
    <row r="831" ht="14.4" x14ac:dyDescent="0.3"/>
    <row r="832" ht="14.4" x14ac:dyDescent="0.3"/>
    <row r="833" ht="14.4" x14ac:dyDescent="0.3"/>
    <row r="834" ht="14.4" x14ac:dyDescent="0.3"/>
    <row r="835" ht="14.4" x14ac:dyDescent="0.3"/>
    <row r="836" ht="14.4" x14ac:dyDescent="0.3"/>
    <row r="837" ht="14.4" x14ac:dyDescent="0.3"/>
    <row r="838" ht="14.4" x14ac:dyDescent="0.3"/>
    <row r="839" ht="14.4" x14ac:dyDescent="0.3"/>
    <row r="840" ht="14.4" x14ac:dyDescent="0.3"/>
    <row r="841" ht="14.4" x14ac:dyDescent="0.3"/>
    <row r="842" ht="14.4" x14ac:dyDescent="0.3"/>
    <row r="843" ht="14.4" x14ac:dyDescent="0.3"/>
    <row r="844" ht="14.4" x14ac:dyDescent="0.3"/>
    <row r="845" ht="14.4" x14ac:dyDescent="0.3"/>
    <row r="846" ht="14.4" x14ac:dyDescent="0.3"/>
    <row r="847" ht="14.4" x14ac:dyDescent="0.3"/>
    <row r="848" ht="14.4" x14ac:dyDescent="0.3"/>
    <row r="849" ht="14.4" x14ac:dyDescent="0.3"/>
    <row r="850" ht="14.4" x14ac:dyDescent="0.3"/>
    <row r="851" ht="14.4" x14ac:dyDescent="0.3"/>
    <row r="852" ht="14.4" x14ac:dyDescent="0.3"/>
    <row r="853" ht="14.4" x14ac:dyDescent="0.3"/>
    <row r="854" ht="14.4" x14ac:dyDescent="0.3"/>
    <row r="855" ht="14.4" x14ac:dyDescent="0.3"/>
    <row r="856" ht="14.4" x14ac:dyDescent="0.3"/>
    <row r="857" ht="14.4" x14ac:dyDescent="0.3"/>
    <row r="858" ht="14.4" x14ac:dyDescent="0.3"/>
    <row r="859" ht="14.4" x14ac:dyDescent="0.3"/>
    <row r="860" ht="14.4" x14ac:dyDescent="0.3"/>
    <row r="861" ht="14.4" x14ac:dyDescent="0.3"/>
    <row r="862" ht="14.4" x14ac:dyDescent="0.3"/>
    <row r="863" ht="14.4" x14ac:dyDescent="0.3"/>
    <row r="864" ht="14.4" x14ac:dyDescent="0.3"/>
    <row r="865" ht="14.4" x14ac:dyDescent="0.3"/>
    <row r="866" ht="14.4" x14ac:dyDescent="0.3"/>
    <row r="867" ht="14.4" x14ac:dyDescent="0.3"/>
    <row r="868" ht="14.4" x14ac:dyDescent="0.3"/>
    <row r="869" ht="14.4" x14ac:dyDescent="0.3"/>
    <row r="870" ht="14.4" x14ac:dyDescent="0.3"/>
    <row r="871" ht="14.4" x14ac:dyDescent="0.3"/>
    <row r="872" ht="14.4" x14ac:dyDescent="0.3"/>
    <row r="873" ht="14.4" x14ac:dyDescent="0.3"/>
    <row r="874" ht="14.4" x14ac:dyDescent="0.3"/>
    <row r="875" ht="14.4" x14ac:dyDescent="0.3"/>
    <row r="876" ht="14.4" x14ac:dyDescent="0.3"/>
    <row r="877" ht="14.4" x14ac:dyDescent="0.3"/>
    <row r="878" ht="14.4" x14ac:dyDescent="0.3"/>
    <row r="879" ht="14.4" x14ac:dyDescent="0.3"/>
    <row r="880" ht="14.4" x14ac:dyDescent="0.3"/>
    <row r="881" ht="14.4" x14ac:dyDescent="0.3"/>
    <row r="882" ht="14.4" x14ac:dyDescent="0.3"/>
    <row r="883" ht="14.4" x14ac:dyDescent="0.3"/>
    <row r="884" ht="14.4" x14ac:dyDescent="0.3"/>
    <row r="885" ht="14.4" x14ac:dyDescent="0.3"/>
    <row r="886" ht="14.4" x14ac:dyDescent="0.3"/>
    <row r="887" ht="14.4" x14ac:dyDescent="0.3"/>
    <row r="888" ht="14.4" x14ac:dyDescent="0.3"/>
    <row r="889" ht="14.4" x14ac:dyDescent="0.3"/>
    <row r="890" ht="14.4" x14ac:dyDescent="0.3"/>
    <row r="891" ht="14.4" x14ac:dyDescent="0.3"/>
    <row r="892" ht="14.4" x14ac:dyDescent="0.3"/>
    <row r="893" ht="14.4" x14ac:dyDescent="0.3"/>
    <row r="894" ht="14.4" x14ac:dyDescent="0.3"/>
    <row r="895" ht="14.4" x14ac:dyDescent="0.3"/>
    <row r="896" ht="14.4" x14ac:dyDescent="0.3"/>
    <row r="897" ht="14.4" x14ac:dyDescent="0.3"/>
    <row r="898" ht="14.4" x14ac:dyDescent="0.3"/>
    <row r="899" ht="14.4" x14ac:dyDescent="0.3"/>
    <row r="900" ht="14.4" x14ac:dyDescent="0.3"/>
    <row r="901" ht="14.4" x14ac:dyDescent="0.3"/>
    <row r="902" ht="14.4" x14ac:dyDescent="0.3"/>
    <row r="903" ht="14.4" x14ac:dyDescent="0.3"/>
    <row r="904" ht="14.4" x14ac:dyDescent="0.3"/>
    <row r="905" ht="14.4" x14ac:dyDescent="0.3"/>
    <row r="906" ht="14.4" x14ac:dyDescent="0.3"/>
    <row r="907" ht="14.4" x14ac:dyDescent="0.3"/>
    <row r="908" ht="14.4" x14ac:dyDescent="0.3"/>
    <row r="909" ht="14.4" x14ac:dyDescent="0.3"/>
    <row r="910" ht="14.4" x14ac:dyDescent="0.3"/>
    <row r="911" ht="14.4" x14ac:dyDescent="0.3"/>
    <row r="912" ht="14.4" x14ac:dyDescent="0.3"/>
    <row r="913" ht="14.4" x14ac:dyDescent="0.3"/>
    <row r="914" ht="14.4" x14ac:dyDescent="0.3"/>
    <row r="915" ht="14.4" x14ac:dyDescent="0.3"/>
    <row r="916" ht="14.4" x14ac:dyDescent="0.3"/>
    <row r="917" ht="14.4" x14ac:dyDescent="0.3"/>
    <row r="918" ht="14.4" x14ac:dyDescent="0.3"/>
    <row r="919" ht="14.4" x14ac:dyDescent="0.3"/>
    <row r="920" ht="14.4" x14ac:dyDescent="0.3"/>
    <row r="921" ht="14.4" x14ac:dyDescent="0.3"/>
    <row r="922" ht="14.4" x14ac:dyDescent="0.3"/>
    <row r="923" ht="14.4" x14ac:dyDescent="0.3"/>
    <row r="924" ht="14.4" x14ac:dyDescent="0.3"/>
    <row r="925" ht="14.4" x14ac:dyDescent="0.3"/>
    <row r="926" ht="14.4" x14ac:dyDescent="0.3"/>
    <row r="927" ht="14.4" x14ac:dyDescent="0.3"/>
    <row r="928" ht="14.4" x14ac:dyDescent="0.3"/>
    <row r="929" ht="14.4" x14ac:dyDescent="0.3"/>
    <row r="930" ht="14.4" x14ac:dyDescent="0.3"/>
    <row r="931" ht="14.4" x14ac:dyDescent="0.3"/>
    <row r="932" ht="14.4" x14ac:dyDescent="0.3"/>
    <row r="933" ht="14.4" x14ac:dyDescent="0.3"/>
    <row r="934" ht="14.4" x14ac:dyDescent="0.3"/>
    <row r="935" ht="14.4" x14ac:dyDescent="0.3"/>
    <row r="936" ht="14.4" x14ac:dyDescent="0.3"/>
    <row r="937" ht="14.4" x14ac:dyDescent="0.3"/>
    <row r="938" ht="14.4" x14ac:dyDescent="0.3"/>
    <row r="939" ht="14.4" x14ac:dyDescent="0.3"/>
    <row r="940" ht="14.4" x14ac:dyDescent="0.3"/>
    <row r="941" ht="14.4" x14ac:dyDescent="0.3"/>
    <row r="942" ht="14.4" x14ac:dyDescent="0.3"/>
    <row r="943" ht="14.4" x14ac:dyDescent="0.3"/>
    <row r="944" ht="14.4" x14ac:dyDescent="0.3"/>
    <row r="945" ht="14.4" x14ac:dyDescent="0.3"/>
    <row r="946" ht="14.4" x14ac:dyDescent="0.3"/>
    <row r="947" ht="14.4" x14ac:dyDescent="0.3"/>
    <row r="948" ht="14.4" x14ac:dyDescent="0.3"/>
    <row r="949" ht="14.4" x14ac:dyDescent="0.3"/>
    <row r="950" ht="14.4" x14ac:dyDescent="0.3"/>
    <row r="951" ht="14.4" x14ac:dyDescent="0.3"/>
    <row r="952" ht="14.4" x14ac:dyDescent="0.3"/>
    <row r="953" ht="14.4" x14ac:dyDescent="0.3"/>
    <row r="954" ht="14.4" x14ac:dyDescent="0.3"/>
    <row r="955" ht="14.4" x14ac:dyDescent="0.3"/>
    <row r="956" ht="14.4" x14ac:dyDescent="0.3"/>
    <row r="957" ht="14.4" x14ac:dyDescent="0.3"/>
    <row r="958" ht="14.4" x14ac:dyDescent="0.3"/>
    <row r="959" ht="14.4" x14ac:dyDescent="0.3"/>
    <row r="960" ht="14.4" x14ac:dyDescent="0.3"/>
    <row r="961" ht="14.4" x14ac:dyDescent="0.3"/>
    <row r="962" ht="14.4" x14ac:dyDescent="0.3"/>
    <row r="963" ht="14.4" x14ac:dyDescent="0.3"/>
    <row r="964" ht="14.4" x14ac:dyDescent="0.3"/>
    <row r="965" ht="14.4" x14ac:dyDescent="0.3"/>
    <row r="966" ht="14.4" x14ac:dyDescent="0.3"/>
    <row r="967" ht="14.4" x14ac:dyDescent="0.3"/>
    <row r="968" ht="14.4" x14ac:dyDescent="0.3"/>
    <row r="969" ht="14.4" x14ac:dyDescent="0.3"/>
    <row r="970" ht="14.4" x14ac:dyDescent="0.3"/>
    <row r="971" ht="14.4" x14ac:dyDescent="0.3"/>
    <row r="972" ht="14.4" x14ac:dyDescent="0.3"/>
    <row r="973" ht="14.4" x14ac:dyDescent="0.3"/>
    <row r="974" ht="14.4" x14ac:dyDescent="0.3"/>
    <row r="975" ht="14.4" x14ac:dyDescent="0.3"/>
    <row r="976" ht="14.4" x14ac:dyDescent="0.3"/>
    <row r="977" ht="14.4" x14ac:dyDescent="0.3"/>
    <row r="978" ht="14.4" x14ac:dyDescent="0.3"/>
    <row r="979" ht="14.4" x14ac:dyDescent="0.3"/>
    <row r="980" ht="14.4" x14ac:dyDescent="0.3"/>
    <row r="981" ht="14.4" x14ac:dyDescent="0.3"/>
    <row r="982" ht="14.4" x14ac:dyDescent="0.3"/>
    <row r="983" ht="14.4" x14ac:dyDescent="0.3"/>
    <row r="984" ht="14.4" x14ac:dyDescent="0.3"/>
    <row r="985" ht="14.4" x14ac:dyDescent="0.3"/>
    <row r="986" ht="14.4" x14ac:dyDescent="0.3"/>
    <row r="987" ht="14.4" x14ac:dyDescent="0.3"/>
    <row r="988" ht="14.4" x14ac:dyDescent="0.3"/>
    <row r="989" ht="14.4" x14ac:dyDescent="0.3"/>
    <row r="990" ht="14.4" x14ac:dyDescent="0.3"/>
    <row r="991" ht="14.4" x14ac:dyDescent="0.3"/>
    <row r="992" ht="14.4" x14ac:dyDescent="0.3"/>
    <row r="993" ht="14.4" x14ac:dyDescent="0.3"/>
    <row r="994" ht="14.4" x14ac:dyDescent="0.3"/>
    <row r="995" ht="14.4" x14ac:dyDescent="0.3"/>
    <row r="996" ht="14.4" x14ac:dyDescent="0.3"/>
    <row r="997" ht="14.4" x14ac:dyDescent="0.3"/>
    <row r="998" ht="14.4" x14ac:dyDescent="0.3"/>
  </sheetData>
  <autoFilter ref="A1:AP700" xr:uid="{00000000-0001-0000-0300-000000000000}"/>
  <phoneticPr fontId="11" type="noConversion"/>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64C0F-C558-4051-AAEB-31E86DB36917}">
  <dimension ref="A1:AP164"/>
  <sheetViews>
    <sheetView workbookViewId="0">
      <pane ySplit="1" topLeftCell="A2" activePane="bottomLeft" state="frozen"/>
      <selection pane="bottomLeft" activeCell="B12" sqref="B12"/>
    </sheetView>
  </sheetViews>
  <sheetFormatPr baseColWidth="10" defaultRowHeight="14.4" x14ac:dyDescent="0.3"/>
  <cols>
    <col min="1" max="1" width="59.44140625" style="37" customWidth="1"/>
    <col min="2" max="3" width="11.5546875" style="37"/>
    <col min="4" max="4" width="14" style="37" bestFit="1" customWidth="1"/>
    <col min="5" max="15" width="11.5546875" style="37"/>
    <col min="16" max="16" width="17.44140625" style="37" bestFit="1" customWidth="1"/>
    <col min="17" max="17" width="31.6640625" style="37" bestFit="1" customWidth="1"/>
    <col min="18" max="18" width="11.5546875" style="37"/>
    <col min="19" max="19" width="24.5546875" style="37" bestFit="1" customWidth="1"/>
    <col min="20" max="20" width="14.33203125" style="53" bestFit="1" customWidth="1"/>
    <col min="21" max="21" width="11.5546875" style="37"/>
    <col min="22" max="22" width="17.6640625" style="37" customWidth="1"/>
    <col min="23" max="38" width="11.5546875" style="37"/>
    <col min="39" max="39" width="13.21875" style="37" customWidth="1"/>
    <col min="40" max="40" width="19" style="37" bestFit="1" customWidth="1"/>
    <col min="41" max="16384" width="11.5546875" style="37"/>
  </cols>
  <sheetData>
    <row r="1" spans="1:42" x14ac:dyDescent="0.3">
      <c r="A1" s="20" t="s">
        <v>0</v>
      </c>
      <c r="B1" s="20" t="s">
        <v>1</v>
      </c>
      <c r="C1" s="20" t="s">
        <v>2</v>
      </c>
      <c r="D1" s="20" t="s">
        <v>3</v>
      </c>
      <c r="E1" s="20" t="s">
        <v>4</v>
      </c>
      <c r="F1" s="20" t="s">
        <v>5</v>
      </c>
      <c r="G1" s="29" t="s">
        <v>3448</v>
      </c>
      <c r="H1" s="28" t="s">
        <v>3449</v>
      </c>
      <c r="I1" s="28" t="s">
        <v>3442</v>
      </c>
      <c r="J1" s="28" t="s">
        <v>3443</v>
      </c>
      <c r="K1" s="28" t="s">
        <v>3444</v>
      </c>
      <c r="L1" s="28" t="s">
        <v>3445</v>
      </c>
      <c r="M1" s="28" t="s">
        <v>3446</v>
      </c>
      <c r="N1" s="28" t="s">
        <v>3447</v>
      </c>
      <c r="O1" s="20" t="s">
        <v>1823</v>
      </c>
      <c r="P1" s="20" t="s">
        <v>9</v>
      </c>
      <c r="Q1" s="20" t="s">
        <v>4306</v>
      </c>
      <c r="R1" s="20" t="s">
        <v>11</v>
      </c>
      <c r="S1" s="20" t="s">
        <v>12</v>
      </c>
      <c r="T1" s="20" t="s">
        <v>13</v>
      </c>
      <c r="U1" s="20" t="s">
        <v>14</v>
      </c>
      <c r="V1" s="20" t="s">
        <v>15</v>
      </c>
      <c r="W1" s="20" t="s">
        <v>16</v>
      </c>
      <c r="X1" s="20" t="s">
        <v>17</v>
      </c>
      <c r="Y1" s="20" t="s">
        <v>18</v>
      </c>
      <c r="Z1" s="21" t="s">
        <v>19</v>
      </c>
      <c r="AA1" s="21" t="s">
        <v>20</v>
      </c>
      <c r="AB1" s="21" t="s">
        <v>21</v>
      </c>
      <c r="AC1" s="21" t="s">
        <v>22</v>
      </c>
      <c r="AD1" s="20" t="s">
        <v>23</v>
      </c>
      <c r="AE1" s="20" t="s">
        <v>24</v>
      </c>
      <c r="AF1" s="20" t="s">
        <v>25</v>
      </c>
      <c r="AG1" s="20" t="s">
        <v>26</v>
      </c>
      <c r="AH1" s="52" t="s">
        <v>27</v>
      </c>
      <c r="AI1" s="52" t="s">
        <v>28</v>
      </c>
      <c r="AJ1" s="20" t="s">
        <v>29</v>
      </c>
      <c r="AK1" s="20" t="s">
        <v>30</v>
      </c>
      <c r="AL1" s="20" t="s">
        <v>31</v>
      </c>
      <c r="AM1" s="20" t="s">
        <v>32</v>
      </c>
      <c r="AN1" s="20" t="s">
        <v>33</v>
      </c>
      <c r="AO1" s="20" t="s">
        <v>34</v>
      </c>
      <c r="AP1" s="20" t="s">
        <v>35</v>
      </c>
    </row>
    <row r="2" spans="1:42" x14ac:dyDescent="0.3">
      <c r="A2" s="37" t="s">
        <v>3441</v>
      </c>
      <c r="B2" s="37" t="s">
        <v>3539</v>
      </c>
      <c r="C2" s="37" t="s">
        <v>3942</v>
      </c>
      <c r="D2" s="55">
        <v>8435668030151</v>
      </c>
      <c r="E2" s="37" t="s">
        <v>3477</v>
      </c>
      <c r="F2" s="37" t="s">
        <v>3788</v>
      </c>
      <c r="G2" s="56" t="s">
        <v>3450</v>
      </c>
      <c r="H2" s="56" t="s">
        <v>3451</v>
      </c>
      <c r="I2" s="56" t="s">
        <v>3452</v>
      </c>
      <c r="J2" s="56" t="s">
        <v>3453</v>
      </c>
      <c r="K2" s="56" t="s">
        <v>3454</v>
      </c>
      <c r="L2" s="56" t="s">
        <v>3455</v>
      </c>
      <c r="M2" s="56" t="s">
        <v>3456</v>
      </c>
      <c r="N2" s="56"/>
      <c r="P2" s="37" t="s">
        <v>1830</v>
      </c>
      <c r="Q2" s="37" t="s">
        <v>4311</v>
      </c>
      <c r="R2" s="28" t="s">
        <v>3488</v>
      </c>
      <c r="S2" s="37" t="s">
        <v>3481</v>
      </c>
      <c r="T2" s="57" t="s">
        <v>3483</v>
      </c>
      <c r="V2" s="37">
        <v>1</v>
      </c>
      <c r="AE2" s="37" t="s">
        <v>56</v>
      </c>
      <c r="AF2" s="37" t="s">
        <v>57</v>
      </c>
      <c r="AH2" s="58">
        <v>3.5</v>
      </c>
      <c r="AI2" s="37">
        <v>3.5</v>
      </c>
      <c r="AN2" s="37">
        <v>214</v>
      </c>
      <c r="AO2" s="59">
        <v>0.2</v>
      </c>
      <c r="AP2" s="37">
        <f>AN2*1.2</f>
        <v>256.8</v>
      </c>
    </row>
    <row r="3" spans="1:42" x14ac:dyDescent="0.3">
      <c r="A3" s="37" t="s">
        <v>3437</v>
      </c>
      <c r="B3" s="37" t="s">
        <v>3540</v>
      </c>
      <c r="C3" s="37" t="s">
        <v>3942</v>
      </c>
      <c r="D3" s="55">
        <v>8435668030168</v>
      </c>
      <c r="E3" s="37" t="s">
        <v>3478</v>
      </c>
      <c r="F3" s="37" t="s">
        <v>3788</v>
      </c>
      <c r="G3" s="56" t="s">
        <v>3457</v>
      </c>
      <c r="H3" s="56" t="s">
        <v>3458</v>
      </c>
      <c r="I3" s="56" t="s">
        <v>3459</v>
      </c>
      <c r="J3" s="56" t="s">
        <v>3460</v>
      </c>
      <c r="K3" s="56" t="s">
        <v>3461</v>
      </c>
      <c r="L3" s="56" t="s">
        <v>3455</v>
      </c>
      <c r="M3" s="56" t="s">
        <v>3456</v>
      </c>
      <c r="N3" s="56"/>
      <c r="P3" s="37" t="s">
        <v>1830</v>
      </c>
      <c r="Q3" s="37" t="s">
        <v>4311</v>
      </c>
      <c r="R3" s="28" t="s">
        <v>3488</v>
      </c>
      <c r="S3" s="37" t="s">
        <v>3482</v>
      </c>
      <c r="T3" s="57" t="s">
        <v>3484</v>
      </c>
      <c r="V3" s="37">
        <v>1</v>
      </c>
      <c r="AE3" s="37" t="s">
        <v>56</v>
      </c>
      <c r="AF3" s="37" t="s">
        <v>57</v>
      </c>
      <c r="AH3" s="58">
        <v>2.14</v>
      </c>
      <c r="AI3" s="37">
        <v>2.14</v>
      </c>
      <c r="AN3" s="37">
        <v>323</v>
      </c>
      <c r="AO3" s="59">
        <v>0.2</v>
      </c>
      <c r="AP3" s="37">
        <f t="shared" ref="AP3:AP66" si="0">AN3*1.2</f>
        <v>387.59999999999997</v>
      </c>
    </row>
    <row r="4" spans="1:42" x14ac:dyDescent="0.3">
      <c r="A4" s="37" t="s">
        <v>3438</v>
      </c>
      <c r="B4" s="37" t="s">
        <v>3541</v>
      </c>
      <c r="C4" s="37" t="s">
        <v>3942</v>
      </c>
      <c r="D4" s="55">
        <v>8435668030175</v>
      </c>
      <c r="E4" s="37" t="s">
        <v>3479</v>
      </c>
      <c r="F4" s="37" t="s">
        <v>3788</v>
      </c>
      <c r="G4" s="56" t="s">
        <v>3462</v>
      </c>
      <c r="H4" s="56" t="s">
        <v>3463</v>
      </c>
      <c r="I4" s="56" t="s">
        <v>3464</v>
      </c>
      <c r="J4" s="56" t="s">
        <v>3465</v>
      </c>
      <c r="K4" s="56" t="s">
        <v>3466</v>
      </c>
      <c r="L4" s="56" t="s">
        <v>3455</v>
      </c>
      <c r="M4" s="56" t="s">
        <v>3456</v>
      </c>
      <c r="N4" s="56"/>
      <c r="P4" s="37" t="s">
        <v>1830</v>
      </c>
      <c r="Q4" s="37" t="s">
        <v>4311</v>
      </c>
      <c r="R4" s="28" t="s">
        <v>3488</v>
      </c>
      <c r="S4" s="37" t="s">
        <v>3481</v>
      </c>
      <c r="T4" s="57" t="s">
        <v>3485</v>
      </c>
      <c r="V4" s="37">
        <v>1</v>
      </c>
      <c r="AE4" s="37" t="s">
        <v>56</v>
      </c>
      <c r="AF4" s="37" t="s">
        <v>57</v>
      </c>
      <c r="AH4" s="58">
        <v>2.34</v>
      </c>
      <c r="AI4" s="37">
        <v>2.34</v>
      </c>
      <c r="AN4" s="37">
        <v>238</v>
      </c>
      <c r="AO4" s="59">
        <v>0.2</v>
      </c>
      <c r="AP4" s="37">
        <f t="shared" si="0"/>
        <v>285.59999999999997</v>
      </c>
    </row>
    <row r="5" spans="1:42" x14ac:dyDescent="0.3">
      <c r="A5" s="37" t="s">
        <v>3439</v>
      </c>
      <c r="B5" s="37" t="s">
        <v>3542</v>
      </c>
      <c r="C5" s="37" t="s">
        <v>3942</v>
      </c>
      <c r="D5" s="55">
        <v>8435668030182</v>
      </c>
      <c r="E5" s="37" t="s">
        <v>3480</v>
      </c>
      <c r="F5" s="37" t="s">
        <v>3788</v>
      </c>
      <c r="G5" s="56" t="s">
        <v>3467</v>
      </c>
      <c r="H5" s="56" t="s">
        <v>3468</v>
      </c>
      <c r="I5" s="56" t="s">
        <v>3469</v>
      </c>
      <c r="J5" s="56" t="s">
        <v>3470</v>
      </c>
      <c r="K5" s="56" t="s">
        <v>3471</v>
      </c>
      <c r="L5" s="56" t="s">
        <v>3455</v>
      </c>
      <c r="M5" s="56" t="s">
        <v>3456</v>
      </c>
      <c r="N5" s="56"/>
      <c r="P5" s="37" t="s">
        <v>1830</v>
      </c>
      <c r="Q5" s="37" t="s">
        <v>4311</v>
      </c>
      <c r="R5" s="28" t="s">
        <v>3488</v>
      </c>
      <c r="S5" s="37" t="s">
        <v>3482</v>
      </c>
      <c r="T5" s="57" t="s">
        <v>3486</v>
      </c>
      <c r="V5" s="37">
        <v>1</v>
      </c>
      <c r="AE5" s="37" t="s">
        <v>56</v>
      </c>
      <c r="AF5" s="37" t="s">
        <v>57</v>
      </c>
      <c r="AH5" s="58">
        <v>2.14</v>
      </c>
      <c r="AI5" s="37">
        <v>2.14</v>
      </c>
      <c r="AN5" s="37">
        <v>312</v>
      </c>
      <c r="AO5" s="59">
        <v>0.2</v>
      </c>
      <c r="AP5" s="37">
        <f t="shared" si="0"/>
        <v>374.4</v>
      </c>
    </row>
    <row r="6" spans="1:42" x14ac:dyDescent="0.3">
      <c r="A6" s="37" t="s">
        <v>3440</v>
      </c>
      <c r="B6" s="37" t="s">
        <v>3543</v>
      </c>
      <c r="C6" s="37" t="s">
        <v>3942</v>
      </c>
      <c r="D6" s="55">
        <v>8435668030199</v>
      </c>
      <c r="E6" s="37" t="s">
        <v>3480</v>
      </c>
      <c r="F6" s="37" t="s">
        <v>3788</v>
      </c>
      <c r="G6" s="56" t="s">
        <v>3472</v>
      </c>
      <c r="H6" s="56" t="s">
        <v>3473</v>
      </c>
      <c r="I6" s="56" t="s">
        <v>3474</v>
      </c>
      <c r="J6" s="56" t="s">
        <v>3475</v>
      </c>
      <c r="K6" s="56" t="s">
        <v>3476</v>
      </c>
      <c r="L6" s="56" t="s">
        <v>3455</v>
      </c>
      <c r="M6" s="56" t="s">
        <v>3456</v>
      </c>
      <c r="N6" s="56"/>
      <c r="P6" s="37" t="s">
        <v>1830</v>
      </c>
      <c r="Q6" s="37" t="s">
        <v>4311</v>
      </c>
      <c r="R6" s="28" t="s">
        <v>3488</v>
      </c>
      <c r="S6" s="37" t="s">
        <v>3482</v>
      </c>
      <c r="T6" s="57" t="s">
        <v>3487</v>
      </c>
      <c r="V6" s="37">
        <v>1</v>
      </c>
      <c r="AE6" s="37" t="s">
        <v>56</v>
      </c>
      <c r="AF6" s="37" t="s">
        <v>57</v>
      </c>
      <c r="AH6" s="58">
        <v>2.14</v>
      </c>
      <c r="AI6" s="37">
        <v>2.14</v>
      </c>
      <c r="AN6" s="37">
        <v>323</v>
      </c>
      <c r="AO6" s="59">
        <v>0.2</v>
      </c>
      <c r="AP6" s="37">
        <f t="shared" si="0"/>
        <v>387.59999999999997</v>
      </c>
    </row>
    <row r="7" spans="1:42" x14ac:dyDescent="0.3">
      <c r="A7" s="37" t="s">
        <v>3489</v>
      </c>
      <c r="B7" s="37" t="s">
        <v>3544</v>
      </c>
      <c r="C7" s="37" t="s">
        <v>3942</v>
      </c>
      <c r="D7" s="55">
        <v>8435668030717</v>
      </c>
      <c r="E7" s="53" t="s">
        <v>4313</v>
      </c>
      <c r="F7" s="37" t="s">
        <v>3788</v>
      </c>
      <c r="G7" s="60" t="s">
        <v>3594</v>
      </c>
      <c r="H7" s="60" t="s">
        <v>3595</v>
      </c>
      <c r="I7" s="60" t="s">
        <v>3596</v>
      </c>
      <c r="J7" s="60" t="s">
        <v>3597</v>
      </c>
      <c r="K7" s="60"/>
      <c r="L7" s="60" t="s">
        <v>3598</v>
      </c>
      <c r="M7" s="60" t="s">
        <v>3599</v>
      </c>
      <c r="N7" s="60" t="s">
        <v>3600</v>
      </c>
      <c r="P7" s="37" t="s">
        <v>1830</v>
      </c>
      <c r="Q7" s="37" t="s">
        <v>4311</v>
      </c>
      <c r="R7" s="28" t="s">
        <v>3488</v>
      </c>
      <c r="S7" s="37" t="s">
        <v>3789</v>
      </c>
      <c r="T7" s="53" t="s">
        <v>3483</v>
      </c>
      <c r="V7" s="37">
        <v>1</v>
      </c>
      <c r="AE7" s="37" t="s">
        <v>56</v>
      </c>
      <c r="AF7" s="37" t="s">
        <v>57</v>
      </c>
      <c r="AH7" s="37">
        <v>1.6</v>
      </c>
      <c r="AI7" s="37">
        <v>1.6</v>
      </c>
      <c r="AN7" s="37">
        <v>67</v>
      </c>
      <c r="AO7" s="59">
        <v>0.2</v>
      </c>
      <c r="AP7" s="37">
        <f t="shared" si="0"/>
        <v>80.399999999999991</v>
      </c>
    </row>
    <row r="8" spans="1:42" x14ac:dyDescent="0.3">
      <c r="A8" s="37" t="s">
        <v>3490</v>
      </c>
      <c r="B8" s="37" t="s">
        <v>3545</v>
      </c>
      <c r="C8" s="37" t="s">
        <v>3942</v>
      </c>
      <c r="D8" s="55">
        <v>8435668030724</v>
      </c>
      <c r="E8" s="37" t="s">
        <v>4314</v>
      </c>
      <c r="F8" s="37" t="s">
        <v>3788</v>
      </c>
      <c r="G8" s="60" t="s">
        <v>3601</v>
      </c>
      <c r="H8" s="60" t="s">
        <v>3602</v>
      </c>
      <c r="I8" s="60" t="s">
        <v>3603</v>
      </c>
      <c r="J8" s="60" t="s">
        <v>3604</v>
      </c>
      <c r="K8" s="60"/>
      <c r="L8" s="60" t="s">
        <v>3598</v>
      </c>
      <c r="M8" s="60" t="s">
        <v>3599</v>
      </c>
      <c r="N8" s="60" t="s">
        <v>3600</v>
      </c>
      <c r="P8" s="37" t="s">
        <v>1830</v>
      </c>
      <c r="Q8" s="37" t="s">
        <v>4311</v>
      </c>
      <c r="R8" s="28" t="s">
        <v>3488</v>
      </c>
      <c r="S8" s="37" t="s">
        <v>3789</v>
      </c>
      <c r="T8" s="53" t="s">
        <v>3484</v>
      </c>
      <c r="V8" s="37">
        <v>1</v>
      </c>
      <c r="AE8" s="37" t="s">
        <v>56</v>
      </c>
      <c r="AF8" s="37" t="s">
        <v>57</v>
      </c>
      <c r="AH8" s="37">
        <v>1.6</v>
      </c>
      <c r="AI8" s="37">
        <v>1.6</v>
      </c>
      <c r="AN8" s="37">
        <v>83</v>
      </c>
      <c r="AO8" s="59">
        <v>0.2</v>
      </c>
      <c r="AP8" s="37">
        <f t="shared" si="0"/>
        <v>99.6</v>
      </c>
    </row>
    <row r="9" spans="1:42" x14ac:dyDescent="0.3">
      <c r="A9" s="37" t="s">
        <v>3491</v>
      </c>
      <c r="B9" s="37" t="s">
        <v>3546</v>
      </c>
      <c r="C9" s="37" t="s">
        <v>3942</v>
      </c>
      <c r="D9" s="55">
        <v>8435668030731</v>
      </c>
      <c r="E9" s="37" t="s">
        <v>4315</v>
      </c>
      <c r="F9" s="37" t="s">
        <v>3788</v>
      </c>
      <c r="G9" s="60" t="s">
        <v>3605</v>
      </c>
      <c r="H9" s="60" t="s">
        <v>3606</v>
      </c>
      <c r="I9" s="60" t="s">
        <v>3607</v>
      </c>
      <c r="J9" s="60" t="s">
        <v>3608</v>
      </c>
      <c r="K9" s="60"/>
      <c r="L9" s="60" t="s">
        <v>3598</v>
      </c>
      <c r="M9" s="60" t="s">
        <v>3599</v>
      </c>
      <c r="N9" s="60" t="s">
        <v>3600</v>
      </c>
      <c r="P9" s="37" t="s">
        <v>1830</v>
      </c>
      <c r="Q9" s="37" t="s">
        <v>4311</v>
      </c>
      <c r="R9" s="28" t="s">
        <v>3488</v>
      </c>
      <c r="S9" s="37" t="s">
        <v>3790</v>
      </c>
      <c r="T9" s="53" t="s">
        <v>3485</v>
      </c>
      <c r="V9" s="37">
        <v>1</v>
      </c>
      <c r="AE9" s="37" t="s">
        <v>56</v>
      </c>
      <c r="AF9" s="37" t="s">
        <v>57</v>
      </c>
      <c r="AH9" s="37">
        <v>1.6</v>
      </c>
      <c r="AI9" s="37">
        <v>1.6</v>
      </c>
      <c r="AN9" s="37">
        <v>73</v>
      </c>
      <c r="AO9" s="59">
        <v>0.2</v>
      </c>
      <c r="AP9" s="37">
        <f t="shared" si="0"/>
        <v>87.6</v>
      </c>
    </row>
    <row r="10" spans="1:42" x14ac:dyDescent="0.3">
      <c r="A10" s="37" t="s">
        <v>3492</v>
      </c>
      <c r="B10" s="37" t="s">
        <v>3547</v>
      </c>
      <c r="C10" s="37" t="s">
        <v>3942</v>
      </c>
      <c r="D10" s="55">
        <v>8435668030748</v>
      </c>
      <c r="E10" s="37" t="s">
        <v>4315</v>
      </c>
      <c r="F10" s="37" t="s">
        <v>3788</v>
      </c>
      <c r="G10" s="60" t="s">
        <v>3609</v>
      </c>
      <c r="H10" s="60" t="s">
        <v>3610</v>
      </c>
      <c r="I10" s="60" t="s">
        <v>3611</v>
      </c>
      <c r="J10" s="60" t="s">
        <v>3612</v>
      </c>
      <c r="K10" s="60"/>
      <c r="L10" s="60" t="s">
        <v>3598</v>
      </c>
      <c r="M10" s="60" t="s">
        <v>3599</v>
      </c>
      <c r="N10" s="60" t="s">
        <v>3600</v>
      </c>
      <c r="P10" s="37" t="s">
        <v>1830</v>
      </c>
      <c r="Q10" s="37" t="s">
        <v>4311</v>
      </c>
      <c r="R10" s="28" t="s">
        <v>3488</v>
      </c>
      <c r="S10" s="37" t="s">
        <v>3789</v>
      </c>
      <c r="T10" s="53" t="s">
        <v>3486</v>
      </c>
      <c r="V10" s="37">
        <v>1</v>
      </c>
      <c r="AE10" s="37" t="s">
        <v>56</v>
      </c>
      <c r="AF10" s="37" t="s">
        <v>57</v>
      </c>
      <c r="AH10" s="37">
        <v>1.6</v>
      </c>
      <c r="AI10" s="37">
        <v>1.6</v>
      </c>
      <c r="AN10" s="37">
        <v>83</v>
      </c>
      <c r="AO10" s="59">
        <v>0.2</v>
      </c>
      <c r="AP10" s="37">
        <f t="shared" si="0"/>
        <v>99.6</v>
      </c>
    </row>
    <row r="11" spans="1:42" x14ac:dyDescent="0.3">
      <c r="A11" s="37" t="s">
        <v>3493</v>
      </c>
      <c r="B11" s="37" t="s">
        <v>3548</v>
      </c>
      <c r="C11" s="37" t="s">
        <v>3942</v>
      </c>
      <c r="D11" s="55">
        <v>8435668030755</v>
      </c>
      <c r="E11" s="37" t="s">
        <v>4316</v>
      </c>
      <c r="F11" s="37" t="s">
        <v>3788</v>
      </c>
      <c r="G11" s="60" t="s">
        <v>3613</v>
      </c>
      <c r="H11" s="60" t="s">
        <v>3614</v>
      </c>
      <c r="I11" s="60" t="s">
        <v>3615</v>
      </c>
      <c r="J11" s="60" t="s">
        <v>3616</v>
      </c>
      <c r="K11" s="60"/>
      <c r="L11" s="60" t="s">
        <v>3598</v>
      </c>
      <c r="M11" s="60" t="s">
        <v>3599</v>
      </c>
      <c r="N11" s="60" t="s">
        <v>3600</v>
      </c>
      <c r="P11" s="37" t="s">
        <v>1830</v>
      </c>
      <c r="Q11" s="37" t="s">
        <v>4311</v>
      </c>
      <c r="R11" s="28" t="s">
        <v>3488</v>
      </c>
      <c r="S11" s="37" t="s">
        <v>3789</v>
      </c>
      <c r="T11" s="53" t="s">
        <v>3487</v>
      </c>
      <c r="V11" s="37">
        <v>1</v>
      </c>
      <c r="AE11" s="37" t="s">
        <v>56</v>
      </c>
      <c r="AF11" s="37" t="s">
        <v>57</v>
      </c>
      <c r="AH11" s="37">
        <v>1.6</v>
      </c>
      <c r="AI11" s="37">
        <v>1.6</v>
      </c>
      <c r="AN11" s="37">
        <v>83</v>
      </c>
      <c r="AO11" s="59">
        <v>0.2</v>
      </c>
      <c r="AP11" s="37">
        <f t="shared" si="0"/>
        <v>99.6</v>
      </c>
    </row>
    <row r="12" spans="1:42" x14ac:dyDescent="0.3">
      <c r="A12" s="37" t="s">
        <v>3494</v>
      </c>
      <c r="B12" s="37" t="s">
        <v>3549</v>
      </c>
      <c r="C12" s="37" t="s">
        <v>3942</v>
      </c>
      <c r="D12" s="55">
        <v>8435668030618</v>
      </c>
      <c r="E12" s="37" t="s">
        <v>4316</v>
      </c>
      <c r="F12" s="37" t="s">
        <v>3788</v>
      </c>
      <c r="G12" s="60" t="s">
        <v>3617</v>
      </c>
      <c r="H12" s="60" t="s">
        <v>3618</v>
      </c>
      <c r="I12" s="60" t="s">
        <v>3619</v>
      </c>
      <c r="J12" s="60" t="s">
        <v>3620</v>
      </c>
      <c r="K12" s="60"/>
      <c r="L12" s="60" t="s">
        <v>3621</v>
      </c>
      <c r="M12" s="60" t="s">
        <v>3599</v>
      </c>
      <c r="N12" s="60" t="s">
        <v>3600</v>
      </c>
      <c r="P12" s="37" t="s">
        <v>1830</v>
      </c>
      <c r="Q12" s="37" t="s">
        <v>4311</v>
      </c>
      <c r="R12" s="28" t="s">
        <v>3488</v>
      </c>
      <c r="S12" s="37" t="s">
        <v>3790</v>
      </c>
      <c r="T12" s="53" t="s">
        <v>3483</v>
      </c>
      <c r="V12" s="37">
        <v>1</v>
      </c>
      <c r="AE12" s="37" t="s">
        <v>56</v>
      </c>
      <c r="AF12" s="37" t="s">
        <v>57</v>
      </c>
      <c r="AH12" s="37">
        <v>1.5</v>
      </c>
      <c r="AI12" s="37">
        <v>1.5</v>
      </c>
      <c r="AN12" s="37">
        <v>91</v>
      </c>
      <c r="AO12" s="59">
        <v>0.2</v>
      </c>
      <c r="AP12" s="37">
        <f t="shared" si="0"/>
        <v>109.2</v>
      </c>
    </row>
    <row r="13" spans="1:42" x14ac:dyDescent="0.3">
      <c r="A13" s="37" t="s">
        <v>3495</v>
      </c>
      <c r="B13" s="37" t="s">
        <v>3550</v>
      </c>
      <c r="C13" s="37" t="s">
        <v>3942</v>
      </c>
      <c r="D13" s="55">
        <v>8435668030625</v>
      </c>
      <c r="E13" s="37" t="s">
        <v>4317</v>
      </c>
      <c r="F13" s="37" t="s">
        <v>3788</v>
      </c>
      <c r="G13" s="60" t="s">
        <v>3622</v>
      </c>
      <c r="H13" s="60" t="s">
        <v>3623</v>
      </c>
      <c r="I13" s="60" t="s">
        <v>3624</v>
      </c>
      <c r="J13" s="60" t="s">
        <v>3625</v>
      </c>
      <c r="K13" s="60"/>
      <c r="L13" s="60" t="s">
        <v>3621</v>
      </c>
      <c r="M13" s="60" t="s">
        <v>3599</v>
      </c>
      <c r="N13" s="60" t="s">
        <v>3600</v>
      </c>
      <c r="P13" s="37" t="s">
        <v>1830</v>
      </c>
      <c r="Q13" s="37" t="s">
        <v>4311</v>
      </c>
      <c r="R13" s="28" t="s">
        <v>3488</v>
      </c>
      <c r="S13" s="37" t="s">
        <v>3789</v>
      </c>
      <c r="T13" s="53" t="s">
        <v>3484</v>
      </c>
      <c r="V13" s="37">
        <v>1</v>
      </c>
      <c r="AE13" s="37" t="s">
        <v>56</v>
      </c>
      <c r="AF13" s="37" t="s">
        <v>57</v>
      </c>
      <c r="AH13" s="37">
        <v>1.5</v>
      </c>
      <c r="AI13" s="37">
        <v>1.5</v>
      </c>
      <c r="AN13" s="37">
        <v>107</v>
      </c>
      <c r="AO13" s="59">
        <v>0.2</v>
      </c>
      <c r="AP13" s="37">
        <f t="shared" si="0"/>
        <v>128.4</v>
      </c>
    </row>
    <row r="14" spans="1:42" x14ac:dyDescent="0.3">
      <c r="A14" s="37" t="s">
        <v>3496</v>
      </c>
      <c r="B14" s="37" t="s">
        <v>3551</v>
      </c>
      <c r="C14" s="37" t="s">
        <v>3942</v>
      </c>
      <c r="D14" s="55">
        <v>8435668030632</v>
      </c>
      <c r="E14" s="37" t="s">
        <v>4318</v>
      </c>
      <c r="F14" s="37" t="s">
        <v>3788</v>
      </c>
      <c r="G14" s="60" t="s">
        <v>3626</v>
      </c>
      <c r="H14" s="60" t="s">
        <v>3627</v>
      </c>
      <c r="I14" s="60" t="s">
        <v>3628</v>
      </c>
      <c r="J14" s="60" t="s">
        <v>3629</v>
      </c>
      <c r="K14" s="60"/>
      <c r="L14" s="60" t="s">
        <v>3621</v>
      </c>
      <c r="M14" s="60" t="s">
        <v>3599</v>
      </c>
      <c r="N14" s="60" t="s">
        <v>3600</v>
      </c>
      <c r="P14" s="37" t="s">
        <v>1830</v>
      </c>
      <c r="Q14" s="37" t="s">
        <v>4311</v>
      </c>
      <c r="R14" s="28" t="s">
        <v>3488</v>
      </c>
      <c r="S14" s="37" t="s">
        <v>3790</v>
      </c>
      <c r="T14" s="53" t="s">
        <v>3485</v>
      </c>
      <c r="V14" s="37">
        <v>1</v>
      </c>
      <c r="AE14" s="37" t="s">
        <v>56</v>
      </c>
      <c r="AF14" s="37" t="s">
        <v>57</v>
      </c>
      <c r="AH14" s="37">
        <v>1.5</v>
      </c>
      <c r="AI14" s="37">
        <v>1.5</v>
      </c>
      <c r="AN14" s="37">
        <v>96</v>
      </c>
      <c r="AO14" s="59">
        <v>0.2</v>
      </c>
      <c r="AP14" s="37">
        <f t="shared" si="0"/>
        <v>115.19999999999999</v>
      </c>
    </row>
    <row r="15" spans="1:42" x14ac:dyDescent="0.3">
      <c r="A15" s="37" t="s">
        <v>3497</v>
      </c>
      <c r="B15" s="37" t="s">
        <v>3552</v>
      </c>
      <c r="C15" s="37" t="s">
        <v>3942</v>
      </c>
      <c r="D15" s="55">
        <v>8435668030649</v>
      </c>
      <c r="E15" s="37" t="s">
        <v>4318</v>
      </c>
      <c r="F15" s="37" t="s">
        <v>3788</v>
      </c>
      <c r="G15" s="60" t="s">
        <v>3630</v>
      </c>
      <c r="H15" s="60" t="s">
        <v>3631</v>
      </c>
      <c r="I15" s="60" t="s">
        <v>3632</v>
      </c>
      <c r="J15" s="60" t="s">
        <v>3633</v>
      </c>
      <c r="K15" s="60"/>
      <c r="L15" s="60" t="s">
        <v>3621</v>
      </c>
      <c r="M15" s="60" t="s">
        <v>3599</v>
      </c>
      <c r="N15" s="60" t="s">
        <v>3600</v>
      </c>
      <c r="P15" s="37" t="s">
        <v>1830</v>
      </c>
      <c r="Q15" s="37" t="s">
        <v>4311</v>
      </c>
      <c r="R15" s="28" t="s">
        <v>3488</v>
      </c>
      <c r="S15" s="37" t="s">
        <v>3789</v>
      </c>
      <c r="T15" s="53" t="s">
        <v>3486</v>
      </c>
      <c r="V15" s="37">
        <v>1</v>
      </c>
      <c r="AE15" s="37" t="s">
        <v>56</v>
      </c>
      <c r="AF15" s="37" t="s">
        <v>57</v>
      </c>
      <c r="AH15" s="37">
        <v>1.5</v>
      </c>
      <c r="AI15" s="37">
        <v>1.5</v>
      </c>
      <c r="AN15" s="37">
        <v>107</v>
      </c>
      <c r="AO15" s="59">
        <v>0.2</v>
      </c>
      <c r="AP15" s="37">
        <f t="shared" si="0"/>
        <v>128.4</v>
      </c>
    </row>
    <row r="16" spans="1:42" x14ac:dyDescent="0.3">
      <c r="A16" s="37" t="s">
        <v>3498</v>
      </c>
      <c r="B16" s="37" t="s">
        <v>3553</v>
      </c>
      <c r="C16" s="37" t="s">
        <v>3942</v>
      </c>
      <c r="D16" s="55">
        <v>8435668030656</v>
      </c>
      <c r="E16" s="37" t="s">
        <v>4318</v>
      </c>
      <c r="F16" s="37" t="s">
        <v>3788</v>
      </c>
      <c r="G16" s="60" t="s">
        <v>3634</v>
      </c>
      <c r="H16" s="60" t="s">
        <v>3635</v>
      </c>
      <c r="I16" s="60" t="s">
        <v>3636</v>
      </c>
      <c r="J16" s="60" t="s">
        <v>3637</v>
      </c>
      <c r="K16" s="60"/>
      <c r="L16" s="60" t="s">
        <v>3621</v>
      </c>
      <c r="M16" s="60" t="s">
        <v>3599</v>
      </c>
      <c r="N16" s="60" t="s">
        <v>3600</v>
      </c>
      <c r="P16" s="37" t="s">
        <v>1830</v>
      </c>
      <c r="Q16" s="37" t="s">
        <v>4311</v>
      </c>
      <c r="R16" s="28" t="s">
        <v>3488</v>
      </c>
      <c r="S16" s="37" t="s">
        <v>3789</v>
      </c>
      <c r="T16" s="53" t="s">
        <v>3487</v>
      </c>
      <c r="V16" s="37">
        <v>1</v>
      </c>
      <c r="AE16" s="37" t="s">
        <v>56</v>
      </c>
      <c r="AF16" s="37" t="s">
        <v>57</v>
      </c>
      <c r="AH16" s="37">
        <v>1.5</v>
      </c>
      <c r="AI16" s="37">
        <v>1.5</v>
      </c>
      <c r="AN16" s="37">
        <v>107</v>
      </c>
      <c r="AO16" s="59">
        <v>0.2</v>
      </c>
      <c r="AP16" s="37">
        <f t="shared" si="0"/>
        <v>128.4</v>
      </c>
    </row>
    <row r="17" spans="1:42" x14ac:dyDescent="0.3">
      <c r="A17" s="37" t="s">
        <v>3499</v>
      </c>
      <c r="B17" s="37" t="s">
        <v>3554</v>
      </c>
      <c r="C17" s="37" t="s">
        <v>3942</v>
      </c>
      <c r="D17" s="55">
        <v>8435668030519</v>
      </c>
      <c r="E17" s="37" t="s">
        <v>4316</v>
      </c>
      <c r="F17" s="37" t="s">
        <v>3788</v>
      </c>
      <c r="G17" s="56" t="s">
        <v>3638</v>
      </c>
      <c r="H17" s="56" t="s">
        <v>3639</v>
      </c>
      <c r="I17" s="56" t="s">
        <v>3640</v>
      </c>
      <c r="J17" s="56"/>
      <c r="K17" s="56"/>
      <c r="L17" s="56" t="s">
        <v>3641</v>
      </c>
      <c r="M17" s="56" t="s">
        <v>3642</v>
      </c>
      <c r="N17" s="56"/>
      <c r="P17" s="37" t="s">
        <v>1830</v>
      </c>
      <c r="Q17" s="37" t="s">
        <v>4311</v>
      </c>
      <c r="R17" s="28" t="s">
        <v>3488</v>
      </c>
      <c r="S17" s="37" t="s">
        <v>3790</v>
      </c>
      <c r="T17" s="53" t="s">
        <v>3483</v>
      </c>
      <c r="V17" s="37">
        <v>1</v>
      </c>
      <c r="AE17" s="37" t="s">
        <v>56</v>
      </c>
      <c r="AF17" s="37" t="s">
        <v>57</v>
      </c>
      <c r="AH17" s="37">
        <v>2.2999999999999998</v>
      </c>
      <c r="AI17" s="37">
        <v>2.2999999999999998</v>
      </c>
      <c r="AN17" s="37">
        <v>160</v>
      </c>
      <c r="AO17" s="59">
        <v>0.2</v>
      </c>
      <c r="AP17" s="37">
        <f t="shared" si="0"/>
        <v>192</v>
      </c>
    </row>
    <row r="18" spans="1:42" x14ac:dyDescent="0.3">
      <c r="A18" s="37" t="s">
        <v>3500</v>
      </c>
      <c r="B18" s="37" t="s">
        <v>3555</v>
      </c>
      <c r="C18" s="37" t="s">
        <v>3942</v>
      </c>
      <c r="D18" s="55">
        <v>8435668030526</v>
      </c>
      <c r="E18" s="37" t="s">
        <v>4316</v>
      </c>
      <c r="F18" s="37" t="s">
        <v>3788</v>
      </c>
      <c r="G18" s="56" t="s">
        <v>3643</v>
      </c>
      <c r="H18" s="56" t="s">
        <v>3644</v>
      </c>
      <c r="I18" s="56" t="s">
        <v>3645</v>
      </c>
      <c r="J18" s="56" t="s">
        <v>3646</v>
      </c>
      <c r="K18" s="56" t="s">
        <v>3647</v>
      </c>
      <c r="L18" s="56" t="s">
        <v>3641</v>
      </c>
      <c r="M18" s="56" t="s">
        <v>3642</v>
      </c>
      <c r="N18" s="56"/>
      <c r="P18" s="37" t="s">
        <v>1830</v>
      </c>
      <c r="Q18" s="37" t="s">
        <v>4311</v>
      </c>
      <c r="R18" s="28" t="s">
        <v>3488</v>
      </c>
      <c r="S18" s="37" t="s">
        <v>3790</v>
      </c>
      <c r="T18" s="53" t="s">
        <v>3484</v>
      </c>
      <c r="V18" s="37">
        <v>1</v>
      </c>
      <c r="AE18" s="37" t="s">
        <v>56</v>
      </c>
      <c r="AF18" s="37" t="s">
        <v>57</v>
      </c>
      <c r="AH18" s="37">
        <v>2.2999999999999998</v>
      </c>
      <c r="AI18" s="37">
        <v>2.2999999999999998</v>
      </c>
      <c r="AN18" s="37">
        <v>209</v>
      </c>
      <c r="AO18" s="59">
        <v>0.2</v>
      </c>
      <c r="AP18" s="37">
        <f t="shared" si="0"/>
        <v>250.79999999999998</v>
      </c>
    </row>
    <row r="19" spans="1:42" x14ac:dyDescent="0.3">
      <c r="A19" s="37" t="s">
        <v>3501</v>
      </c>
      <c r="B19" s="37" t="s">
        <v>3556</v>
      </c>
      <c r="C19" s="37" t="s">
        <v>3942</v>
      </c>
      <c r="D19" s="55">
        <v>8435668030533</v>
      </c>
      <c r="E19" s="37" t="s">
        <v>4316</v>
      </c>
      <c r="F19" s="37" t="s">
        <v>3788</v>
      </c>
      <c r="G19" s="56" t="s">
        <v>3648</v>
      </c>
      <c r="H19" s="56" t="s">
        <v>3649</v>
      </c>
      <c r="I19" s="56" t="s">
        <v>3650</v>
      </c>
      <c r="J19" s="56" t="s">
        <v>3651</v>
      </c>
      <c r="K19" s="56" t="s">
        <v>3652</v>
      </c>
      <c r="L19" s="56" t="s">
        <v>3641</v>
      </c>
      <c r="M19" s="56" t="s">
        <v>3642</v>
      </c>
      <c r="N19" s="56"/>
      <c r="P19" s="37" t="s">
        <v>1830</v>
      </c>
      <c r="Q19" s="37" t="s">
        <v>4311</v>
      </c>
      <c r="R19" s="28" t="s">
        <v>3488</v>
      </c>
      <c r="S19" s="37" t="s">
        <v>3790</v>
      </c>
      <c r="T19" s="53" t="s">
        <v>3485</v>
      </c>
      <c r="V19" s="37">
        <v>1</v>
      </c>
      <c r="AE19" s="37" t="s">
        <v>56</v>
      </c>
      <c r="AF19" s="37" t="s">
        <v>57</v>
      </c>
      <c r="AH19" s="37">
        <v>2.2999999999999998</v>
      </c>
      <c r="AI19" s="37">
        <v>2.2999999999999998</v>
      </c>
      <c r="AN19" s="37">
        <v>174</v>
      </c>
      <c r="AO19" s="59">
        <v>0.2</v>
      </c>
      <c r="AP19" s="37">
        <f t="shared" si="0"/>
        <v>208.79999999999998</v>
      </c>
    </row>
    <row r="20" spans="1:42" x14ac:dyDescent="0.3">
      <c r="A20" s="37" t="s">
        <v>3502</v>
      </c>
      <c r="B20" s="37" t="s">
        <v>3557</v>
      </c>
      <c r="C20" s="37" t="s">
        <v>3942</v>
      </c>
      <c r="D20" s="55">
        <v>8435668030540</v>
      </c>
      <c r="E20" s="37" t="s">
        <v>4316</v>
      </c>
      <c r="F20" s="37" t="s">
        <v>3788</v>
      </c>
      <c r="G20" s="56" t="s">
        <v>3653</v>
      </c>
      <c r="H20" s="56" t="s">
        <v>3654</v>
      </c>
      <c r="I20" s="56" t="s">
        <v>3655</v>
      </c>
      <c r="J20" s="56" t="s">
        <v>3656</v>
      </c>
      <c r="K20" s="56" t="s">
        <v>3657</v>
      </c>
      <c r="L20" s="56" t="s">
        <v>3641</v>
      </c>
      <c r="M20" s="56" t="s">
        <v>3642</v>
      </c>
      <c r="N20" s="56"/>
      <c r="P20" s="37" t="s">
        <v>1830</v>
      </c>
      <c r="Q20" s="37" t="s">
        <v>4311</v>
      </c>
      <c r="R20" s="28" t="s">
        <v>3488</v>
      </c>
      <c r="S20" s="37" t="s">
        <v>3790</v>
      </c>
      <c r="T20" s="53" t="s">
        <v>3486</v>
      </c>
      <c r="V20" s="37">
        <v>1</v>
      </c>
      <c r="AE20" s="37" t="s">
        <v>56</v>
      </c>
      <c r="AF20" s="37" t="s">
        <v>57</v>
      </c>
      <c r="AH20" s="37">
        <v>2.2999999999999998</v>
      </c>
      <c r="AI20" s="37">
        <v>2.2999999999999998</v>
      </c>
      <c r="AN20" s="37">
        <v>199</v>
      </c>
      <c r="AO20" s="59">
        <v>0.2</v>
      </c>
      <c r="AP20" s="37">
        <f t="shared" si="0"/>
        <v>238.79999999999998</v>
      </c>
    </row>
    <row r="21" spans="1:42" x14ac:dyDescent="0.3">
      <c r="A21" s="37" t="s">
        <v>3503</v>
      </c>
      <c r="B21" s="37" t="s">
        <v>3558</v>
      </c>
      <c r="C21" s="37" t="s">
        <v>3942</v>
      </c>
      <c r="D21" s="55">
        <v>8435668030557</v>
      </c>
      <c r="E21" s="37" t="s">
        <v>4316</v>
      </c>
      <c r="F21" s="37" t="s">
        <v>3788</v>
      </c>
      <c r="G21" s="56" t="s">
        <v>3658</v>
      </c>
      <c r="H21" s="56" t="s">
        <v>3659</v>
      </c>
      <c r="I21" s="56" t="s">
        <v>3660</v>
      </c>
      <c r="J21" s="56" t="s">
        <v>3660</v>
      </c>
      <c r="K21" s="56" t="s">
        <v>3661</v>
      </c>
      <c r="L21" s="56" t="s">
        <v>3641</v>
      </c>
      <c r="M21" s="56" t="s">
        <v>3642</v>
      </c>
      <c r="N21" s="56"/>
      <c r="P21" s="37" t="s">
        <v>1830</v>
      </c>
      <c r="Q21" s="37" t="s">
        <v>4311</v>
      </c>
      <c r="R21" s="28" t="s">
        <v>3488</v>
      </c>
      <c r="S21" s="37" t="s">
        <v>3790</v>
      </c>
      <c r="T21" s="53" t="s">
        <v>3487</v>
      </c>
      <c r="V21" s="37">
        <v>1</v>
      </c>
      <c r="AE21" s="37" t="s">
        <v>56</v>
      </c>
      <c r="AF21" s="37" t="s">
        <v>57</v>
      </c>
      <c r="AH21" s="37">
        <v>2.2999999999999998</v>
      </c>
      <c r="AI21" s="37">
        <v>2.2999999999999998</v>
      </c>
      <c r="AN21" s="37">
        <v>209</v>
      </c>
      <c r="AO21" s="59">
        <v>0.2</v>
      </c>
      <c r="AP21" s="37">
        <f t="shared" si="0"/>
        <v>250.79999999999998</v>
      </c>
    </row>
    <row r="22" spans="1:42" x14ac:dyDescent="0.3">
      <c r="A22" s="37" t="s">
        <v>3504</v>
      </c>
      <c r="B22" s="37" t="s">
        <v>3559</v>
      </c>
      <c r="C22" s="37" t="s">
        <v>3942</v>
      </c>
      <c r="D22" s="55">
        <v>8435668030564</v>
      </c>
      <c r="E22" s="37" t="s">
        <v>4319</v>
      </c>
      <c r="F22" s="37" t="s">
        <v>3788</v>
      </c>
      <c r="G22" s="56" t="s">
        <v>3662</v>
      </c>
      <c r="H22" s="56" t="s">
        <v>3663</v>
      </c>
      <c r="I22" s="56" t="s">
        <v>3664</v>
      </c>
      <c r="J22" s="56" t="s">
        <v>3665</v>
      </c>
      <c r="K22" s="56" t="s">
        <v>3666</v>
      </c>
      <c r="L22" s="56" t="s">
        <v>3667</v>
      </c>
      <c r="M22" s="56" t="s">
        <v>3668</v>
      </c>
      <c r="N22" s="56"/>
      <c r="P22" s="37" t="s">
        <v>1830</v>
      </c>
      <c r="Q22" s="37" t="s">
        <v>4311</v>
      </c>
      <c r="R22" s="28" t="s">
        <v>3488</v>
      </c>
      <c r="S22" s="37" t="s">
        <v>3790</v>
      </c>
      <c r="T22" s="53" t="s">
        <v>3483</v>
      </c>
      <c r="V22" s="37">
        <v>1</v>
      </c>
      <c r="AE22" s="37" t="s">
        <v>56</v>
      </c>
      <c r="AF22" s="37" t="s">
        <v>57</v>
      </c>
      <c r="AH22" s="37">
        <v>2.2999999999999998</v>
      </c>
      <c r="AI22" s="37">
        <v>2.2999999999999998</v>
      </c>
      <c r="AN22" s="37">
        <v>127</v>
      </c>
      <c r="AO22" s="59">
        <v>0.2</v>
      </c>
      <c r="AP22" s="37">
        <f t="shared" si="0"/>
        <v>152.4</v>
      </c>
    </row>
    <row r="23" spans="1:42" x14ac:dyDescent="0.3">
      <c r="A23" s="37" t="s">
        <v>3505</v>
      </c>
      <c r="B23" s="37" t="s">
        <v>3560</v>
      </c>
      <c r="C23" s="37" t="s">
        <v>3942</v>
      </c>
      <c r="D23" s="55">
        <v>8435668030571</v>
      </c>
      <c r="E23" s="37" t="s">
        <v>4320</v>
      </c>
      <c r="F23" s="37" t="s">
        <v>3788</v>
      </c>
      <c r="G23" s="56" t="s">
        <v>3669</v>
      </c>
      <c r="H23" s="56" t="s">
        <v>3670</v>
      </c>
      <c r="I23" s="56" t="s">
        <v>3671</v>
      </c>
      <c r="J23" s="56" t="s">
        <v>3672</v>
      </c>
      <c r="K23" s="56" t="s">
        <v>3673</v>
      </c>
      <c r="L23" s="56" t="s">
        <v>3667</v>
      </c>
      <c r="M23" s="56" t="s">
        <v>3668</v>
      </c>
      <c r="N23" s="56"/>
      <c r="P23" s="37" t="s">
        <v>1830</v>
      </c>
      <c r="Q23" s="37" t="s">
        <v>4311</v>
      </c>
      <c r="R23" s="28" t="s">
        <v>3488</v>
      </c>
      <c r="S23" s="37" t="s">
        <v>3789</v>
      </c>
      <c r="T23" s="53" t="s">
        <v>3484</v>
      </c>
      <c r="V23" s="37">
        <v>1</v>
      </c>
      <c r="AE23" s="37" t="s">
        <v>56</v>
      </c>
      <c r="AF23" s="37" t="s">
        <v>57</v>
      </c>
      <c r="AH23" s="37">
        <v>2.2999999999999998</v>
      </c>
      <c r="AI23" s="37">
        <v>2.2999999999999998</v>
      </c>
      <c r="AN23" s="37">
        <v>166</v>
      </c>
      <c r="AO23" s="59">
        <v>0.2</v>
      </c>
      <c r="AP23" s="37">
        <f t="shared" si="0"/>
        <v>199.2</v>
      </c>
    </row>
    <row r="24" spans="1:42" x14ac:dyDescent="0.3">
      <c r="A24" s="37" t="s">
        <v>3506</v>
      </c>
      <c r="B24" s="37" t="s">
        <v>3561</v>
      </c>
      <c r="C24" s="37" t="s">
        <v>3942</v>
      </c>
      <c r="D24" s="55">
        <v>8435668030588</v>
      </c>
      <c r="E24" s="37" t="s">
        <v>4321</v>
      </c>
      <c r="F24" s="37" t="s">
        <v>3788</v>
      </c>
      <c r="G24" s="56" t="s">
        <v>3674</v>
      </c>
      <c r="H24" s="56" t="s">
        <v>3675</v>
      </c>
      <c r="I24" s="56" t="s">
        <v>3676</v>
      </c>
      <c r="J24" s="56" t="s">
        <v>3677</v>
      </c>
      <c r="K24" s="56" t="s">
        <v>3678</v>
      </c>
      <c r="L24" s="56" t="s">
        <v>3667</v>
      </c>
      <c r="M24" s="56" t="s">
        <v>3668</v>
      </c>
      <c r="N24" s="56"/>
      <c r="P24" s="37" t="s">
        <v>1830</v>
      </c>
      <c r="Q24" s="37" t="s">
        <v>4311</v>
      </c>
      <c r="R24" s="28" t="s">
        <v>3488</v>
      </c>
      <c r="S24" s="37" t="s">
        <v>3790</v>
      </c>
      <c r="T24" s="53" t="s">
        <v>3485</v>
      </c>
      <c r="V24" s="37">
        <v>1</v>
      </c>
      <c r="AE24" s="37" t="s">
        <v>56</v>
      </c>
      <c r="AF24" s="37" t="s">
        <v>57</v>
      </c>
      <c r="AH24" s="37">
        <v>2.2999999999999998</v>
      </c>
      <c r="AI24" s="37">
        <v>2.2999999999999998</v>
      </c>
      <c r="AN24" s="37">
        <v>136</v>
      </c>
      <c r="AO24" s="59">
        <v>0.2</v>
      </c>
      <c r="AP24" s="37">
        <f t="shared" si="0"/>
        <v>163.19999999999999</v>
      </c>
    </row>
    <row r="25" spans="1:42" x14ac:dyDescent="0.3">
      <c r="A25" s="37" t="s">
        <v>3507</v>
      </c>
      <c r="B25" s="37" t="s">
        <v>3562</v>
      </c>
      <c r="C25" s="37" t="s">
        <v>3942</v>
      </c>
      <c r="D25" s="55">
        <v>8435668030595</v>
      </c>
      <c r="E25" s="37" t="s">
        <v>4322</v>
      </c>
      <c r="F25" s="37" t="s">
        <v>3788</v>
      </c>
      <c r="G25" s="56" t="s">
        <v>3679</v>
      </c>
      <c r="H25" s="56" t="s">
        <v>3680</v>
      </c>
      <c r="I25" s="56" t="s">
        <v>3681</v>
      </c>
      <c r="J25" s="56" t="s">
        <v>3682</v>
      </c>
      <c r="K25" s="56" t="s">
        <v>3683</v>
      </c>
      <c r="L25" s="56" t="s">
        <v>3667</v>
      </c>
      <c r="M25" s="56" t="s">
        <v>3668</v>
      </c>
      <c r="N25" s="56"/>
      <c r="P25" s="37" t="s">
        <v>1830</v>
      </c>
      <c r="Q25" s="37" t="s">
        <v>4311</v>
      </c>
      <c r="R25" s="28" t="s">
        <v>3488</v>
      </c>
      <c r="S25" s="37" t="s">
        <v>3789</v>
      </c>
      <c r="T25" s="53" t="s">
        <v>3486</v>
      </c>
      <c r="V25" s="37">
        <v>1</v>
      </c>
      <c r="AE25" s="37" t="s">
        <v>56</v>
      </c>
      <c r="AF25" s="37" t="s">
        <v>57</v>
      </c>
      <c r="AH25" s="37">
        <v>2.2999999999999998</v>
      </c>
      <c r="AI25" s="37">
        <v>2.2999999999999998</v>
      </c>
      <c r="AN25" s="37">
        <v>157</v>
      </c>
      <c r="AO25" s="59">
        <v>0.2</v>
      </c>
      <c r="AP25" s="37">
        <f t="shared" si="0"/>
        <v>188.4</v>
      </c>
    </row>
    <row r="26" spans="1:42" x14ac:dyDescent="0.3">
      <c r="A26" s="37" t="s">
        <v>3508</v>
      </c>
      <c r="B26" s="37" t="s">
        <v>3563</v>
      </c>
      <c r="C26" s="37" t="s">
        <v>3942</v>
      </c>
      <c r="D26" s="55">
        <v>8435668030601</v>
      </c>
      <c r="E26" s="37" t="s">
        <v>4323</v>
      </c>
      <c r="F26" s="37" t="s">
        <v>3788</v>
      </c>
      <c r="G26" s="56" t="s">
        <v>3684</v>
      </c>
      <c r="H26" s="56" t="s">
        <v>3685</v>
      </c>
      <c r="I26" s="56" t="s">
        <v>3686</v>
      </c>
      <c r="J26" s="56" t="s">
        <v>3687</v>
      </c>
      <c r="K26" s="56" t="s">
        <v>3688</v>
      </c>
      <c r="L26" s="56" t="s">
        <v>3667</v>
      </c>
      <c r="M26" s="56" t="s">
        <v>3668</v>
      </c>
      <c r="N26" s="56"/>
      <c r="P26" s="37" t="s">
        <v>1830</v>
      </c>
      <c r="Q26" s="37" t="s">
        <v>4311</v>
      </c>
      <c r="R26" s="28" t="s">
        <v>3488</v>
      </c>
      <c r="S26" s="37" t="s">
        <v>3789</v>
      </c>
      <c r="T26" s="53" t="s">
        <v>3487</v>
      </c>
      <c r="V26" s="37">
        <v>1</v>
      </c>
      <c r="AE26" s="37" t="s">
        <v>56</v>
      </c>
      <c r="AF26" s="37" t="s">
        <v>57</v>
      </c>
      <c r="AH26" s="37">
        <v>2.2999999999999998</v>
      </c>
      <c r="AI26" s="37">
        <v>2.2999999999999998</v>
      </c>
      <c r="AN26" s="37">
        <v>166</v>
      </c>
      <c r="AO26" s="59">
        <v>0.2</v>
      </c>
      <c r="AP26" s="37">
        <f t="shared" si="0"/>
        <v>199.2</v>
      </c>
    </row>
    <row r="27" spans="1:42" x14ac:dyDescent="0.3">
      <c r="A27" s="37" t="s">
        <v>3509</v>
      </c>
      <c r="B27" s="37" t="s">
        <v>3564</v>
      </c>
      <c r="C27" s="37" t="s">
        <v>3942</v>
      </c>
      <c r="D27" s="55">
        <v>8435668030250</v>
      </c>
      <c r="E27" s="37" t="s">
        <v>4324</v>
      </c>
      <c r="F27" s="37" t="s">
        <v>3788</v>
      </c>
      <c r="G27" s="56" t="s">
        <v>3689</v>
      </c>
      <c r="H27" s="56" t="s">
        <v>3690</v>
      </c>
      <c r="I27" s="56" t="s">
        <v>3691</v>
      </c>
      <c r="J27" s="56" t="s">
        <v>3692</v>
      </c>
      <c r="K27" s="56" t="s">
        <v>3693</v>
      </c>
      <c r="L27" s="56" t="s">
        <v>3694</v>
      </c>
      <c r="M27" s="56" t="s">
        <v>3456</v>
      </c>
      <c r="N27" s="56"/>
      <c r="P27" s="37" t="s">
        <v>1830</v>
      </c>
      <c r="Q27" s="37" t="s">
        <v>4312</v>
      </c>
      <c r="R27" s="28" t="s">
        <v>3488</v>
      </c>
      <c r="S27" s="37" t="s">
        <v>3481</v>
      </c>
      <c r="T27" s="53" t="s">
        <v>3483</v>
      </c>
      <c r="V27" s="37">
        <v>1</v>
      </c>
      <c r="AE27" s="37" t="s">
        <v>56</v>
      </c>
      <c r="AF27" s="37" t="s">
        <v>57</v>
      </c>
      <c r="AH27" s="37">
        <v>3.5</v>
      </c>
      <c r="AI27" s="37">
        <v>3.5</v>
      </c>
      <c r="AN27" s="37">
        <v>256</v>
      </c>
      <c r="AO27" s="59">
        <v>0.2</v>
      </c>
      <c r="AP27" s="37">
        <f t="shared" si="0"/>
        <v>307.2</v>
      </c>
    </row>
    <row r="28" spans="1:42" x14ac:dyDescent="0.3">
      <c r="A28" s="37" t="s">
        <v>3510</v>
      </c>
      <c r="B28" s="37" t="s">
        <v>3565</v>
      </c>
      <c r="C28" s="37" t="s">
        <v>3942</v>
      </c>
      <c r="D28" s="55">
        <v>8435668030267</v>
      </c>
      <c r="E28" s="37" t="s">
        <v>4324</v>
      </c>
      <c r="F28" s="37" t="s">
        <v>3788</v>
      </c>
      <c r="G28" s="56" t="s">
        <v>3695</v>
      </c>
      <c r="H28" s="56" t="s">
        <v>3696</v>
      </c>
      <c r="I28" s="56" t="s">
        <v>3697</v>
      </c>
      <c r="J28" s="56" t="s">
        <v>3698</v>
      </c>
      <c r="K28" s="56" t="s">
        <v>3699</v>
      </c>
      <c r="L28" s="56" t="s">
        <v>3694</v>
      </c>
      <c r="M28" s="56" t="s">
        <v>3456</v>
      </c>
      <c r="N28" s="56"/>
      <c r="P28" s="37" t="s">
        <v>1830</v>
      </c>
      <c r="Q28" s="37" t="s">
        <v>4312</v>
      </c>
      <c r="R28" s="28" t="s">
        <v>3488</v>
      </c>
      <c r="S28" s="37" t="s">
        <v>3482</v>
      </c>
      <c r="T28" s="53" t="s">
        <v>3484</v>
      </c>
      <c r="V28" s="37">
        <v>1</v>
      </c>
      <c r="AE28" s="37" t="s">
        <v>56</v>
      </c>
      <c r="AF28" s="37" t="s">
        <v>57</v>
      </c>
      <c r="AH28" s="37">
        <v>2.14</v>
      </c>
      <c r="AI28" s="37">
        <v>2.14</v>
      </c>
      <c r="AN28" s="37">
        <v>366</v>
      </c>
      <c r="AO28" s="59">
        <v>0.2</v>
      </c>
      <c r="AP28" s="37">
        <f t="shared" si="0"/>
        <v>439.2</v>
      </c>
    </row>
    <row r="29" spans="1:42" x14ac:dyDescent="0.3">
      <c r="A29" s="37" t="s">
        <v>3511</v>
      </c>
      <c r="B29" s="37" t="s">
        <v>3566</v>
      </c>
      <c r="C29" s="37" t="s">
        <v>3942</v>
      </c>
      <c r="D29" s="55">
        <v>8435668030274</v>
      </c>
      <c r="E29" s="37" t="s">
        <v>4324</v>
      </c>
      <c r="F29" s="37" t="s">
        <v>3788</v>
      </c>
      <c r="G29" s="56" t="s">
        <v>3700</v>
      </c>
      <c r="H29" s="56" t="s">
        <v>3701</v>
      </c>
      <c r="I29" s="56" t="s">
        <v>3702</v>
      </c>
      <c r="J29" s="56" t="s">
        <v>3703</v>
      </c>
      <c r="K29" s="56" t="s">
        <v>3704</v>
      </c>
      <c r="L29" s="56" t="s">
        <v>3694</v>
      </c>
      <c r="M29" s="56" t="s">
        <v>3456</v>
      </c>
      <c r="N29" s="56"/>
      <c r="P29" s="37" t="s">
        <v>1830</v>
      </c>
      <c r="Q29" s="37" t="s">
        <v>4312</v>
      </c>
      <c r="R29" s="28" t="s">
        <v>3488</v>
      </c>
      <c r="S29" s="37" t="s">
        <v>3481</v>
      </c>
      <c r="T29" s="53" t="s">
        <v>3485</v>
      </c>
      <c r="V29" s="37">
        <v>1</v>
      </c>
      <c r="AE29" s="37" t="s">
        <v>56</v>
      </c>
      <c r="AF29" s="37" t="s">
        <v>57</v>
      </c>
      <c r="AH29" s="37">
        <v>2.34</v>
      </c>
      <c r="AI29" s="37">
        <v>2.34</v>
      </c>
      <c r="AN29" s="37">
        <v>296</v>
      </c>
      <c r="AO29" s="59">
        <v>0.2</v>
      </c>
      <c r="AP29" s="37">
        <f t="shared" si="0"/>
        <v>355.2</v>
      </c>
    </row>
    <row r="30" spans="1:42" x14ac:dyDescent="0.3">
      <c r="A30" s="37" t="s">
        <v>3512</v>
      </c>
      <c r="B30" s="37" t="s">
        <v>3567</v>
      </c>
      <c r="C30" s="37" t="s">
        <v>3942</v>
      </c>
      <c r="D30" s="55">
        <v>8435668030281</v>
      </c>
      <c r="E30" s="37" t="s">
        <v>4324</v>
      </c>
      <c r="F30" s="37" t="s">
        <v>3788</v>
      </c>
      <c r="G30" s="56" t="s">
        <v>3705</v>
      </c>
      <c r="H30" s="56" t="s">
        <v>3706</v>
      </c>
      <c r="I30" s="56" t="s">
        <v>3707</v>
      </c>
      <c r="J30" s="56"/>
      <c r="K30" s="56"/>
      <c r="L30" s="56" t="s">
        <v>3694</v>
      </c>
      <c r="M30" s="56" t="s">
        <v>3456</v>
      </c>
      <c r="N30" s="56"/>
      <c r="P30" s="37" t="s">
        <v>1830</v>
      </c>
      <c r="Q30" s="37" t="s">
        <v>4312</v>
      </c>
      <c r="R30" s="28" t="s">
        <v>3488</v>
      </c>
      <c r="S30" s="37" t="s">
        <v>3482</v>
      </c>
      <c r="T30" s="53" t="s">
        <v>3486</v>
      </c>
      <c r="V30" s="37">
        <v>1</v>
      </c>
      <c r="AE30" s="37" t="s">
        <v>56</v>
      </c>
      <c r="AF30" s="37" t="s">
        <v>57</v>
      </c>
      <c r="AH30" s="37">
        <v>2.14</v>
      </c>
      <c r="AI30" s="37">
        <v>2.14</v>
      </c>
      <c r="AN30" s="37">
        <v>358</v>
      </c>
      <c r="AO30" s="59">
        <v>0.2</v>
      </c>
      <c r="AP30" s="37">
        <f t="shared" si="0"/>
        <v>429.59999999999997</v>
      </c>
    </row>
    <row r="31" spans="1:42" x14ac:dyDescent="0.3">
      <c r="A31" s="37" t="s">
        <v>3513</v>
      </c>
      <c r="B31" s="37" t="s">
        <v>3568</v>
      </c>
      <c r="C31" s="37" t="s">
        <v>3942</v>
      </c>
      <c r="D31" s="55">
        <v>8435668030298</v>
      </c>
      <c r="E31" s="37" t="s">
        <v>4324</v>
      </c>
      <c r="F31" s="37" t="s">
        <v>3788</v>
      </c>
      <c r="G31" s="56" t="s">
        <v>3708</v>
      </c>
      <c r="H31" s="56" t="s">
        <v>3709</v>
      </c>
      <c r="I31" s="56" t="s">
        <v>3710</v>
      </c>
      <c r="J31" s="56"/>
      <c r="K31" s="56"/>
      <c r="L31" s="56" t="s">
        <v>3694</v>
      </c>
      <c r="M31" s="56" t="s">
        <v>3456</v>
      </c>
      <c r="N31" s="56"/>
      <c r="P31" s="37" t="s">
        <v>1830</v>
      </c>
      <c r="Q31" s="37" t="s">
        <v>4312</v>
      </c>
      <c r="R31" s="28" t="s">
        <v>3488</v>
      </c>
      <c r="S31" s="37" t="s">
        <v>3482</v>
      </c>
      <c r="T31" s="53" t="s">
        <v>3487</v>
      </c>
      <c r="V31" s="37">
        <v>1</v>
      </c>
      <c r="AE31" s="37" t="s">
        <v>56</v>
      </c>
      <c r="AF31" s="37" t="s">
        <v>57</v>
      </c>
      <c r="AH31" s="37">
        <v>2.14</v>
      </c>
      <c r="AI31" s="37">
        <v>2.14</v>
      </c>
      <c r="AN31" s="37">
        <v>366</v>
      </c>
      <c r="AO31" s="59">
        <v>0.2</v>
      </c>
      <c r="AP31" s="37">
        <f t="shared" si="0"/>
        <v>439.2</v>
      </c>
    </row>
    <row r="32" spans="1:42" x14ac:dyDescent="0.3">
      <c r="A32" s="37" t="s">
        <v>3514</v>
      </c>
      <c r="B32" s="37" t="s">
        <v>3569</v>
      </c>
      <c r="C32" s="37" t="s">
        <v>3942</v>
      </c>
      <c r="D32" s="55">
        <v>8435668038041</v>
      </c>
      <c r="E32" s="37" t="s">
        <v>4325</v>
      </c>
      <c r="F32" s="37" t="s">
        <v>3788</v>
      </c>
      <c r="G32" s="56"/>
      <c r="H32" s="56" t="s">
        <v>3711</v>
      </c>
      <c r="I32" s="56"/>
      <c r="J32" s="56" t="s">
        <v>3712</v>
      </c>
      <c r="K32" s="56"/>
      <c r="L32" s="56"/>
      <c r="M32" s="56" t="s">
        <v>3713</v>
      </c>
      <c r="N32" s="56"/>
      <c r="P32" s="37" t="s">
        <v>1830</v>
      </c>
      <c r="Q32" s="37" t="s">
        <v>4312</v>
      </c>
      <c r="R32" s="28" t="s">
        <v>3488</v>
      </c>
      <c r="S32" s="37" t="s">
        <v>3790</v>
      </c>
      <c r="T32" s="53" t="s">
        <v>3483</v>
      </c>
      <c r="V32" s="37">
        <v>1</v>
      </c>
      <c r="AE32" s="37" t="s">
        <v>56</v>
      </c>
      <c r="AF32" s="37" t="s">
        <v>57</v>
      </c>
      <c r="AH32" s="37">
        <v>2.2999999999999998</v>
      </c>
      <c r="AI32" s="37">
        <v>2.2999999999999998</v>
      </c>
      <c r="AN32" s="37">
        <v>214</v>
      </c>
      <c r="AO32" s="59">
        <v>0.2</v>
      </c>
      <c r="AP32" s="37">
        <f t="shared" si="0"/>
        <v>256.8</v>
      </c>
    </row>
    <row r="33" spans="1:42" x14ac:dyDescent="0.3">
      <c r="A33" s="37" t="s">
        <v>3515</v>
      </c>
      <c r="B33" s="37" t="s">
        <v>3570</v>
      </c>
      <c r="C33" s="37" t="s">
        <v>3942</v>
      </c>
      <c r="D33" s="55">
        <v>8435668038058</v>
      </c>
      <c r="E33" s="37" t="s">
        <v>4325</v>
      </c>
      <c r="F33" s="37" t="s">
        <v>3788</v>
      </c>
      <c r="G33" s="28"/>
      <c r="H33" s="56" t="s">
        <v>3714</v>
      </c>
      <c r="I33" s="28"/>
      <c r="J33" s="56" t="s">
        <v>3715</v>
      </c>
      <c r="K33" s="56" t="s">
        <v>3715</v>
      </c>
      <c r="L33" s="56"/>
      <c r="M33" s="56" t="s">
        <v>3713</v>
      </c>
      <c r="N33" s="56"/>
      <c r="P33" s="37" t="s">
        <v>1830</v>
      </c>
      <c r="Q33" s="37" t="s">
        <v>4312</v>
      </c>
      <c r="R33" s="28" t="s">
        <v>3488</v>
      </c>
      <c r="S33" s="37" t="s">
        <v>3790</v>
      </c>
      <c r="T33" s="53" t="s">
        <v>3484</v>
      </c>
      <c r="V33" s="37">
        <v>1</v>
      </c>
      <c r="AE33" s="37" t="s">
        <v>56</v>
      </c>
      <c r="AF33" s="37" t="s">
        <v>57</v>
      </c>
      <c r="AH33" s="37">
        <v>2.2999999999999998</v>
      </c>
      <c r="AI33" s="37">
        <v>2.2999999999999998</v>
      </c>
      <c r="AN33" s="37">
        <v>280</v>
      </c>
      <c r="AO33" s="59">
        <v>0.2</v>
      </c>
      <c r="AP33" s="37">
        <f t="shared" si="0"/>
        <v>336</v>
      </c>
    </row>
    <row r="34" spans="1:42" x14ac:dyDescent="0.3">
      <c r="A34" s="37" t="s">
        <v>3516</v>
      </c>
      <c r="B34" s="37" t="s">
        <v>3571</v>
      </c>
      <c r="C34" s="37" t="s">
        <v>3942</v>
      </c>
      <c r="D34" s="55">
        <v>8435668038065</v>
      </c>
      <c r="E34" s="37" t="s">
        <v>4325</v>
      </c>
      <c r="F34" s="37" t="s">
        <v>3788</v>
      </c>
      <c r="G34" s="28"/>
      <c r="H34" s="56" t="s">
        <v>3716</v>
      </c>
      <c r="I34" s="28"/>
      <c r="J34" s="56" t="s">
        <v>3717</v>
      </c>
      <c r="K34" s="56" t="s">
        <v>3717</v>
      </c>
      <c r="L34" s="56"/>
      <c r="M34" s="56" t="s">
        <v>3713</v>
      </c>
      <c r="N34" s="56"/>
      <c r="P34" s="37" t="s">
        <v>1830</v>
      </c>
      <c r="Q34" s="37" t="s">
        <v>4312</v>
      </c>
      <c r="R34" s="28" t="s">
        <v>3488</v>
      </c>
      <c r="S34" s="37" t="s">
        <v>3790</v>
      </c>
      <c r="T34" s="53" t="s">
        <v>3485</v>
      </c>
      <c r="V34" s="37">
        <v>1</v>
      </c>
      <c r="AE34" s="37" t="s">
        <v>56</v>
      </c>
      <c r="AF34" s="37" t="s">
        <v>57</v>
      </c>
      <c r="AH34" s="37">
        <v>2.2999999999999998</v>
      </c>
      <c r="AI34" s="37">
        <v>2.2999999999999998</v>
      </c>
      <c r="AN34" s="37">
        <v>239</v>
      </c>
      <c r="AO34" s="59">
        <v>0.2</v>
      </c>
      <c r="AP34" s="37">
        <f t="shared" si="0"/>
        <v>286.8</v>
      </c>
    </row>
    <row r="35" spans="1:42" x14ac:dyDescent="0.3">
      <c r="A35" s="37" t="s">
        <v>3517</v>
      </c>
      <c r="B35" s="37" t="s">
        <v>3572</v>
      </c>
      <c r="C35" s="37" t="s">
        <v>3942</v>
      </c>
      <c r="D35" s="55">
        <v>8435668038072</v>
      </c>
      <c r="E35" s="37" t="s">
        <v>4325</v>
      </c>
      <c r="F35" s="37" t="s">
        <v>3788</v>
      </c>
      <c r="G35" s="28"/>
      <c r="H35" s="56" t="s">
        <v>3718</v>
      </c>
      <c r="I35" s="28"/>
      <c r="J35" s="56" t="s">
        <v>3719</v>
      </c>
      <c r="K35" s="56" t="s">
        <v>3720</v>
      </c>
      <c r="L35" s="56"/>
      <c r="M35" s="56" t="s">
        <v>3713</v>
      </c>
      <c r="N35" s="56"/>
      <c r="P35" s="37" t="s">
        <v>1830</v>
      </c>
      <c r="Q35" s="37" t="s">
        <v>4312</v>
      </c>
      <c r="R35" s="28" t="s">
        <v>3488</v>
      </c>
      <c r="S35" s="37" t="s">
        <v>3790</v>
      </c>
      <c r="T35" s="53" t="s">
        <v>3486</v>
      </c>
      <c r="V35" s="37">
        <v>1</v>
      </c>
      <c r="AE35" s="37" t="s">
        <v>56</v>
      </c>
      <c r="AF35" s="37" t="s">
        <v>57</v>
      </c>
      <c r="AH35" s="37">
        <v>2.2999999999999998</v>
      </c>
      <c r="AI35" s="37">
        <v>2.2999999999999998</v>
      </c>
      <c r="AN35" s="37">
        <v>271</v>
      </c>
      <c r="AO35" s="59">
        <v>0.2</v>
      </c>
      <c r="AP35" s="37">
        <f t="shared" si="0"/>
        <v>325.2</v>
      </c>
    </row>
    <row r="36" spans="1:42" x14ac:dyDescent="0.3">
      <c r="A36" s="37" t="s">
        <v>3518</v>
      </c>
      <c r="B36" s="37" t="s">
        <v>3573</v>
      </c>
      <c r="C36" s="37" t="s">
        <v>3942</v>
      </c>
      <c r="D36" s="55">
        <v>8435668038089</v>
      </c>
      <c r="E36" s="37" t="s">
        <v>4325</v>
      </c>
      <c r="F36" s="37" t="s">
        <v>3788</v>
      </c>
      <c r="G36" s="28"/>
      <c r="H36" s="56" t="s">
        <v>3721</v>
      </c>
      <c r="I36" s="28"/>
      <c r="J36" s="56" t="s">
        <v>3722</v>
      </c>
      <c r="K36" s="56" t="s">
        <v>3722</v>
      </c>
      <c r="L36" s="56"/>
      <c r="M36" s="56" t="s">
        <v>3713</v>
      </c>
      <c r="N36" s="56"/>
      <c r="P36" s="37" t="s">
        <v>1830</v>
      </c>
      <c r="Q36" s="37" t="s">
        <v>4312</v>
      </c>
      <c r="R36" s="28" t="s">
        <v>3488</v>
      </c>
      <c r="S36" s="37" t="s">
        <v>3790</v>
      </c>
      <c r="T36" s="53" t="s">
        <v>3487</v>
      </c>
      <c r="V36" s="37">
        <v>1</v>
      </c>
      <c r="AE36" s="37" t="s">
        <v>56</v>
      </c>
      <c r="AF36" s="37" t="s">
        <v>57</v>
      </c>
      <c r="AH36" s="37">
        <v>2.2999999999999998</v>
      </c>
      <c r="AI36" s="37">
        <v>2.2999999999999998</v>
      </c>
      <c r="AN36" s="37">
        <v>272</v>
      </c>
      <c r="AO36" s="59">
        <v>0.2</v>
      </c>
      <c r="AP36" s="37">
        <f t="shared" si="0"/>
        <v>326.39999999999998</v>
      </c>
    </row>
    <row r="37" spans="1:42" x14ac:dyDescent="0.3">
      <c r="A37" s="37" t="s">
        <v>3519</v>
      </c>
      <c r="B37" s="37" t="s">
        <v>3574</v>
      </c>
      <c r="C37" s="37" t="s">
        <v>3942</v>
      </c>
      <c r="D37" s="55">
        <v>8435668038096</v>
      </c>
      <c r="E37" s="37" t="s">
        <v>4325</v>
      </c>
      <c r="F37" s="37" t="s">
        <v>3788</v>
      </c>
      <c r="G37" s="28"/>
      <c r="H37" s="56" t="s">
        <v>3723</v>
      </c>
      <c r="I37" s="28"/>
      <c r="J37" s="56" t="s">
        <v>3724</v>
      </c>
      <c r="K37" s="56" t="s">
        <v>3725</v>
      </c>
      <c r="L37" s="56"/>
      <c r="M37" s="56" t="s">
        <v>3726</v>
      </c>
      <c r="N37" s="56"/>
      <c r="P37" s="37" t="s">
        <v>1830</v>
      </c>
      <c r="Q37" s="37" t="s">
        <v>4312</v>
      </c>
      <c r="R37" s="28" t="s">
        <v>3488</v>
      </c>
      <c r="S37" s="37" t="s">
        <v>3790</v>
      </c>
      <c r="T37" s="53" t="s">
        <v>3483</v>
      </c>
      <c r="V37" s="37">
        <v>1</v>
      </c>
      <c r="AE37" s="37" t="s">
        <v>56</v>
      </c>
      <c r="AF37" s="37" t="s">
        <v>57</v>
      </c>
      <c r="AH37" s="37">
        <v>2.2999999999999998</v>
      </c>
      <c r="AI37" s="37">
        <v>2.2999999999999998</v>
      </c>
      <c r="AN37" s="37">
        <v>170</v>
      </c>
      <c r="AO37" s="59">
        <v>0.2</v>
      </c>
      <c r="AP37" s="37">
        <f t="shared" si="0"/>
        <v>204</v>
      </c>
    </row>
    <row r="38" spans="1:42" x14ac:dyDescent="0.3">
      <c r="A38" s="37" t="s">
        <v>3520</v>
      </c>
      <c r="B38" s="37" t="s">
        <v>3575</v>
      </c>
      <c r="C38" s="37" t="s">
        <v>3942</v>
      </c>
      <c r="D38" s="55">
        <v>8435668038102</v>
      </c>
      <c r="E38" s="37" t="s">
        <v>4325</v>
      </c>
      <c r="F38" s="37" t="s">
        <v>3788</v>
      </c>
      <c r="G38" s="28"/>
      <c r="H38" s="56" t="s">
        <v>3727</v>
      </c>
      <c r="I38" s="28"/>
      <c r="J38" s="56" t="s">
        <v>3728</v>
      </c>
      <c r="K38" s="56" t="s">
        <v>3729</v>
      </c>
      <c r="L38" s="56"/>
      <c r="M38" s="56" t="s">
        <v>3726</v>
      </c>
      <c r="N38" s="56"/>
      <c r="P38" s="37" t="s">
        <v>1830</v>
      </c>
      <c r="Q38" s="37" t="s">
        <v>4312</v>
      </c>
      <c r="R38" s="28" t="s">
        <v>3488</v>
      </c>
      <c r="S38" s="37" t="s">
        <v>3789</v>
      </c>
      <c r="T38" s="53" t="s">
        <v>3484</v>
      </c>
      <c r="V38" s="37">
        <v>1</v>
      </c>
      <c r="AE38" s="37" t="s">
        <v>56</v>
      </c>
      <c r="AF38" s="37" t="s">
        <v>57</v>
      </c>
      <c r="AH38" s="37">
        <v>2.2999999999999998</v>
      </c>
      <c r="AI38" s="37">
        <v>2.2999999999999998</v>
      </c>
      <c r="AN38" s="37">
        <v>234</v>
      </c>
      <c r="AO38" s="59">
        <v>0.2</v>
      </c>
      <c r="AP38" s="37">
        <f t="shared" si="0"/>
        <v>280.8</v>
      </c>
    </row>
    <row r="39" spans="1:42" x14ac:dyDescent="0.3">
      <c r="A39" s="37" t="s">
        <v>3521</v>
      </c>
      <c r="B39" s="37" t="s">
        <v>3576</v>
      </c>
      <c r="C39" s="37" t="s">
        <v>3942</v>
      </c>
      <c r="D39" s="55">
        <v>8435668038119</v>
      </c>
      <c r="E39" s="37" t="s">
        <v>4325</v>
      </c>
      <c r="F39" s="37" t="s">
        <v>3788</v>
      </c>
      <c r="G39" s="28"/>
      <c r="H39" s="56" t="s">
        <v>3730</v>
      </c>
      <c r="I39" s="28"/>
      <c r="J39" s="56" t="s">
        <v>3731</v>
      </c>
      <c r="K39" s="56" t="s">
        <v>3732</v>
      </c>
      <c r="L39" s="56"/>
      <c r="M39" s="56" t="s">
        <v>3726</v>
      </c>
      <c r="N39" s="56"/>
      <c r="P39" s="37" t="s">
        <v>1830</v>
      </c>
      <c r="Q39" s="37" t="s">
        <v>4312</v>
      </c>
      <c r="R39" s="28" t="s">
        <v>3488</v>
      </c>
      <c r="S39" s="37" t="s">
        <v>3790</v>
      </c>
      <c r="T39" s="53" t="s">
        <v>3485</v>
      </c>
      <c r="V39" s="37">
        <v>1</v>
      </c>
      <c r="AE39" s="37" t="s">
        <v>56</v>
      </c>
      <c r="AF39" s="37" t="s">
        <v>57</v>
      </c>
      <c r="AH39" s="37">
        <v>2.2999999999999998</v>
      </c>
      <c r="AI39" s="37">
        <v>2.2999999999999998</v>
      </c>
      <c r="AN39" s="37">
        <v>190</v>
      </c>
      <c r="AO39" s="59">
        <v>0.2</v>
      </c>
      <c r="AP39" s="37">
        <f t="shared" si="0"/>
        <v>228</v>
      </c>
    </row>
    <row r="40" spans="1:42" x14ac:dyDescent="0.3">
      <c r="A40" s="37" t="s">
        <v>3522</v>
      </c>
      <c r="B40" s="37" t="s">
        <v>3577</v>
      </c>
      <c r="C40" s="37" t="s">
        <v>3942</v>
      </c>
      <c r="D40" s="55">
        <v>8435668038126</v>
      </c>
      <c r="E40" s="37" t="s">
        <v>4325</v>
      </c>
      <c r="F40" s="37" t="s">
        <v>3788</v>
      </c>
      <c r="G40" s="28"/>
      <c r="H40" s="56" t="s">
        <v>3733</v>
      </c>
      <c r="I40" s="28"/>
      <c r="J40" s="56" t="s">
        <v>3734</v>
      </c>
      <c r="K40" s="56" t="s">
        <v>3735</v>
      </c>
      <c r="L40" s="56"/>
      <c r="M40" s="56" t="s">
        <v>3726</v>
      </c>
      <c r="N40" s="56"/>
      <c r="P40" s="37" t="s">
        <v>1830</v>
      </c>
      <c r="Q40" s="37" t="s">
        <v>4312</v>
      </c>
      <c r="R40" s="28" t="s">
        <v>3488</v>
      </c>
      <c r="S40" s="37" t="s">
        <v>3789</v>
      </c>
      <c r="T40" s="53" t="s">
        <v>3486</v>
      </c>
      <c r="V40" s="37">
        <v>1</v>
      </c>
      <c r="AE40" s="37" t="s">
        <v>56</v>
      </c>
      <c r="AF40" s="37" t="s">
        <v>57</v>
      </c>
      <c r="AH40" s="37">
        <v>2.2999999999999998</v>
      </c>
      <c r="AI40" s="37">
        <v>2.2999999999999998</v>
      </c>
      <c r="AN40" s="37">
        <v>221</v>
      </c>
      <c r="AO40" s="59">
        <v>0.2</v>
      </c>
      <c r="AP40" s="37">
        <f t="shared" si="0"/>
        <v>265.2</v>
      </c>
    </row>
    <row r="41" spans="1:42" x14ac:dyDescent="0.3">
      <c r="A41" s="37" t="s">
        <v>3523</v>
      </c>
      <c r="B41" s="37" t="s">
        <v>3578</v>
      </c>
      <c r="C41" s="37" t="s">
        <v>3942</v>
      </c>
      <c r="D41" s="55">
        <v>8435668038133</v>
      </c>
      <c r="E41" s="37" t="s">
        <v>4325</v>
      </c>
      <c r="F41" s="37" t="s">
        <v>3788</v>
      </c>
      <c r="G41" s="28"/>
      <c r="H41" s="56" t="s">
        <v>3736</v>
      </c>
      <c r="I41" s="28"/>
      <c r="J41" s="56" t="s">
        <v>3737</v>
      </c>
      <c r="K41" s="56" t="s">
        <v>3738</v>
      </c>
      <c r="L41" s="56"/>
      <c r="M41" s="56" t="s">
        <v>3726</v>
      </c>
      <c r="N41" s="56"/>
      <c r="P41" s="37" t="s">
        <v>1830</v>
      </c>
      <c r="Q41" s="37" t="s">
        <v>4312</v>
      </c>
      <c r="R41" s="28" t="s">
        <v>3488</v>
      </c>
      <c r="S41" s="37" t="s">
        <v>3789</v>
      </c>
      <c r="T41" s="53" t="s">
        <v>3487</v>
      </c>
      <c r="V41" s="37">
        <v>1</v>
      </c>
      <c r="AE41" s="37" t="s">
        <v>56</v>
      </c>
      <c r="AF41" s="37" t="s">
        <v>57</v>
      </c>
      <c r="AH41" s="37">
        <v>2.2999999999999998</v>
      </c>
      <c r="AI41" s="37">
        <v>2.2999999999999998</v>
      </c>
      <c r="AN41" s="37">
        <v>222</v>
      </c>
      <c r="AO41" s="59">
        <v>0.2</v>
      </c>
      <c r="AP41" s="37">
        <f t="shared" si="0"/>
        <v>266.39999999999998</v>
      </c>
    </row>
    <row r="42" spans="1:42" x14ac:dyDescent="0.3">
      <c r="A42" s="37" t="s">
        <v>3524</v>
      </c>
      <c r="B42" s="37" t="s">
        <v>3579</v>
      </c>
      <c r="C42" s="37" t="s">
        <v>3942</v>
      </c>
      <c r="D42" s="55">
        <v>8435668030663</v>
      </c>
      <c r="E42" s="37" t="s">
        <v>4326</v>
      </c>
      <c r="F42" s="37" t="s">
        <v>3788</v>
      </c>
      <c r="G42" s="60" t="s">
        <v>3739</v>
      </c>
      <c r="H42" s="60" t="s">
        <v>3740</v>
      </c>
      <c r="I42" s="60" t="s">
        <v>3741</v>
      </c>
      <c r="J42" s="60"/>
      <c r="K42" s="60"/>
      <c r="L42" s="60" t="s">
        <v>3742</v>
      </c>
      <c r="M42" s="60" t="s">
        <v>3743</v>
      </c>
      <c r="N42" s="60"/>
      <c r="P42" s="37" t="s">
        <v>1830</v>
      </c>
      <c r="Q42" s="37" t="s">
        <v>4311</v>
      </c>
      <c r="R42" s="28" t="s">
        <v>3488</v>
      </c>
      <c r="S42" s="37" t="s">
        <v>3790</v>
      </c>
      <c r="T42" s="53" t="s">
        <v>3483</v>
      </c>
      <c r="V42" s="37">
        <v>1</v>
      </c>
      <c r="AE42" s="37" t="s">
        <v>56</v>
      </c>
      <c r="AF42" s="37" t="s">
        <v>57</v>
      </c>
      <c r="AH42" s="37">
        <v>2.2000000000000002</v>
      </c>
      <c r="AI42" s="37">
        <v>2.2000000000000002</v>
      </c>
      <c r="AN42" s="37">
        <v>81</v>
      </c>
      <c r="AO42" s="59">
        <v>0.2</v>
      </c>
      <c r="AP42" s="37">
        <f t="shared" si="0"/>
        <v>97.2</v>
      </c>
    </row>
    <row r="43" spans="1:42" x14ac:dyDescent="0.3">
      <c r="A43" s="37" t="s">
        <v>3525</v>
      </c>
      <c r="B43" s="37" t="s">
        <v>3580</v>
      </c>
      <c r="C43" s="37" t="s">
        <v>3942</v>
      </c>
      <c r="D43" s="55">
        <v>8435668030670</v>
      </c>
      <c r="E43" s="37" t="s">
        <v>4327</v>
      </c>
      <c r="F43" s="37" t="s">
        <v>3788</v>
      </c>
      <c r="G43" s="60" t="s">
        <v>3744</v>
      </c>
      <c r="H43" s="60" t="s">
        <v>3745</v>
      </c>
      <c r="I43" s="60" t="s">
        <v>3746</v>
      </c>
      <c r="J43" s="60"/>
      <c r="K43" s="60"/>
      <c r="L43" s="60" t="s">
        <v>3742</v>
      </c>
      <c r="M43" s="60" t="s">
        <v>3743</v>
      </c>
      <c r="N43" s="60"/>
      <c r="P43" s="37" t="s">
        <v>1830</v>
      </c>
      <c r="Q43" s="37" t="s">
        <v>4311</v>
      </c>
      <c r="R43" s="28" t="s">
        <v>3488</v>
      </c>
      <c r="S43" s="37" t="s">
        <v>3482</v>
      </c>
      <c r="T43" s="53" t="s">
        <v>3484</v>
      </c>
      <c r="V43" s="37">
        <v>1</v>
      </c>
      <c r="AE43" s="37" t="s">
        <v>56</v>
      </c>
      <c r="AF43" s="37" t="s">
        <v>57</v>
      </c>
      <c r="AH43" s="37">
        <v>2.2000000000000002</v>
      </c>
      <c r="AI43" s="37">
        <v>2.2000000000000002</v>
      </c>
      <c r="AN43" s="37">
        <v>98</v>
      </c>
      <c r="AO43" s="59">
        <v>0.2</v>
      </c>
      <c r="AP43" s="37">
        <f t="shared" si="0"/>
        <v>117.6</v>
      </c>
    </row>
    <row r="44" spans="1:42" x14ac:dyDescent="0.3">
      <c r="A44" s="37" t="s">
        <v>3526</v>
      </c>
      <c r="B44" s="37" t="s">
        <v>3581</v>
      </c>
      <c r="C44" s="37" t="s">
        <v>3942</v>
      </c>
      <c r="D44" s="55">
        <v>8435668030687</v>
      </c>
      <c r="E44" s="37" t="s">
        <v>4328</v>
      </c>
      <c r="F44" s="37" t="s">
        <v>3788</v>
      </c>
      <c r="G44" s="60" t="s">
        <v>3747</v>
      </c>
      <c r="H44" s="60" t="s">
        <v>3748</v>
      </c>
      <c r="I44" s="60" t="s">
        <v>3749</v>
      </c>
      <c r="J44" s="60"/>
      <c r="K44" s="60"/>
      <c r="L44" s="60" t="s">
        <v>3742</v>
      </c>
      <c r="M44" s="60" t="s">
        <v>3743</v>
      </c>
      <c r="N44" s="60"/>
      <c r="P44" s="37" t="s">
        <v>1830</v>
      </c>
      <c r="Q44" s="37" t="s">
        <v>4311</v>
      </c>
      <c r="R44" s="28" t="s">
        <v>3488</v>
      </c>
      <c r="S44" s="37" t="s">
        <v>3790</v>
      </c>
      <c r="T44" s="53" t="s">
        <v>3485</v>
      </c>
      <c r="V44" s="37">
        <v>1</v>
      </c>
      <c r="AE44" s="37" t="s">
        <v>56</v>
      </c>
      <c r="AF44" s="37" t="s">
        <v>57</v>
      </c>
      <c r="AH44" s="37">
        <v>2.2000000000000002</v>
      </c>
      <c r="AI44" s="37">
        <v>2.2000000000000002</v>
      </c>
      <c r="AN44" s="37">
        <v>86</v>
      </c>
      <c r="AO44" s="59">
        <v>0.2</v>
      </c>
      <c r="AP44" s="37">
        <f t="shared" si="0"/>
        <v>103.2</v>
      </c>
    </row>
    <row r="45" spans="1:42" x14ac:dyDescent="0.3">
      <c r="A45" s="37" t="s">
        <v>3527</v>
      </c>
      <c r="B45" s="37" t="s">
        <v>3582</v>
      </c>
      <c r="C45" s="37" t="s">
        <v>3942</v>
      </c>
      <c r="D45" s="55">
        <v>8435668030694</v>
      </c>
      <c r="E45" s="37" t="s">
        <v>4329</v>
      </c>
      <c r="F45" s="37" t="s">
        <v>3788</v>
      </c>
      <c r="G45" s="60" t="s">
        <v>3750</v>
      </c>
      <c r="H45" s="60" t="s">
        <v>3751</v>
      </c>
      <c r="I45" s="60" t="s">
        <v>3752</v>
      </c>
      <c r="J45" s="60"/>
      <c r="K45" s="60"/>
      <c r="L45" s="60" t="s">
        <v>3742</v>
      </c>
      <c r="M45" s="60" t="s">
        <v>3743</v>
      </c>
      <c r="N45" s="60"/>
      <c r="P45" s="37" t="s">
        <v>1830</v>
      </c>
      <c r="Q45" s="37" t="s">
        <v>4311</v>
      </c>
      <c r="R45" s="28" t="s">
        <v>3488</v>
      </c>
      <c r="S45" s="37" t="s">
        <v>3482</v>
      </c>
      <c r="T45" s="53" t="s">
        <v>3486</v>
      </c>
      <c r="V45" s="37">
        <v>1</v>
      </c>
      <c r="AE45" s="37" t="s">
        <v>56</v>
      </c>
      <c r="AF45" s="37" t="s">
        <v>57</v>
      </c>
      <c r="AH45" s="37">
        <v>2.2000000000000002</v>
      </c>
      <c r="AI45" s="37">
        <v>2.2000000000000002</v>
      </c>
      <c r="AN45" s="37">
        <v>98</v>
      </c>
      <c r="AO45" s="59">
        <v>0.2</v>
      </c>
      <c r="AP45" s="37">
        <f t="shared" si="0"/>
        <v>117.6</v>
      </c>
    </row>
    <row r="46" spans="1:42" x14ac:dyDescent="0.3">
      <c r="A46" s="37" t="s">
        <v>3528</v>
      </c>
      <c r="B46" s="37" t="s">
        <v>3583</v>
      </c>
      <c r="C46" s="37" t="s">
        <v>3942</v>
      </c>
      <c r="D46" s="55">
        <v>8435668030700</v>
      </c>
      <c r="E46" s="37" t="s">
        <v>4330</v>
      </c>
      <c r="F46" s="37" t="s">
        <v>3788</v>
      </c>
      <c r="G46" s="60" t="s">
        <v>3753</v>
      </c>
      <c r="H46" s="60" t="s">
        <v>3754</v>
      </c>
      <c r="I46" s="60" t="s">
        <v>3755</v>
      </c>
      <c r="J46" s="60"/>
      <c r="K46" s="60"/>
      <c r="L46" s="60" t="s">
        <v>3742</v>
      </c>
      <c r="M46" s="60" t="s">
        <v>3743</v>
      </c>
      <c r="N46" s="60"/>
      <c r="P46" s="37" t="s">
        <v>1830</v>
      </c>
      <c r="Q46" s="37" t="s">
        <v>4311</v>
      </c>
      <c r="R46" s="28" t="s">
        <v>3488</v>
      </c>
      <c r="S46" s="37" t="s">
        <v>3482</v>
      </c>
      <c r="T46" s="53" t="s">
        <v>3487</v>
      </c>
      <c r="V46" s="37">
        <v>1</v>
      </c>
      <c r="AE46" s="37" t="s">
        <v>56</v>
      </c>
      <c r="AF46" s="37" t="s">
        <v>57</v>
      </c>
      <c r="AH46" s="37">
        <v>2.2000000000000002</v>
      </c>
      <c r="AI46" s="37">
        <v>2.2000000000000002</v>
      </c>
      <c r="AN46" s="37">
        <v>98</v>
      </c>
      <c r="AO46" s="59">
        <v>0.2</v>
      </c>
      <c r="AP46" s="37">
        <f t="shared" si="0"/>
        <v>117.6</v>
      </c>
    </row>
    <row r="47" spans="1:42" x14ac:dyDescent="0.3">
      <c r="A47" s="37" t="s">
        <v>3529</v>
      </c>
      <c r="B47" s="37" t="s">
        <v>3584</v>
      </c>
      <c r="C47" s="37" t="s">
        <v>3942</v>
      </c>
      <c r="D47" s="55">
        <v>8435668030106</v>
      </c>
      <c r="E47" s="37" t="s">
        <v>4331</v>
      </c>
      <c r="F47" s="37" t="s">
        <v>3788</v>
      </c>
      <c r="G47" s="56" t="s">
        <v>3756</v>
      </c>
      <c r="H47" s="56" t="s">
        <v>3757</v>
      </c>
      <c r="I47" s="56" t="s">
        <v>3758</v>
      </c>
      <c r="J47" s="56"/>
      <c r="K47" s="56"/>
      <c r="L47" s="56" t="s">
        <v>3759</v>
      </c>
      <c r="M47" s="56" t="s">
        <v>3760</v>
      </c>
      <c r="N47" s="56"/>
      <c r="P47" s="37" t="s">
        <v>1830</v>
      </c>
      <c r="Q47" s="37" t="s">
        <v>4311</v>
      </c>
      <c r="R47" s="28" t="s">
        <v>3488</v>
      </c>
      <c r="S47" s="37" t="s">
        <v>3481</v>
      </c>
      <c r="T47" s="53" t="s">
        <v>3483</v>
      </c>
      <c r="V47" s="37">
        <v>1</v>
      </c>
      <c r="AE47" s="37" t="s">
        <v>56</v>
      </c>
      <c r="AF47" s="37" t="s">
        <v>57</v>
      </c>
      <c r="AH47" s="37">
        <v>4</v>
      </c>
      <c r="AI47" s="37">
        <v>4</v>
      </c>
      <c r="AN47" s="37">
        <v>229</v>
      </c>
      <c r="AO47" s="59">
        <v>0.2</v>
      </c>
      <c r="AP47" s="37">
        <f t="shared" si="0"/>
        <v>274.8</v>
      </c>
    </row>
    <row r="48" spans="1:42" x14ac:dyDescent="0.3">
      <c r="A48" s="37" t="s">
        <v>3530</v>
      </c>
      <c r="B48" s="37" t="s">
        <v>3585</v>
      </c>
      <c r="C48" s="37" t="s">
        <v>3942</v>
      </c>
      <c r="D48" s="55">
        <v>8435668030113</v>
      </c>
      <c r="E48" s="37" t="s">
        <v>4332</v>
      </c>
      <c r="F48" s="37" t="s">
        <v>3788</v>
      </c>
      <c r="G48" s="56" t="s">
        <v>3761</v>
      </c>
      <c r="H48" s="56" t="s">
        <v>3762</v>
      </c>
      <c r="I48" s="56" t="s">
        <v>3763</v>
      </c>
      <c r="J48" s="56"/>
      <c r="K48" s="56"/>
      <c r="L48" s="56" t="s">
        <v>3759</v>
      </c>
      <c r="M48" s="56" t="s">
        <v>3760</v>
      </c>
      <c r="N48" s="56"/>
      <c r="P48" s="37" t="s">
        <v>1830</v>
      </c>
      <c r="Q48" s="37" t="s">
        <v>4311</v>
      </c>
      <c r="R48" s="28" t="s">
        <v>3488</v>
      </c>
      <c r="S48" s="37" t="s">
        <v>3482</v>
      </c>
      <c r="T48" s="53" t="s">
        <v>3484</v>
      </c>
      <c r="V48" s="37">
        <v>1</v>
      </c>
      <c r="AE48" s="37" t="s">
        <v>56</v>
      </c>
      <c r="AF48" s="37" t="s">
        <v>57</v>
      </c>
      <c r="AH48" s="37">
        <v>4</v>
      </c>
      <c r="AI48" s="37">
        <v>4</v>
      </c>
      <c r="AN48" s="37">
        <v>296</v>
      </c>
      <c r="AO48" s="59">
        <v>0.2</v>
      </c>
      <c r="AP48" s="37">
        <f t="shared" si="0"/>
        <v>355.2</v>
      </c>
    </row>
    <row r="49" spans="1:42" x14ac:dyDescent="0.3">
      <c r="A49" s="37" t="s">
        <v>3531</v>
      </c>
      <c r="B49" s="37" t="s">
        <v>3586</v>
      </c>
      <c r="C49" s="37" t="s">
        <v>3942</v>
      </c>
      <c r="D49" s="55">
        <v>8435668030120</v>
      </c>
      <c r="E49" s="37" t="s">
        <v>4333</v>
      </c>
      <c r="F49" s="37" t="s">
        <v>3788</v>
      </c>
      <c r="G49" s="56" t="s">
        <v>3764</v>
      </c>
      <c r="H49" s="56" t="s">
        <v>3765</v>
      </c>
      <c r="I49" s="56" t="s">
        <v>3766</v>
      </c>
      <c r="J49" s="56"/>
      <c r="K49" s="56"/>
      <c r="L49" s="56" t="s">
        <v>3759</v>
      </c>
      <c r="M49" s="56" t="s">
        <v>3760</v>
      </c>
      <c r="N49" s="56"/>
      <c r="P49" s="37" t="s">
        <v>1830</v>
      </c>
      <c r="Q49" s="37" t="s">
        <v>4311</v>
      </c>
      <c r="R49" s="28" t="s">
        <v>3488</v>
      </c>
      <c r="S49" s="37" t="s">
        <v>3481</v>
      </c>
      <c r="T49" s="53" t="s">
        <v>3485</v>
      </c>
      <c r="V49" s="37">
        <v>1</v>
      </c>
      <c r="AE49" s="37" t="s">
        <v>56</v>
      </c>
      <c r="AF49" s="37" t="s">
        <v>57</v>
      </c>
      <c r="AH49" s="37">
        <v>4</v>
      </c>
      <c r="AI49" s="37">
        <v>4</v>
      </c>
      <c r="AN49" s="37">
        <v>246</v>
      </c>
      <c r="AO49" s="59">
        <v>0.2</v>
      </c>
      <c r="AP49" s="37">
        <f t="shared" si="0"/>
        <v>295.2</v>
      </c>
    </row>
    <row r="50" spans="1:42" x14ac:dyDescent="0.3">
      <c r="A50" s="37" t="s">
        <v>3532</v>
      </c>
      <c r="B50" s="37" t="s">
        <v>3587</v>
      </c>
      <c r="C50" s="37" t="s">
        <v>3942</v>
      </c>
      <c r="D50" s="55">
        <v>8435668030137</v>
      </c>
      <c r="E50" s="37" t="s">
        <v>4334</v>
      </c>
      <c r="F50" s="37" t="s">
        <v>3788</v>
      </c>
      <c r="G50" s="56" t="s">
        <v>3767</v>
      </c>
      <c r="H50" s="56" t="s">
        <v>3768</v>
      </c>
      <c r="I50" s="56" t="s">
        <v>3769</v>
      </c>
      <c r="J50" s="56"/>
      <c r="K50" s="56"/>
      <c r="L50" s="56" t="s">
        <v>3759</v>
      </c>
      <c r="M50" s="56" t="s">
        <v>3760</v>
      </c>
      <c r="N50" s="56"/>
      <c r="P50" s="37" t="s">
        <v>1830</v>
      </c>
      <c r="Q50" s="37" t="s">
        <v>4311</v>
      </c>
      <c r="R50" s="28" t="s">
        <v>3488</v>
      </c>
      <c r="S50" s="37" t="s">
        <v>3482</v>
      </c>
      <c r="T50" s="53" t="s">
        <v>3486</v>
      </c>
      <c r="V50" s="37">
        <v>1</v>
      </c>
      <c r="AE50" s="37" t="s">
        <v>56</v>
      </c>
      <c r="AF50" s="37" t="s">
        <v>57</v>
      </c>
      <c r="AH50" s="37">
        <v>4</v>
      </c>
      <c r="AI50" s="37">
        <v>4</v>
      </c>
      <c r="AN50" s="37">
        <v>296</v>
      </c>
      <c r="AO50" s="59">
        <v>0.2</v>
      </c>
      <c r="AP50" s="37">
        <f t="shared" si="0"/>
        <v>355.2</v>
      </c>
    </row>
    <row r="51" spans="1:42" x14ac:dyDescent="0.3">
      <c r="A51" s="37" t="s">
        <v>3533</v>
      </c>
      <c r="B51" s="37" t="s">
        <v>3588</v>
      </c>
      <c r="C51" s="37" t="s">
        <v>3942</v>
      </c>
      <c r="D51" s="55">
        <v>8435668030144</v>
      </c>
      <c r="E51" s="37" t="s">
        <v>4335</v>
      </c>
      <c r="F51" s="37" t="s">
        <v>3788</v>
      </c>
      <c r="G51" s="56" t="s">
        <v>3770</v>
      </c>
      <c r="H51" s="56" t="s">
        <v>3771</v>
      </c>
      <c r="I51" s="56" t="s">
        <v>3772</v>
      </c>
      <c r="J51" s="56"/>
      <c r="K51" s="56"/>
      <c r="L51" s="56" t="s">
        <v>3759</v>
      </c>
      <c r="M51" s="56" t="s">
        <v>3760</v>
      </c>
      <c r="N51" s="56"/>
      <c r="P51" s="37" t="s">
        <v>1830</v>
      </c>
      <c r="Q51" s="37" t="s">
        <v>4311</v>
      </c>
      <c r="R51" s="28" t="s">
        <v>3488</v>
      </c>
      <c r="S51" s="37" t="s">
        <v>3482</v>
      </c>
      <c r="T51" s="53" t="s">
        <v>3487</v>
      </c>
      <c r="V51" s="37">
        <v>1</v>
      </c>
      <c r="AE51" s="37" t="s">
        <v>56</v>
      </c>
      <c r="AF51" s="37" t="s">
        <v>57</v>
      </c>
      <c r="AH51" s="37">
        <v>4</v>
      </c>
      <c r="AI51" s="37">
        <v>4</v>
      </c>
      <c r="AN51" s="37">
        <v>296</v>
      </c>
      <c r="AO51" s="59">
        <v>0.2</v>
      </c>
      <c r="AP51" s="37">
        <f t="shared" si="0"/>
        <v>355.2</v>
      </c>
    </row>
    <row r="52" spans="1:42" x14ac:dyDescent="0.3">
      <c r="A52" s="37" t="s">
        <v>3534</v>
      </c>
      <c r="B52" s="37" t="s">
        <v>3589</v>
      </c>
      <c r="C52" s="37" t="s">
        <v>3942</v>
      </c>
      <c r="D52" s="55">
        <v>8435668030205</v>
      </c>
      <c r="E52" s="37" t="s">
        <v>4336</v>
      </c>
      <c r="F52" s="37" t="s">
        <v>3788</v>
      </c>
      <c r="G52" s="56" t="s">
        <v>3773</v>
      </c>
      <c r="H52" s="56" t="s">
        <v>3774</v>
      </c>
      <c r="I52" s="56" t="s">
        <v>3775</v>
      </c>
      <c r="J52" s="56"/>
      <c r="K52" s="56"/>
      <c r="L52" s="56" t="s">
        <v>3759</v>
      </c>
      <c r="M52" s="56" t="s">
        <v>3760</v>
      </c>
      <c r="N52" s="56"/>
      <c r="P52" s="37" t="s">
        <v>1830</v>
      </c>
      <c r="Q52" s="37" t="s">
        <v>4312</v>
      </c>
      <c r="R52" s="28" t="s">
        <v>3488</v>
      </c>
      <c r="S52" s="37" t="s">
        <v>3481</v>
      </c>
      <c r="T52" s="53" t="s">
        <v>3483</v>
      </c>
      <c r="V52" s="37">
        <v>1</v>
      </c>
      <c r="AE52" s="37" t="s">
        <v>56</v>
      </c>
      <c r="AF52" s="37" t="s">
        <v>57</v>
      </c>
      <c r="AH52" s="37">
        <v>4</v>
      </c>
      <c r="AI52" s="37">
        <v>4</v>
      </c>
      <c r="AN52" s="37">
        <v>333</v>
      </c>
      <c r="AO52" s="59">
        <v>0.2</v>
      </c>
      <c r="AP52" s="37">
        <f t="shared" si="0"/>
        <v>399.59999999999997</v>
      </c>
    </row>
    <row r="53" spans="1:42" x14ac:dyDescent="0.3">
      <c r="A53" s="37" t="s">
        <v>3535</v>
      </c>
      <c r="B53" s="37" t="s">
        <v>3590</v>
      </c>
      <c r="C53" s="37" t="s">
        <v>3942</v>
      </c>
      <c r="D53" s="55">
        <v>8435668030212</v>
      </c>
      <c r="E53" s="37" t="s">
        <v>4337</v>
      </c>
      <c r="F53" s="37" t="s">
        <v>3788</v>
      </c>
      <c r="G53" s="56" t="s">
        <v>3776</v>
      </c>
      <c r="H53" s="56" t="s">
        <v>3777</v>
      </c>
      <c r="I53" s="56" t="s">
        <v>3778</v>
      </c>
      <c r="J53" s="56"/>
      <c r="K53" s="56"/>
      <c r="L53" s="56" t="s">
        <v>3759</v>
      </c>
      <c r="M53" s="56" t="s">
        <v>3760</v>
      </c>
      <c r="N53" s="56"/>
      <c r="P53" s="37" t="s">
        <v>1830</v>
      </c>
      <c r="Q53" s="37" t="s">
        <v>4312</v>
      </c>
      <c r="R53" s="28" t="s">
        <v>3488</v>
      </c>
      <c r="S53" s="37" t="s">
        <v>3482</v>
      </c>
      <c r="T53" s="53" t="s">
        <v>3484</v>
      </c>
      <c r="V53" s="37">
        <v>1</v>
      </c>
      <c r="AE53" s="37" t="s">
        <v>56</v>
      </c>
      <c r="AF53" s="37" t="s">
        <v>57</v>
      </c>
      <c r="AH53" s="37">
        <v>4</v>
      </c>
      <c r="AI53" s="37">
        <v>4</v>
      </c>
      <c r="AN53" s="37">
        <v>413</v>
      </c>
      <c r="AO53" s="59">
        <v>0.2</v>
      </c>
      <c r="AP53" s="37">
        <f t="shared" si="0"/>
        <v>495.59999999999997</v>
      </c>
    </row>
    <row r="54" spans="1:42" x14ac:dyDescent="0.3">
      <c r="A54" s="37" t="s">
        <v>3536</v>
      </c>
      <c r="B54" s="37" t="s">
        <v>3591</v>
      </c>
      <c r="C54" s="37" t="s">
        <v>3942</v>
      </c>
      <c r="D54" s="55">
        <v>8435668030229</v>
      </c>
      <c r="E54" s="37" t="s">
        <v>4338</v>
      </c>
      <c r="F54" s="37" t="s">
        <v>3788</v>
      </c>
      <c r="G54" s="56" t="s">
        <v>3779</v>
      </c>
      <c r="H54" s="56" t="s">
        <v>3780</v>
      </c>
      <c r="I54" s="56" t="s">
        <v>3781</v>
      </c>
      <c r="J54" s="56"/>
      <c r="K54" s="56"/>
      <c r="L54" s="56" t="s">
        <v>3759</v>
      </c>
      <c r="M54" s="56" t="s">
        <v>3760</v>
      </c>
      <c r="N54" s="56"/>
      <c r="P54" s="37" t="s">
        <v>1830</v>
      </c>
      <c r="Q54" s="37" t="s">
        <v>4312</v>
      </c>
      <c r="R54" s="28" t="s">
        <v>3488</v>
      </c>
      <c r="S54" s="37" t="s">
        <v>3481</v>
      </c>
      <c r="T54" s="53" t="s">
        <v>3485</v>
      </c>
      <c r="V54" s="37">
        <v>1</v>
      </c>
      <c r="AE54" s="37" t="s">
        <v>56</v>
      </c>
      <c r="AF54" s="37" t="s">
        <v>57</v>
      </c>
      <c r="AH54" s="37">
        <v>4</v>
      </c>
      <c r="AI54" s="37">
        <v>4</v>
      </c>
      <c r="AN54" s="37">
        <v>355</v>
      </c>
      <c r="AO54" s="59">
        <v>0.2</v>
      </c>
      <c r="AP54" s="37">
        <f t="shared" si="0"/>
        <v>426</v>
      </c>
    </row>
    <row r="55" spans="1:42" x14ac:dyDescent="0.3">
      <c r="A55" s="37" t="s">
        <v>3537</v>
      </c>
      <c r="B55" s="37" t="s">
        <v>3592</v>
      </c>
      <c r="C55" s="37" t="s">
        <v>3942</v>
      </c>
      <c r="D55" s="55">
        <v>8435668030236</v>
      </c>
      <c r="E55" s="37" t="s">
        <v>4339</v>
      </c>
      <c r="F55" s="37" t="s">
        <v>3788</v>
      </c>
      <c r="G55" s="56" t="s">
        <v>3782</v>
      </c>
      <c r="H55" s="56" t="s">
        <v>3783</v>
      </c>
      <c r="I55" s="56" t="s">
        <v>3784</v>
      </c>
      <c r="J55" s="56"/>
      <c r="K55" s="56"/>
      <c r="L55" s="56" t="s">
        <v>3759</v>
      </c>
      <c r="M55" s="56" t="s">
        <v>3760</v>
      </c>
      <c r="N55" s="56"/>
      <c r="P55" s="37" t="s">
        <v>1830</v>
      </c>
      <c r="Q55" s="37" t="s">
        <v>4312</v>
      </c>
      <c r="R55" s="28" t="s">
        <v>3488</v>
      </c>
      <c r="S55" s="37" t="s">
        <v>3482</v>
      </c>
      <c r="T55" s="53" t="s">
        <v>3486</v>
      </c>
      <c r="V55" s="37">
        <v>1</v>
      </c>
      <c r="AE55" s="37" t="s">
        <v>56</v>
      </c>
      <c r="AF55" s="37" t="s">
        <v>57</v>
      </c>
      <c r="AH55" s="37">
        <v>4</v>
      </c>
      <c r="AI55" s="37">
        <v>4</v>
      </c>
      <c r="AN55" s="37">
        <v>413</v>
      </c>
      <c r="AO55" s="59">
        <v>0.2</v>
      </c>
      <c r="AP55" s="37">
        <f t="shared" si="0"/>
        <v>495.59999999999997</v>
      </c>
    </row>
    <row r="56" spans="1:42" x14ac:dyDescent="0.3">
      <c r="A56" s="37" t="s">
        <v>3538</v>
      </c>
      <c r="B56" s="37" t="s">
        <v>3593</v>
      </c>
      <c r="C56" s="37" t="s">
        <v>3942</v>
      </c>
      <c r="D56" s="55">
        <v>8435668030243</v>
      </c>
      <c r="E56" s="37" t="s">
        <v>4340</v>
      </c>
      <c r="F56" s="37" t="s">
        <v>3788</v>
      </c>
      <c r="G56" s="56" t="s">
        <v>3785</v>
      </c>
      <c r="H56" s="56" t="s">
        <v>3786</v>
      </c>
      <c r="I56" s="56" t="s">
        <v>3787</v>
      </c>
      <c r="J56" s="56"/>
      <c r="K56" s="56"/>
      <c r="L56" s="56" t="s">
        <v>3759</v>
      </c>
      <c r="M56" s="56" t="s">
        <v>3760</v>
      </c>
      <c r="N56" s="56"/>
      <c r="P56" s="37" t="s">
        <v>1830</v>
      </c>
      <c r="Q56" s="37" t="s">
        <v>4312</v>
      </c>
      <c r="R56" s="28" t="s">
        <v>3488</v>
      </c>
      <c r="S56" s="37" t="s">
        <v>3482</v>
      </c>
      <c r="T56" s="53" t="s">
        <v>3487</v>
      </c>
      <c r="V56" s="37">
        <v>1</v>
      </c>
      <c r="AE56" s="37" t="s">
        <v>56</v>
      </c>
      <c r="AF56" s="37" t="s">
        <v>57</v>
      </c>
      <c r="AH56" s="37">
        <v>4</v>
      </c>
      <c r="AI56" s="37">
        <v>4</v>
      </c>
      <c r="AN56" s="37">
        <v>413</v>
      </c>
      <c r="AO56" s="59">
        <v>0.2</v>
      </c>
      <c r="AP56" s="37">
        <f t="shared" si="0"/>
        <v>495.59999999999997</v>
      </c>
    </row>
    <row r="57" spans="1:42" x14ac:dyDescent="0.3">
      <c r="A57" s="37" t="s">
        <v>3867</v>
      </c>
      <c r="B57" s="37" t="s">
        <v>3791</v>
      </c>
      <c r="C57" s="37" t="s">
        <v>3941</v>
      </c>
      <c r="D57" s="55">
        <v>8435668012799</v>
      </c>
      <c r="E57" s="37" t="s">
        <v>4341</v>
      </c>
      <c r="F57" s="37" t="s">
        <v>3788</v>
      </c>
      <c r="G57" s="28"/>
      <c r="H57" s="56" t="s">
        <v>3943</v>
      </c>
      <c r="I57" s="56" t="s">
        <v>3944</v>
      </c>
      <c r="J57" s="56" t="s">
        <v>3945</v>
      </c>
      <c r="K57" s="56"/>
      <c r="L57" s="56"/>
      <c r="M57" s="56" t="s">
        <v>3946</v>
      </c>
      <c r="N57" s="56"/>
      <c r="P57" s="37" t="s">
        <v>1830</v>
      </c>
      <c r="Q57" s="37" t="s">
        <v>4311</v>
      </c>
      <c r="R57" s="28" t="s">
        <v>3488</v>
      </c>
      <c r="S57" s="37" t="s">
        <v>3481</v>
      </c>
      <c r="T57" s="53" t="s">
        <v>3483</v>
      </c>
      <c r="V57" s="37">
        <v>1</v>
      </c>
      <c r="AE57" s="37" t="s">
        <v>56</v>
      </c>
      <c r="AF57" s="37" t="s">
        <v>57</v>
      </c>
      <c r="AH57" s="37">
        <v>5.04</v>
      </c>
      <c r="AI57" s="37">
        <v>5.04</v>
      </c>
      <c r="AN57" s="37">
        <v>230</v>
      </c>
      <c r="AO57" s="59">
        <v>0.2</v>
      </c>
      <c r="AP57" s="37">
        <f t="shared" si="0"/>
        <v>276</v>
      </c>
    </row>
    <row r="58" spans="1:42" x14ac:dyDescent="0.3">
      <c r="A58" s="37" t="s">
        <v>3868</v>
      </c>
      <c r="B58" s="37" t="s">
        <v>3792</v>
      </c>
      <c r="C58" s="37" t="s">
        <v>3941</v>
      </c>
      <c r="D58" s="55">
        <v>8435668011242</v>
      </c>
      <c r="E58" s="37" t="s">
        <v>4342</v>
      </c>
      <c r="F58" s="37" t="s">
        <v>3788</v>
      </c>
      <c r="G58" s="28" t="s">
        <v>3947</v>
      </c>
      <c r="H58" s="56" t="s">
        <v>3948</v>
      </c>
      <c r="I58" s="56" t="s">
        <v>3949</v>
      </c>
      <c r="J58" s="56" t="s">
        <v>3950</v>
      </c>
      <c r="K58" s="56"/>
      <c r="L58" s="56"/>
      <c r="M58" s="56" t="s">
        <v>3951</v>
      </c>
      <c r="N58" s="56"/>
      <c r="P58" s="37" t="s">
        <v>1830</v>
      </c>
      <c r="Q58" s="37" t="s">
        <v>4311</v>
      </c>
      <c r="R58" s="28" t="s">
        <v>3488</v>
      </c>
      <c r="S58" s="37" t="s">
        <v>3790</v>
      </c>
      <c r="T58" s="53" t="s">
        <v>3483</v>
      </c>
      <c r="V58" s="37">
        <v>1</v>
      </c>
      <c r="AE58" s="37" t="s">
        <v>56</v>
      </c>
      <c r="AF58" s="37" t="s">
        <v>57</v>
      </c>
      <c r="AH58" s="37">
        <v>1.6</v>
      </c>
      <c r="AI58" s="37">
        <v>1.6</v>
      </c>
      <c r="AN58" s="37">
        <v>94</v>
      </c>
      <c r="AO58" s="59">
        <v>0.2</v>
      </c>
      <c r="AP58" s="37">
        <f t="shared" si="0"/>
        <v>112.8</v>
      </c>
    </row>
    <row r="59" spans="1:42" x14ac:dyDescent="0.3">
      <c r="A59" s="37" t="s">
        <v>3869</v>
      </c>
      <c r="B59" s="37" t="s">
        <v>3793</v>
      </c>
      <c r="C59" s="37" t="s">
        <v>3941</v>
      </c>
      <c r="D59" s="55">
        <v>8435668011365</v>
      </c>
      <c r="E59" s="37" t="s">
        <v>4343</v>
      </c>
      <c r="F59" s="37" t="s">
        <v>3788</v>
      </c>
      <c r="G59" s="28" t="s">
        <v>3952</v>
      </c>
      <c r="H59" s="56" t="s">
        <v>3953</v>
      </c>
      <c r="I59" s="56" t="s">
        <v>3954</v>
      </c>
      <c r="J59" s="56"/>
      <c r="K59" s="56"/>
      <c r="L59" s="56"/>
      <c r="M59" s="56" t="s">
        <v>3955</v>
      </c>
      <c r="N59" s="56"/>
      <c r="P59" s="37" t="s">
        <v>1830</v>
      </c>
      <c r="Q59" s="37" t="s">
        <v>4311</v>
      </c>
      <c r="R59" s="28" t="s">
        <v>3488</v>
      </c>
      <c r="S59" s="37" t="s">
        <v>3790</v>
      </c>
      <c r="T59" s="53" t="s">
        <v>3483</v>
      </c>
      <c r="V59" s="37">
        <v>1</v>
      </c>
      <c r="AE59" s="37" t="s">
        <v>56</v>
      </c>
      <c r="AF59" s="37" t="s">
        <v>57</v>
      </c>
      <c r="AH59" s="37">
        <v>1.46</v>
      </c>
      <c r="AI59" s="37">
        <v>1.46</v>
      </c>
      <c r="AN59" s="37">
        <v>128</v>
      </c>
      <c r="AO59" s="59">
        <v>0.2</v>
      </c>
      <c r="AP59" s="37">
        <f t="shared" si="0"/>
        <v>153.6</v>
      </c>
    </row>
    <row r="60" spans="1:42" x14ac:dyDescent="0.3">
      <c r="A60" s="37" t="s">
        <v>3870</v>
      </c>
      <c r="B60" s="37" t="s">
        <v>3794</v>
      </c>
      <c r="C60" s="37" t="s">
        <v>3941</v>
      </c>
      <c r="D60" s="55">
        <v>8435668012553</v>
      </c>
      <c r="E60" s="37" t="s">
        <v>4344</v>
      </c>
      <c r="F60" s="37" t="s">
        <v>3788</v>
      </c>
      <c r="G60" s="28"/>
      <c r="H60" s="56" t="s">
        <v>3956</v>
      </c>
      <c r="I60" s="56" t="s">
        <v>3957</v>
      </c>
      <c r="J60" s="56" t="s">
        <v>3958</v>
      </c>
      <c r="K60" s="56"/>
      <c r="L60" s="56"/>
      <c r="M60" s="56" t="s">
        <v>3959</v>
      </c>
      <c r="N60" s="56"/>
      <c r="P60" s="37" t="s">
        <v>1830</v>
      </c>
      <c r="Q60" s="37" t="s">
        <v>4312</v>
      </c>
      <c r="R60" s="28" t="s">
        <v>3488</v>
      </c>
      <c r="S60" s="37" t="s">
        <v>3790</v>
      </c>
      <c r="T60" s="53" t="s">
        <v>3483</v>
      </c>
      <c r="V60" s="37">
        <v>1</v>
      </c>
      <c r="AE60" s="37" t="s">
        <v>56</v>
      </c>
      <c r="AF60" s="37" t="s">
        <v>57</v>
      </c>
      <c r="AH60" s="37">
        <v>2.46</v>
      </c>
      <c r="AI60" s="37">
        <v>2.46</v>
      </c>
      <c r="AN60" s="37">
        <v>162</v>
      </c>
      <c r="AO60" s="59">
        <v>0.2</v>
      </c>
      <c r="AP60" s="37">
        <f t="shared" si="0"/>
        <v>194.4</v>
      </c>
    </row>
    <row r="61" spans="1:42" x14ac:dyDescent="0.3">
      <c r="A61" s="37" t="s">
        <v>3871</v>
      </c>
      <c r="B61" s="37" t="s">
        <v>3795</v>
      </c>
      <c r="C61" s="37" t="s">
        <v>3941</v>
      </c>
      <c r="D61" s="55">
        <v>8435668013406</v>
      </c>
      <c r="E61" s="37" t="s">
        <v>4345</v>
      </c>
      <c r="F61" s="37" t="s">
        <v>3788</v>
      </c>
      <c r="G61" s="28"/>
      <c r="H61" s="56" t="s">
        <v>3960</v>
      </c>
      <c r="I61" s="56" t="s">
        <v>3961</v>
      </c>
      <c r="J61" s="56" t="s">
        <v>3962</v>
      </c>
      <c r="K61" s="56"/>
      <c r="L61" s="56"/>
      <c r="M61" s="56" t="s">
        <v>3963</v>
      </c>
      <c r="N61" s="56"/>
      <c r="P61" s="37" t="s">
        <v>1830</v>
      </c>
      <c r="Q61" s="37" t="s">
        <v>4312</v>
      </c>
      <c r="R61" s="28" t="s">
        <v>3488</v>
      </c>
      <c r="S61" s="37" t="s">
        <v>3790</v>
      </c>
      <c r="T61" s="53" t="s">
        <v>3483</v>
      </c>
      <c r="V61" s="37">
        <v>1</v>
      </c>
      <c r="AE61" s="37" t="s">
        <v>56</v>
      </c>
      <c r="AF61" s="37" t="s">
        <v>57</v>
      </c>
      <c r="AH61" s="37">
        <v>2.94</v>
      </c>
      <c r="AI61" s="37">
        <v>2.94</v>
      </c>
      <c r="AN61" s="37">
        <v>218</v>
      </c>
      <c r="AO61" s="59">
        <v>0.2</v>
      </c>
      <c r="AP61" s="37">
        <f t="shared" si="0"/>
        <v>261.59999999999997</v>
      </c>
    </row>
    <row r="62" spans="1:42" x14ac:dyDescent="0.3">
      <c r="A62" s="37" t="s">
        <v>3872</v>
      </c>
      <c r="B62" s="37" t="s">
        <v>3796</v>
      </c>
      <c r="C62" s="37" t="s">
        <v>3941</v>
      </c>
      <c r="D62" s="55">
        <v>8435668013093</v>
      </c>
      <c r="E62" s="37" t="s">
        <v>4346</v>
      </c>
      <c r="F62" s="37" t="s">
        <v>3788</v>
      </c>
      <c r="G62" s="28"/>
      <c r="H62" s="56" t="s">
        <v>3964</v>
      </c>
      <c r="I62" s="56" t="s">
        <v>3965</v>
      </c>
      <c r="J62" s="56" t="s">
        <v>3966</v>
      </c>
      <c r="K62" s="56"/>
      <c r="L62" s="56"/>
      <c r="M62" s="56" t="s">
        <v>3967</v>
      </c>
      <c r="N62" s="56"/>
      <c r="P62" s="37" t="s">
        <v>1830</v>
      </c>
      <c r="Q62" s="37" t="s">
        <v>4312</v>
      </c>
      <c r="R62" s="28" t="s">
        <v>3488</v>
      </c>
      <c r="S62" s="37" t="s">
        <v>3481</v>
      </c>
      <c r="T62" s="53" t="s">
        <v>3483</v>
      </c>
      <c r="V62" s="37">
        <v>1</v>
      </c>
      <c r="AE62" s="37" t="s">
        <v>56</v>
      </c>
      <c r="AF62" s="37" t="s">
        <v>57</v>
      </c>
      <c r="AH62" s="37">
        <v>5.34</v>
      </c>
      <c r="AI62" s="37">
        <v>5.34</v>
      </c>
      <c r="AN62" s="37">
        <v>308</v>
      </c>
      <c r="AO62" s="59">
        <v>0.2</v>
      </c>
      <c r="AP62" s="37">
        <f t="shared" si="0"/>
        <v>369.59999999999997</v>
      </c>
    </row>
    <row r="63" spans="1:42" x14ac:dyDescent="0.3">
      <c r="A63" s="37" t="s">
        <v>3873</v>
      </c>
      <c r="B63" s="37" t="s">
        <v>3797</v>
      </c>
      <c r="C63" s="37" t="s">
        <v>3941</v>
      </c>
      <c r="D63" s="55">
        <v>8435668013222</v>
      </c>
      <c r="E63" s="37" t="s">
        <v>4347</v>
      </c>
      <c r="F63" s="37" t="s">
        <v>3788</v>
      </c>
      <c r="G63" s="28"/>
      <c r="H63" s="56" t="s">
        <v>3968</v>
      </c>
      <c r="I63" s="56" t="s">
        <v>3969</v>
      </c>
      <c r="J63" s="56" t="s">
        <v>3970</v>
      </c>
      <c r="K63" s="56"/>
      <c r="L63" s="56"/>
      <c r="M63" s="56" t="s">
        <v>3971</v>
      </c>
      <c r="N63" s="56"/>
      <c r="P63" s="37" t="s">
        <v>1830</v>
      </c>
      <c r="Q63" s="37" t="s">
        <v>4312</v>
      </c>
      <c r="R63" s="28" t="s">
        <v>3488</v>
      </c>
      <c r="S63" s="37" t="s">
        <v>3481</v>
      </c>
      <c r="T63" s="53" t="s">
        <v>3483</v>
      </c>
      <c r="V63" s="37">
        <v>1</v>
      </c>
      <c r="AE63" s="37" t="s">
        <v>56</v>
      </c>
      <c r="AF63" s="37" t="s">
        <v>57</v>
      </c>
      <c r="AH63" s="37">
        <v>5.04</v>
      </c>
      <c r="AI63" s="37">
        <v>5.04</v>
      </c>
      <c r="AN63" s="37">
        <v>256</v>
      </c>
      <c r="AO63" s="59">
        <v>0.2</v>
      </c>
      <c r="AP63" s="37">
        <f t="shared" si="0"/>
        <v>307.2</v>
      </c>
    </row>
    <row r="64" spans="1:42" x14ac:dyDescent="0.3">
      <c r="A64" s="37" t="s">
        <v>3874</v>
      </c>
      <c r="B64" s="37" t="s">
        <v>3798</v>
      </c>
      <c r="C64" s="37" t="s">
        <v>3941</v>
      </c>
      <c r="D64" s="55">
        <v>8435668013734</v>
      </c>
      <c r="E64" s="37" t="s">
        <v>4348</v>
      </c>
      <c r="F64" s="37" t="s">
        <v>3788</v>
      </c>
      <c r="G64" s="28"/>
      <c r="H64" s="56" t="s">
        <v>3972</v>
      </c>
      <c r="I64" s="56" t="s">
        <v>3973</v>
      </c>
      <c r="J64" s="56" t="s">
        <v>3974</v>
      </c>
      <c r="K64" s="56"/>
      <c r="L64" s="56"/>
      <c r="M64" s="56" t="s">
        <v>3975</v>
      </c>
      <c r="N64" s="56"/>
      <c r="P64" s="37" t="s">
        <v>1830</v>
      </c>
      <c r="Q64" s="37" t="s">
        <v>4311</v>
      </c>
      <c r="R64" s="28" t="s">
        <v>3488</v>
      </c>
      <c r="S64" s="37" t="s">
        <v>3481</v>
      </c>
      <c r="T64" s="53" t="s">
        <v>3483</v>
      </c>
      <c r="V64" s="37">
        <v>1</v>
      </c>
      <c r="AE64" s="37" t="s">
        <v>56</v>
      </c>
      <c r="AF64" s="37" t="s">
        <v>57</v>
      </c>
      <c r="AH64" s="37">
        <v>4.26</v>
      </c>
      <c r="AI64" s="37">
        <v>4.26</v>
      </c>
      <c r="AN64" s="37">
        <v>251</v>
      </c>
      <c r="AO64" s="59">
        <v>0.2</v>
      </c>
      <c r="AP64" s="37">
        <f t="shared" si="0"/>
        <v>301.2</v>
      </c>
    </row>
    <row r="65" spans="1:42" x14ac:dyDescent="0.3">
      <c r="A65" s="37" t="s">
        <v>3875</v>
      </c>
      <c r="B65" s="37" t="s">
        <v>3799</v>
      </c>
      <c r="C65" s="37" t="s">
        <v>3941</v>
      </c>
      <c r="D65" s="55">
        <v>8435668013345</v>
      </c>
      <c r="E65" s="37" t="s">
        <v>4349</v>
      </c>
      <c r="F65" s="37" t="s">
        <v>3788</v>
      </c>
      <c r="G65" s="28"/>
      <c r="H65" s="56" t="s">
        <v>3976</v>
      </c>
      <c r="I65" s="56" t="s">
        <v>3977</v>
      </c>
      <c r="J65" s="56"/>
      <c r="K65" s="56"/>
      <c r="L65" s="56"/>
      <c r="M65" s="56" t="s">
        <v>3975</v>
      </c>
      <c r="N65" s="56"/>
      <c r="P65" s="37" t="s">
        <v>1830</v>
      </c>
      <c r="Q65" s="37" t="s">
        <v>4311</v>
      </c>
      <c r="R65" s="28" t="s">
        <v>3488</v>
      </c>
      <c r="S65" s="37" t="s">
        <v>3481</v>
      </c>
      <c r="T65" s="53" t="s">
        <v>3483</v>
      </c>
      <c r="V65" s="37">
        <v>1</v>
      </c>
      <c r="AE65" s="37" t="s">
        <v>56</v>
      </c>
      <c r="AF65" s="37" t="s">
        <v>57</v>
      </c>
      <c r="AH65" s="37">
        <v>4.16</v>
      </c>
      <c r="AI65" s="37">
        <v>4.16</v>
      </c>
      <c r="AN65" s="37">
        <v>251</v>
      </c>
      <c r="AO65" s="59">
        <v>0.2</v>
      </c>
      <c r="AP65" s="37">
        <f t="shared" si="0"/>
        <v>301.2</v>
      </c>
    </row>
    <row r="66" spans="1:42" x14ac:dyDescent="0.3">
      <c r="A66" s="37" t="s">
        <v>3876</v>
      </c>
      <c r="B66" s="37" t="s">
        <v>3800</v>
      </c>
      <c r="C66" s="37" t="s">
        <v>3941</v>
      </c>
      <c r="D66" s="55">
        <v>8435668013253</v>
      </c>
      <c r="E66" s="37" t="s">
        <v>4350</v>
      </c>
      <c r="F66" s="37" t="s">
        <v>3788</v>
      </c>
      <c r="G66" s="28"/>
      <c r="H66" s="56" t="s">
        <v>3978</v>
      </c>
      <c r="I66" s="56" t="s">
        <v>3979</v>
      </c>
      <c r="J66" s="56" t="s">
        <v>3980</v>
      </c>
      <c r="K66" s="56"/>
      <c r="L66" s="56"/>
      <c r="M66" s="56" t="s">
        <v>3981</v>
      </c>
      <c r="N66" s="56"/>
      <c r="P66" s="37" t="s">
        <v>1830</v>
      </c>
      <c r="Q66" s="37" t="s">
        <v>4312</v>
      </c>
      <c r="R66" s="28" t="s">
        <v>3488</v>
      </c>
      <c r="S66" s="37" t="s">
        <v>3481</v>
      </c>
      <c r="T66" s="53" t="s">
        <v>3483</v>
      </c>
      <c r="V66" s="37">
        <v>1</v>
      </c>
      <c r="AE66" s="37" t="s">
        <v>56</v>
      </c>
      <c r="AF66" s="37" t="s">
        <v>57</v>
      </c>
      <c r="AH66" s="37">
        <v>5.0999999999999996</v>
      </c>
      <c r="AI66" s="37">
        <v>5.0999999999999996</v>
      </c>
      <c r="AN66" s="37">
        <v>334</v>
      </c>
      <c r="AO66" s="59">
        <v>0.2</v>
      </c>
      <c r="AP66" s="37">
        <f t="shared" si="0"/>
        <v>400.8</v>
      </c>
    </row>
    <row r="67" spans="1:42" x14ac:dyDescent="0.3">
      <c r="A67" s="37" t="s">
        <v>3877</v>
      </c>
      <c r="B67" s="37" t="s">
        <v>3801</v>
      </c>
      <c r="C67" s="37" t="s">
        <v>3941</v>
      </c>
      <c r="D67" s="55">
        <v>8435668012393</v>
      </c>
      <c r="E67" s="37" t="s">
        <v>4351</v>
      </c>
      <c r="F67" s="37" t="s">
        <v>3788</v>
      </c>
      <c r="G67" s="28"/>
      <c r="H67" s="56" t="s">
        <v>3982</v>
      </c>
      <c r="I67" s="56" t="s">
        <v>3983</v>
      </c>
      <c r="J67" s="56"/>
      <c r="K67" s="56"/>
      <c r="L67" s="56"/>
      <c r="M67" s="56" t="s">
        <v>3981</v>
      </c>
      <c r="N67" s="56"/>
      <c r="P67" s="37" t="s">
        <v>1830</v>
      </c>
      <c r="Q67" s="37" t="s">
        <v>4312</v>
      </c>
      <c r="R67" s="28" t="s">
        <v>3488</v>
      </c>
      <c r="S67" s="37" t="s">
        <v>3481</v>
      </c>
      <c r="T67" s="53" t="s">
        <v>3483</v>
      </c>
      <c r="V67" s="37">
        <v>1</v>
      </c>
      <c r="AE67" s="37" t="s">
        <v>56</v>
      </c>
      <c r="AF67" s="37" t="s">
        <v>57</v>
      </c>
      <c r="AH67" s="37">
        <v>5</v>
      </c>
      <c r="AI67" s="37">
        <v>5</v>
      </c>
      <c r="AN67" s="37">
        <v>334</v>
      </c>
      <c r="AO67" s="59">
        <v>0.2</v>
      </c>
      <c r="AP67" s="37">
        <f t="shared" ref="AP67:AP130" si="1">AN67*1.2</f>
        <v>400.8</v>
      </c>
    </row>
    <row r="68" spans="1:42" x14ac:dyDescent="0.3">
      <c r="A68" s="37" t="s">
        <v>3878</v>
      </c>
      <c r="B68" s="37" t="s">
        <v>3802</v>
      </c>
      <c r="C68" s="37" t="s">
        <v>3941</v>
      </c>
      <c r="D68" s="55">
        <v>8435668011426</v>
      </c>
      <c r="E68" s="37" t="s">
        <v>4352</v>
      </c>
      <c r="F68" s="37" t="s">
        <v>3788</v>
      </c>
      <c r="G68" s="28"/>
      <c r="H68" s="56" t="s">
        <v>3984</v>
      </c>
      <c r="I68" s="56" t="s">
        <v>3985</v>
      </c>
      <c r="J68" s="56" t="s">
        <v>3986</v>
      </c>
      <c r="K68" s="56"/>
      <c r="L68" s="56"/>
      <c r="M68" s="56" t="s">
        <v>3987</v>
      </c>
      <c r="N68" s="56"/>
      <c r="P68" s="37" t="s">
        <v>1830</v>
      </c>
      <c r="Q68" s="37" t="s">
        <v>4311</v>
      </c>
      <c r="R68" s="28" t="s">
        <v>3488</v>
      </c>
      <c r="S68" s="37" t="s">
        <v>3790</v>
      </c>
      <c r="T68" s="53" t="s">
        <v>3483</v>
      </c>
      <c r="V68" s="37">
        <v>1</v>
      </c>
      <c r="AE68" s="37" t="s">
        <v>56</v>
      </c>
      <c r="AF68" s="37" t="s">
        <v>57</v>
      </c>
      <c r="AH68" s="37">
        <v>1.48</v>
      </c>
      <c r="AI68" s="37">
        <v>1.48</v>
      </c>
      <c r="AN68" s="37">
        <v>161</v>
      </c>
      <c r="AO68" s="59">
        <v>0.2</v>
      </c>
      <c r="AP68" s="37">
        <f t="shared" si="1"/>
        <v>193.2</v>
      </c>
    </row>
    <row r="69" spans="1:42" x14ac:dyDescent="0.3">
      <c r="A69" s="37" t="s">
        <v>3879</v>
      </c>
      <c r="B69" s="37" t="s">
        <v>3803</v>
      </c>
      <c r="C69" s="37" t="s">
        <v>3941</v>
      </c>
      <c r="D69" s="55">
        <v>8435668012959</v>
      </c>
      <c r="E69" s="37" t="s">
        <v>4353</v>
      </c>
      <c r="F69" s="37" t="s">
        <v>3788</v>
      </c>
      <c r="G69" s="28"/>
      <c r="H69" s="56" t="s">
        <v>3988</v>
      </c>
      <c r="I69" s="56" t="s">
        <v>3989</v>
      </c>
      <c r="J69" s="56" t="s">
        <v>3990</v>
      </c>
      <c r="K69" s="56"/>
      <c r="L69" s="56"/>
      <c r="M69" s="56" t="s">
        <v>3946</v>
      </c>
      <c r="N69" s="56"/>
      <c r="P69" s="37" t="s">
        <v>1830</v>
      </c>
      <c r="Q69" s="37" t="s">
        <v>4311</v>
      </c>
      <c r="R69" s="28" t="s">
        <v>3488</v>
      </c>
      <c r="S69" s="37" t="s">
        <v>3481</v>
      </c>
      <c r="T69" s="53" t="s">
        <v>279</v>
      </c>
      <c r="V69" s="37">
        <v>1</v>
      </c>
      <c r="AE69" s="37" t="s">
        <v>56</v>
      </c>
      <c r="AF69" s="37" t="s">
        <v>57</v>
      </c>
      <c r="AH69" s="37">
        <v>5.04</v>
      </c>
      <c r="AI69" s="37">
        <v>5.04</v>
      </c>
      <c r="AN69" s="37">
        <v>256</v>
      </c>
      <c r="AO69" s="59">
        <v>0.2</v>
      </c>
      <c r="AP69" s="37">
        <f t="shared" si="1"/>
        <v>307.2</v>
      </c>
    </row>
    <row r="70" spans="1:42" x14ac:dyDescent="0.3">
      <c r="A70" s="37" t="s">
        <v>3880</v>
      </c>
      <c r="B70" s="37" t="s">
        <v>3804</v>
      </c>
      <c r="C70" s="37" t="s">
        <v>3941</v>
      </c>
      <c r="D70" s="55">
        <v>8435668011273</v>
      </c>
      <c r="E70" s="37" t="s">
        <v>4354</v>
      </c>
      <c r="F70" s="37" t="s">
        <v>3788</v>
      </c>
      <c r="G70" s="28"/>
      <c r="H70" s="56" t="s">
        <v>3991</v>
      </c>
      <c r="I70" s="56" t="s">
        <v>3992</v>
      </c>
      <c r="J70" s="56" t="s">
        <v>3993</v>
      </c>
      <c r="K70" s="56"/>
      <c r="L70" s="56"/>
      <c r="M70" s="56" t="s">
        <v>3951</v>
      </c>
      <c r="N70" s="56"/>
      <c r="P70" s="37" t="s">
        <v>1830</v>
      </c>
      <c r="Q70" s="37" t="s">
        <v>4311</v>
      </c>
      <c r="R70" s="28" t="s">
        <v>3488</v>
      </c>
      <c r="S70" s="37" t="s">
        <v>3790</v>
      </c>
      <c r="T70" s="53" t="s">
        <v>279</v>
      </c>
      <c r="V70" s="37">
        <v>1</v>
      </c>
      <c r="AE70" s="37" t="s">
        <v>56</v>
      </c>
      <c r="AF70" s="37" t="s">
        <v>57</v>
      </c>
      <c r="AH70" s="37">
        <v>1.6</v>
      </c>
      <c r="AI70" s="37">
        <v>1.6</v>
      </c>
      <c r="AN70" s="37">
        <v>97</v>
      </c>
      <c r="AO70" s="59">
        <v>0.2</v>
      </c>
      <c r="AP70" s="37">
        <f t="shared" si="1"/>
        <v>116.39999999999999</v>
      </c>
    </row>
    <row r="71" spans="1:42" x14ac:dyDescent="0.3">
      <c r="A71" s="37" t="s">
        <v>3881</v>
      </c>
      <c r="B71" s="37" t="s">
        <v>3805</v>
      </c>
      <c r="C71" s="37" t="s">
        <v>3941</v>
      </c>
      <c r="D71" s="55">
        <v>8435668011396</v>
      </c>
      <c r="E71" s="37" t="s">
        <v>4355</v>
      </c>
      <c r="F71" s="37" t="s">
        <v>3788</v>
      </c>
      <c r="G71" s="28"/>
      <c r="H71" s="56" t="s">
        <v>3994</v>
      </c>
      <c r="I71" s="56" t="s">
        <v>3995</v>
      </c>
      <c r="J71" s="56" t="s">
        <v>3996</v>
      </c>
      <c r="K71" s="56"/>
      <c r="L71" s="56"/>
      <c r="M71" s="56" t="s">
        <v>3955</v>
      </c>
      <c r="N71" s="56"/>
      <c r="P71" s="37" t="s">
        <v>1830</v>
      </c>
      <c r="Q71" s="37" t="s">
        <v>4311</v>
      </c>
      <c r="R71" s="28" t="s">
        <v>3488</v>
      </c>
      <c r="S71" s="37" t="s">
        <v>3790</v>
      </c>
      <c r="T71" s="53" t="s">
        <v>279</v>
      </c>
      <c r="V71" s="37">
        <v>1</v>
      </c>
      <c r="AE71" s="37" t="s">
        <v>56</v>
      </c>
      <c r="AF71" s="37" t="s">
        <v>57</v>
      </c>
      <c r="AH71" s="37">
        <v>1.46</v>
      </c>
      <c r="AI71" s="37">
        <v>1.46</v>
      </c>
      <c r="AN71" s="37">
        <v>128</v>
      </c>
      <c r="AO71" s="59">
        <v>0.2</v>
      </c>
      <c r="AP71" s="37">
        <f t="shared" si="1"/>
        <v>153.6</v>
      </c>
    </row>
    <row r="72" spans="1:42" x14ac:dyDescent="0.3">
      <c r="A72" s="37" t="s">
        <v>3882</v>
      </c>
      <c r="B72" s="37" t="s">
        <v>3806</v>
      </c>
      <c r="C72" s="37" t="s">
        <v>3941</v>
      </c>
      <c r="D72" s="55">
        <v>8435668012836</v>
      </c>
      <c r="E72" s="37" t="s">
        <v>4356</v>
      </c>
      <c r="F72" s="37" t="s">
        <v>3788</v>
      </c>
      <c r="G72" s="28"/>
      <c r="H72" s="56" t="s">
        <v>3997</v>
      </c>
      <c r="I72" s="56" t="s">
        <v>3998</v>
      </c>
      <c r="J72" s="56" t="s">
        <v>3999</v>
      </c>
      <c r="K72" s="56"/>
      <c r="L72" s="56"/>
      <c r="M72" s="56" t="s">
        <v>3959</v>
      </c>
      <c r="N72" s="56"/>
      <c r="P72" s="37" t="s">
        <v>1830</v>
      </c>
      <c r="Q72" s="37" t="s">
        <v>4312</v>
      </c>
      <c r="R72" s="28" t="s">
        <v>3488</v>
      </c>
      <c r="S72" s="37" t="s">
        <v>3790</v>
      </c>
      <c r="T72" s="53" t="s">
        <v>279</v>
      </c>
      <c r="V72" s="37">
        <v>1</v>
      </c>
      <c r="AE72" s="37" t="s">
        <v>56</v>
      </c>
      <c r="AF72" s="37" t="s">
        <v>57</v>
      </c>
      <c r="AH72" s="37">
        <v>1.46</v>
      </c>
      <c r="AI72" s="37">
        <v>1.46</v>
      </c>
      <c r="AN72" s="37">
        <v>169</v>
      </c>
      <c r="AO72" s="59">
        <v>0.2</v>
      </c>
      <c r="AP72" s="37">
        <f t="shared" si="1"/>
        <v>202.79999999999998</v>
      </c>
    </row>
    <row r="73" spans="1:42" x14ac:dyDescent="0.3">
      <c r="A73" s="37" t="s">
        <v>3883</v>
      </c>
      <c r="B73" s="37" t="s">
        <v>3807</v>
      </c>
      <c r="C73" s="37" t="s">
        <v>3941</v>
      </c>
      <c r="D73" s="55">
        <v>8435668013598</v>
      </c>
      <c r="E73" s="37" t="s">
        <v>4357</v>
      </c>
      <c r="F73" s="37" t="s">
        <v>3788</v>
      </c>
      <c r="G73" s="28"/>
      <c r="H73" s="56" t="s">
        <v>4000</v>
      </c>
      <c r="I73" s="56" t="s">
        <v>4001</v>
      </c>
      <c r="J73" s="56" t="s">
        <v>4002</v>
      </c>
      <c r="K73" s="56"/>
      <c r="L73" s="56"/>
      <c r="M73" s="56" t="s">
        <v>3963</v>
      </c>
      <c r="N73" s="56"/>
      <c r="P73" s="37" t="s">
        <v>1830</v>
      </c>
      <c r="Q73" s="37" t="s">
        <v>4312</v>
      </c>
      <c r="R73" s="28" t="s">
        <v>3488</v>
      </c>
      <c r="S73" s="37" t="s">
        <v>3790</v>
      </c>
      <c r="T73" s="53" t="s">
        <v>279</v>
      </c>
      <c r="V73" s="37">
        <v>1</v>
      </c>
      <c r="AE73" s="37" t="s">
        <v>56</v>
      </c>
      <c r="AF73" s="37" t="s">
        <v>57</v>
      </c>
      <c r="AH73" s="37">
        <v>1.46</v>
      </c>
      <c r="AI73" s="37">
        <v>1.46</v>
      </c>
      <c r="AN73" s="37">
        <v>230</v>
      </c>
      <c r="AO73" s="59">
        <v>0.2</v>
      </c>
      <c r="AP73" s="37">
        <f t="shared" si="1"/>
        <v>276</v>
      </c>
    </row>
    <row r="74" spans="1:42" x14ac:dyDescent="0.3">
      <c r="A74" s="37" t="s">
        <v>3884</v>
      </c>
      <c r="B74" s="37" t="s">
        <v>3808</v>
      </c>
      <c r="C74" s="37" t="s">
        <v>3941</v>
      </c>
      <c r="D74" s="55">
        <v>8435668013192</v>
      </c>
      <c r="E74" s="37" t="s">
        <v>4358</v>
      </c>
      <c r="F74" s="37" t="s">
        <v>3788</v>
      </c>
      <c r="G74" s="28"/>
      <c r="H74" s="56" t="s">
        <v>4003</v>
      </c>
      <c r="I74" s="56" t="s">
        <v>4004</v>
      </c>
      <c r="J74" s="56" t="s">
        <v>4005</v>
      </c>
      <c r="K74" s="56"/>
      <c r="L74" s="56"/>
      <c r="M74" s="56" t="s">
        <v>3967</v>
      </c>
      <c r="N74" s="56"/>
      <c r="P74" s="37" t="s">
        <v>1830</v>
      </c>
      <c r="Q74" s="37" t="s">
        <v>4312</v>
      </c>
      <c r="R74" s="28" t="s">
        <v>3488</v>
      </c>
      <c r="S74" s="37" t="s">
        <v>3481</v>
      </c>
      <c r="T74" s="53" t="s">
        <v>279</v>
      </c>
      <c r="V74" s="37">
        <v>1</v>
      </c>
      <c r="AE74" s="37" t="s">
        <v>56</v>
      </c>
      <c r="AF74" s="37" t="s">
        <v>57</v>
      </c>
      <c r="AH74" s="37">
        <v>1.46</v>
      </c>
      <c r="AI74" s="37">
        <v>1.46</v>
      </c>
      <c r="AN74" s="37">
        <v>334</v>
      </c>
      <c r="AO74" s="59">
        <v>0.2</v>
      </c>
      <c r="AP74" s="37">
        <f t="shared" si="1"/>
        <v>400.8</v>
      </c>
    </row>
    <row r="75" spans="1:42" x14ac:dyDescent="0.3">
      <c r="A75" s="37" t="s">
        <v>3885</v>
      </c>
      <c r="B75" s="37" t="s">
        <v>3809</v>
      </c>
      <c r="C75" s="37" t="s">
        <v>3941</v>
      </c>
      <c r="D75" s="55">
        <v>8435668013246</v>
      </c>
      <c r="E75" s="37" t="s">
        <v>4359</v>
      </c>
      <c r="F75" s="37" t="s">
        <v>3788</v>
      </c>
      <c r="G75" s="28"/>
      <c r="H75" s="56" t="s">
        <v>4006</v>
      </c>
      <c r="I75" s="56" t="s">
        <v>4007</v>
      </c>
      <c r="J75" s="56" t="s">
        <v>4008</v>
      </c>
      <c r="K75" s="56"/>
      <c r="L75" s="56"/>
      <c r="M75" s="56" t="s">
        <v>3971</v>
      </c>
      <c r="N75" s="56"/>
      <c r="P75" s="37" t="s">
        <v>1830</v>
      </c>
      <c r="Q75" s="37" t="s">
        <v>4312</v>
      </c>
      <c r="R75" s="28" t="s">
        <v>3488</v>
      </c>
      <c r="S75" s="37" t="s">
        <v>3481</v>
      </c>
      <c r="T75" s="53" t="s">
        <v>279</v>
      </c>
      <c r="V75" s="37">
        <v>1</v>
      </c>
      <c r="AE75" s="37" t="s">
        <v>56</v>
      </c>
      <c r="AF75" s="37" t="s">
        <v>57</v>
      </c>
      <c r="AH75" s="37">
        <v>1.46</v>
      </c>
      <c r="AI75" s="37">
        <v>1.46</v>
      </c>
      <c r="AN75" s="37">
        <v>308</v>
      </c>
      <c r="AO75" s="59">
        <v>0.2</v>
      </c>
      <c r="AP75" s="37">
        <f t="shared" si="1"/>
        <v>369.59999999999997</v>
      </c>
    </row>
    <row r="76" spans="1:42" x14ac:dyDescent="0.3">
      <c r="A76" s="37" t="s">
        <v>3886</v>
      </c>
      <c r="B76" s="37" t="s">
        <v>3810</v>
      </c>
      <c r="C76" s="37" t="s">
        <v>3941</v>
      </c>
      <c r="D76" s="55">
        <v>8435668013796</v>
      </c>
      <c r="E76" s="37" t="s">
        <v>4360</v>
      </c>
      <c r="F76" s="37" t="s">
        <v>3788</v>
      </c>
      <c r="G76" s="28"/>
      <c r="H76" s="56" t="s">
        <v>4009</v>
      </c>
      <c r="I76" s="56" t="s">
        <v>4010</v>
      </c>
      <c r="J76" s="56" t="s">
        <v>4011</v>
      </c>
      <c r="K76" s="56"/>
      <c r="L76" s="56"/>
      <c r="M76" s="56" t="s">
        <v>3975</v>
      </c>
      <c r="N76" s="56"/>
      <c r="P76" s="37" t="s">
        <v>1830</v>
      </c>
      <c r="Q76" s="37" t="s">
        <v>4311</v>
      </c>
      <c r="R76" s="28" t="s">
        <v>3488</v>
      </c>
      <c r="S76" s="37" t="s">
        <v>3481</v>
      </c>
      <c r="T76" s="53" t="s">
        <v>279</v>
      </c>
      <c r="V76" s="37">
        <v>1</v>
      </c>
      <c r="AE76" s="37" t="s">
        <v>56</v>
      </c>
      <c r="AF76" s="37" t="s">
        <v>57</v>
      </c>
      <c r="AH76" s="37">
        <v>1.46</v>
      </c>
      <c r="AI76" s="37">
        <v>1.46</v>
      </c>
      <c r="AN76" s="37">
        <v>277</v>
      </c>
      <c r="AO76" s="59">
        <v>0.2</v>
      </c>
      <c r="AP76" s="37">
        <f t="shared" si="1"/>
        <v>332.4</v>
      </c>
    </row>
    <row r="77" spans="1:42" x14ac:dyDescent="0.3">
      <c r="A77" s="37" t="s">
        <v>3887</v>
      </c>
      <c r="B77" s="37" t="s">
        <v>3811</v>
      </c>
      <c r="C77" s="37" t="s">
        <v>3941</v>
      </c>
      <c r="D77" s="55">
        <v>8435668013642</v>
      </c>
      <c r="E77" s="37" t="s">
        <v>4361</v>
      </c>
      <c r="F77" s="37" t="s">
        <v>3788</v>
      </c>
      <c r="G77" s="28"/>
      <c r="H77" s="56" t="s">
        <v>4012</v>
      </c>
      <c r="I77" s="56" t="s">
        <v>4013</v>
      </c>
      <c r="J77" s="56"/>
      <c r="K77" s="56"/>
      <c r="L77" s="56"/>
      <c r="M77" s="56" t="s">
        <v>3975</v>
      </c>
      <c r="N77" s="56"/>
      <c r="P77" s="37" t="s">
        <v>1830</v>
      </c>
      <c r="Q77" s="37" t="s">
        <v>4311</v>
      </c>
      <c r="R77" s="28" t="s">
        <v>3488</v>
      </c>
      <c r="S77" s="37" t="s">
        <v>3481</v>
      </c>
      <c r="T77" s="53" t="s">
        <v>279</v>
      </c>
      <c r="V77" s="37">
        <v>1</v>
      </c>
      <c r="AE77" s="37" t="s">
        <v>56</v>
      </c>
      <c r="AF77" s="37" t="s">
        <v>57</v>
      </c>
      <c r="AH77" s="37">
        <v>1.46</v>
      </c>
      <c r="AI77" s="37">
        <v>1.46</v>
      </c>
      <c r="AN77" s="37">
        <v>277</v>
      </c>
      <c r="AO77" s="59">
        <v>0.2</v>
      </c>
      <c r="AP77" s="37">
        <f t="shared" si="1"/>
        <v>332.4</v>
      </c>
    </row>
    <row r="78" spans="1:42" x14ac:dyDescent="0.3">
      <c r="A78" s="37" t="s">
        <v>3888</v>
      </c>
      <c r="B78" s="37" t="s">
        <v>3812</v>
      </c>
      <c r="C78" s="37" t="s">
        <v>3941</v>
      </c>
      <c r="D78" s="55">
        <v>8435668013567</v>
      </c>
      <c r="E78" s="37" t="s">
        <v>4362</v>
      </c>
      <c r="F78" s="37" t="s">
        <v>3788</v>
      </c>
      <c r="G78" s="28"/>
      <c r="H78" s="56" t="s">
        <v>4014</v>
      </c>
      <c r="I78" s="56" t="s">
        <v>4015</v>
      </c>
      <c r="J78" s="56" t="s">
        <v>4016</v>
      </c>
      <c r="K78" s="56"/>
      <c r="L78" s="56"/>
      <c r="M78" s="56" t="s">
        <v>3981</v>
      </c>
      <c r="N78" s="56"/>
      <c r="P78" s="37" t="s">
        <v>1830</v>
      </c>
      <c r="Q78" s="37" t="s">
        <v>4312</v>
      </c>
      <c r="R78" s="28" t="s">
        <v>3488</v>
      </c>
      <c r="S78" s="37" t="s">
        <v>3481</v>
      </c>
      <c r="T78" s="53" t="s">
        <v>279</v>
      </c>
      <c r="V78" s="37">
        <v>1</v>
      </c>
      <c r="AE78" s="37" t="s">
        <v>56</v>
      </c>
      <c r="AF78" s="37" t="s">
        <v>57</v>
      </c>
      <c r="AH78" s="37">
        <v>1.46</v>
      </c>
      <c r="AI78" s="37">
        <v>1.46</v>
      </c>
      <c r="AN78" s="37">
        <v>358</v>
      </c>
      <c r="AO78" s="59">
        <v>0.2</v>
      </c>
      <c r="AP78" s="37">
        <f t="shared" si="1"/>
        <v>429.59999999999997</v>
      </c>
    </row>
    <row r="79" spans="1:42" x14ac:dyDescent="0.3">
      <c r="A79" s="37" t="s">
        <v>3889</v>
      </c>
      <c r="B79" s="37" t="s">
        <v>3813</v>
      </c>
      <c r="C79" s="37" t="s">
        <v>3941</v>
      </c>
      <c r="D79" s="55">
        <v>8435668012645</v>
      </c>
      <c r="E79" s="37" t="s">
        <v>4363</v>
      </c>
      <c r="F79" s="37" t="s">
        <v>3788</v>
      </c>
      <c r="G79" s="28"/>
      <c r="H79" s="56" t="s">
        <v>4017</v>
      </c>
      <c r="I79" s="56" t="s">
        <v>4018</v>
      </c>
      <c r="J79" s="56"/>
      <c r="K79" s="56"/>
      <c r="L79" s="56"/>
      <c r="M79" s="56" t="s">
        <v>3981</v>
      </c>
      <c r="N79" s="56"/>
      <c r="P79" s="37" t="s">
        <v>1830</v>
      </c>
      <c r="Q79" s="37" t="s">
        <v>4312</v>
      </c>
      <c r="R79" s="28" t="s">
        <v>3488</v>
      </c>
      <c r="S79" s="37" t="s">
        <v>3481</v>
      </c>
      <c r="T79" s="53" t="s">
        <v>279</v>
      </c>
      <c r="V79" s="37">
        <v>1</v>
      </c>
      <c r="AE79" s="37" t="s">
        <v>56</v>
      </c>
      <c r="AF79" s="37" t="s">
        <v>57</v>
      </c>
      <c r="AH79" s="37">
        <v>1.46</v>
      </c>
      <c r="AI79" s="37">
        <v>1.46</v>
      </c>
      <c r="AN79" s="37">
        <v>358</v>
      </c>
      <c r="AO79" s="59">
        <v>0.2</v>
      </c>
      <c r="AP79" s="37">
        <f t="shared" si="1"/>
        <v>429.59999999999997</v>
      </c>
    </row>
    <row r="80" spans="1:42" x14ac:dyDescent="0.3">
      <c r="A80" s="37" t="s">
        <v>3890</v>
      </c>
      <c r="B80" s="37" t="s">
        <v>3814</v>
      </c>
      <c r="C80" s="37" t="s">
        <v>3941</v>
      </c>
      <c r="D80" s="55">
        <v>8435668011457</v>
      </c>
      <c r="E80" s="37" t="s">
        <v>4364</v>
      </c>
      <c r="F80" s="37" t="s">
        <v>3788</v>
      </c>
      <c r="G80" s="28"/>
      <c r="H80" s="56" t="s">
        <v>4019</v>
      </c>
      <c r="I80" s="56" t="s">
        <v>4020</v>
      </c>
      <c r="J80" s="56" t="s">
        <v>4021</v>
      </c>
      <c r="K80" s="56"/>
      <c r="L80" s="56"/>
      <c r="M80" s="56" t="s">
        <v>3987</v>
      </c>
      <c r="N80" s="56"/>
      <c r="P80" s="37" t="s">
        <v>1830</v>
      </c>
      <c r="Q80" s="37" t="s">
        <v>4311</v>
      </c>
      <c r="R80" s="28" t="s">
        <v>3488</v>
      </c>
      <c r="S80" s="37" t="s">
        <v>3790</v>
      </c>
      <c r="T80" s="53" t="s">
        <v>279</v>
      </c>
      <c r="V80" s="37">
        <v>1</v>
      </c>
      <c r="AE80" s="37" t="s">
        <v>56</v>
      </c>
      <c r="AF80" s="37" t="s">
        <v>57</v>
      </c>
      <c r="AH80" s="37">
        <v>1.46</v>
      </c>
      <c r="AI80" s="37">
        <v>1.46</v>
      </c>
      <c r="AN80" s="37">
        <v>166</v>
      </c>
      <c r="AO80" s="59">
        <v>0.2</v>
      </c>
      <c r="AP80" s="37">
        <f t="shared" si="1"/>
        <v>199.2</v>
      </c>
    </row>
    <row r="81" spans="1:42" x14ac:dyDescent="0.3">
      <c r="A81" s="37" t="s">
        <v>3891</v>
      </c>
      <c r="B81" s="37" t="s">
        <v>3815</v>
      </c>
      <c r="C81" s="37" t="s">
        <v>3941</v>
      </c>
      <c r="D81" s="55">
        <v>8435668011259</v>
      </c>
      <c r="E81" s="37" t="s">
        <v>4365</v>
      </c>
      <c r="F81" s="37" t="s">
        <v>3788</v>
      </c>
      <c r="G81" s="28"/>
      <c r="H81" s="56" t="s">
        <v>4022</v>
      </c>
      <c r="I81" s="56" t="s">
        <v>4023</v>
      </c>
      <c r="J81" s="56" t="s">
        <v>4024</v>
      </c>
      <c r="K81" s="56"/>
      <c r="L81" s="56"/>
      <c r="M81" s="56" t="s">
        <v>3951</v>
      </c>
      <c r="N81" s="56"/>
      <c r="P81" s="37" t="s">
        <v>1830</v>
      </c>
      <c r="Q81" s="37" t="s">
        <v>4311</v>
      </c>
      <c r="R81" s="28" t="s">
        <v>3488</v>
      </c>
      <c r="S81" s="37" t="s">
        <v>3790</v>
      </c>
      <c r="T81" s="53" t="s">
        <v>4157</v>
      </c>
      <c r="V81" s="37">
        <v>1</v>
      </c>
      <c r="AE81" s="37" t="s">
        <v>56</v>
      </c>
      <c r="AF81" s="37" t="s">
        <v>57</v>
      </c>
      <c r="AH81" s="37">
        <v>1.46</v>
      </c>
      <c r="AI81" s="37">
        <v>1.46</v>
      </c>
      <c r="AN81" s="37">
        <v>99</v>
      </c>
      <c r="AO81" s="59">
        <v>0.2</v>
      </c>
      <c r="AP81" s="37">
        <f t="shared" si="1"/>
        <v>118.8</v>
      </c>
    </row>
    <row r="82" spans="1:42" x14ac:dyDescent="0.3">
      <c r="A82" s="37" t="s">
        <v>3892</v>
      </c>
      <c r="B82" s="37" t="s">
        <v>3816</v>
      </c>
      <c r="C82" s="37" t="s">
        <v>3941</v>
      </c>
      <c r="D82" s="55">
        <v>8435668011372</v>
      </c>
      <c r="E82" s="37" t="s">
        <v>4366</v>
      </c>
      <c r="F82" s="37" t="s">
        <v>3788</v>
      </c>
      <c r="G82" s="28"/>
      <c r="H82" s="56" t="s">
        <v>4025</v>
      </c>
      <c r="I82" s="56" t="s">
        <v>4026</v>
      </c>
      <c r="J82" s="56" t="s">
        <v>4027</v>
      </c>
      <c r="K82" s="56"/>
      <c r="L82" s="56"/>
      <c r="M82" s="56" t="s">
        <v>3955</v>
      </c>
      <c r="N82" s="56"/>
      <c r="P82" s="37" t="s">
        <v>1830</v>
      </c>
      <c r="Q82" s="37" t="s">
        <v>4311</v>
      </c>
      <c r="R82" s="28" t="s">
        <v>3488</v>
      </c>
      <c r="S82" s="37" t="s">
        <v>3790</v>
      </c>
      <c r="T82" s="53" t="s">
        <v>4157</v>
      </c>
      <c r="V82" s="37">
        <v>1</v>
      </c>
      <c r="AE82" s="37" t="s">
        <v>56</v>
      </c>
      <c r="AF82" s="37" t="s">
        <v>57</v>
      </c>
      <c r="AH82" s="37">
        <v>1.46</v>
      </c>
      <c r="AI82" s="37">
        <v>1.46</v>
      </c>
      <c r="AN82" s="37">
        <v>141</v>
      </c>
      <c r="AO82" s="59">
        <v>0.2</v>
      </c>
      <c r="AP82" s="37">
        <f t="shared" si="1"/>
        <v>169.2</v>
      </c>
    </row>
    <row r="83" spans="1:42" x14ac:dyDescent="0.3">
      <c r="A83" s="37" t="s">
        <v>3893</v>
      </c>
      <c r="B83" s="37" t="s">
        <v>3817</v>
      </c>
      <c r="C83" s="37" t="s">
        <v>3941</v>
      </c>
      <c r="D83" s="55">
        <v>8435668012737</v>
      </c>
      <c r="E83" s="37" t="s">
        <v>4367</v>
      </c>
      <c r="F83" s="37" t="s">
        <v>3788</v>
      </c>
      <c r="G83" s="28"/>
      <c r="H83" s="56" t="s">
        <v>4028</v>
      </c>
      <c r="I83" s="56" t="s">
        <v>4029</v>
      </c>
      <c r="J83" s="56" t="s">
        <v>4030</v>
      </c>
      <c r="K83" s="56"/>
      <c r="L83" s="56"/>
      <c r="M83" s="56" t="s">
        <v>3959</v>
      </c>
      <c r="N83" s="56"/>
      <c r="P83" s="37" t="s">
        <v>1830</v>
      </c>
      <c r="Q83" s="37" t="s">
        <v>4312</v>
      </c>
      <c r="R83" s="28" t="s">
        <v>3488</v>
      </c>
      <c r="S83" s="37" t="s">
        <v>3790</v>
      </c>
      <c r="T83" s="53" t="s">
        <v>4157</v>
      </c>
      <c r="V83" s="37">
        <v>1</v>
      </c>
      <c r="AE83" s="37" t="s">
        <v>56</v>
      </c>
      <c r="AF83" s="37" t="s">
        <v>57</v>
      </c>
      <c r="AH83" s="37">
        <v>1.46</v>
      </c>
      <c r="AI83" s="37">
        <v>1.46</v>
      </c>
      <c r="AN83" s="37">
        <v>230</v>
      </c>
      <c r="AO83" s="59">
        <v>0.2</v>
      </c>
      <c r="AP83" s="37">
        <f t="shared" si="1"/>
        <v>276</v>
      </c>
    </row>
    <row r="84" spans="1:42" x14ac:dyDescent="0.3">
      <c r="A84" s="37" t="s">
        <v>3894</v>
      </c>
      <c r="B84" s="37" t="s">
        <v>3818</v>
      </c>
      <c r="C84" s="37" t="s">
        <v>3941</v>
      </c>
      <c r="D84" s="55">
        <v>8435668013574</v>
      </c>
      <c r="E84" s="37" t="s">
        <v>4368</v>
      </c>
      <c r="F84" s="37" t="s">
        <v>3788</v>
      </c>
      <c r="G84" s="28"/>
      <c r="H84" s="56" t="s">
        <v>4031</v>
      </c>
      <c r="I84" s="56" t="s">
        <v>4032</v>
      </c>
      <c r="J84" s="56" t="s">
        <v>4033</v>
      </c>
      <c r="K84" s="56"/>
      <c r="L84" s="56"/>
      <c r="M84" s="56" t="s">
        <v>3963</v>
      </c>
      <c r="N84" s="56"/>
      <c r="P84" s="37" t="s">
        <v>1830</v>
      </c>
      <c r="Q84" s="37" t="s">
        <v>4312</v>
      </c>
      <c r="R84" s="28" t="s">
        <v>3488</v>
      </c>
      <c r="S84" s="37" t="s">
        <v>3790</v>
      </c>
      <c r="T84" s="53" t="s">
        <v>4157</v>
      </c>
      <c r="V84" s="37">
        <v>1</v>
      </c>
      <c r="AE84" s="37" t="s">
        <v>56</v>
      </c>
      <c r="AF84" s="37" t="s">
        <v>57</v>
      </c>
      <c r="AH84" s="37">
        <v>1.46</v>
      </c>
      <c r="AI84" s="37">
        <v>1.46</v>
      </c>
      <c r="AN84" s="37">
        <v>243</v>
      </c>
      <c r="AO84" s="59">
        <v>0.2</v>
      </c>
      <c r="AP84" s="37">
        <f t="shared" si="1"/>
        <v>291.59999999999997</v>
      </c>
    </row>
    <row r="85" spans="1:42" x14ac:dyDescent="0.3">
      <c r="A85" s="37" t="s">
        <v>3895</v>
      </c>
      <c r="B85" s="37" t="s">
        <v>3819</v>
      </c>
      <c r="C85" s="37" t="s">
        <v>3941</v>
      </c>
      <c r="D85" s="55">
        <v>8435668013772</v>
      </c>
      <c r="E85" s="37" t="s">
        <v>4369</v>
      </c>
      <c r="F85" s="37" t="s">
        <v>3788</v>
      </c>
      <c r="G85" s="28"/>
      <c r="H85" s="56" t="s">
        <v>4034</v>
      </c>
      <c r="I85" s="56" t="s">
        <v>4035</v>
      </c>
      <c r="J85" s="56" t="s">
        <v>4036</v>
      </c>
      <c r="K85" s="56"/>
      <c r="L85" s="56"/>
      <c r="M85" s="56" t="s">
        <v>3975</v>
      </c>
      <c r="N85" s="56"/>
      <c r="P85" s="37" t="s">
        <v>1830</v>
      </c>
      <c r="Q85" s="37" t="s">
        <v>4311</v>
      </c>
      <c r="R85" s="28" t="s">
        <v>3488</v>
      </c>
      <c r="S85" s="37" t="s">
        <v>3481</v>
      </c>
      <c r="T85" s="53" t="s">
        <v>4157</v>
      </c>
      <c r="V85" s="37">
        <v>1</v>
      </c>
      <c r="AE85" s="37" t="s">
        <v>56</v>
      </c>
      <c r="AF85" s="37" t="s">
        <v>57</v>
      </c>
      <c r="AH85" s="37">
        <v>1.46</v>
      </c>
      <c r="AI85" s="37">
        <v>1.46</v>
      </c>
      <c r="AN85" s="37">
        <v>295</v>
      </c>
      <c r="AO85" s="59">
        <v>0.2</v>
      </c>
      <c r="AP85" s="37">
        <f t="shared" si="1"/>
        <v>354</v>
      </c>
    </row>
    <row r="86" spans="1:42" x14ac:dyDescent="0.3">
      <c r="A86" s="37" t="s">
        <v>3896</v>
      </c>
      <c r="B86" s="37" t="s">
        <v>3820</v>
      </c>
      <c r="C86" s="37" t="s">
        <v>3941</v>
      </c>
      <c r="D86" s="55">
        <v>8435668013529</v>
      </c>
      <c r="E86" s="37" t="s">
        <v>4370</v>
      </c>
      <c r="F86" s="37" t="s">
        <v>3788</v>
      </c>
      <c r="G86" s="28"/>
      <c r="H86" s="56" t="s">
        <v>4037</v>
      </c>
      <c r="I86" s="56" t="s">
        <v>4038</v>
      </c>
      <c r="J86" s="56"/>
      <c r="K86" s="56"/>
      <c r="L86" s="56"/>
      <c r="M86" s="56" t="s">
        <v>3975</v>
      </c>
      <c r="N86" s="56"/>
      <c r="P86" s="37" t="s">
        <v>1830</v>
      </c>
      <c r="Q86" s="37" t="s">
        <v>4311</v>
      </c>
      <c r="R86" s="28" t="s">
        <v>3488</v>
      </c>
      <c r="S86" s="37" t="s">
        <v>3481</v>
      </c>
      <c r="T86" s="53" t="s">
        <v>4157</v>
      </c>
      <c r="V86" s="37">
        <v>1</v>
      </c>
      <c r="AE86" s="37" t="s">
        <v>56</v>
      </c>
      <c r="AF86" s="37" t="s">
        <v>57</v>
      </c>
      <c r="AH86" s="37">
        <v>1.46</v>
      </c>
      <c r="AI86" s="37">
        <v>1.46</v>
      </c>
      <c r="AN86" s="37">
        <v>295</v>
      </c>
      <c r="AO86" s="59">
        <v>0.2</v>
      </c>
      <c r="AP86" s="37">
        <f t="shared" si="1"/>
        <v>354</v>
      </c>
    </row>
    <row r="87" spans="1:42" x14ac:dyDescent="0.3">
      <c r="A87" s="37" t="s">
        <v>3897</v>
      </c>
      <c r="B87" s="37" t="s">
        <v>3821</v>
      </c>
      <c r="C87" s="37" t="s">
        <v>3941</v>
      </c>
      <c r="D87" s="55">
        <v>8435668013437</v>
      </c>
      <c r="E87" s="37" t="s">
        <v>4371</v>
      </c>
      <c r="F87" s="37" t="s">
        <v>3788</v>
      </c>
      <c r="G87" s="28"/>
      <c r="H87" s="56" t="s">
        <v>4039</v>
      </c>
      <c r="I87" s="56" t="s">
        <v>4040</v>
      </c>
      <c r="J87" s="56" t="s">
        <v>4041</v>
      </c>
      <c r="K87" s="56"/>
      <c r="L87" s="56"/>
      <c r="M87" s="56" t="s">
        <v>3981</v>
      </c>
      <c r="N87" s="56"/>
      <c r="P87" s="37" t="s">
        <v>1830</v>
      </c>
      <c r="Q87" s="37" t="s">
        <v>4312</v>
      </c>
      <c r="R87" s="28" t="s">
        <v>3488</v>
      </c>
      <c r="S87" s="37" t="s">
        <v>3481</v>
      </c>
      <c r="T87" s="53" t="s">
        <v>4157</v>
      </c>
      <c r="V87" s="37">
        <v>1</v>
      </c>
      <c r="AE87" s="37" t="s">
        <v>56</v>
      </c>
      <c r="AF87" s="37" t="s">
        <v>57</v>
      </c>
      <c r="AH87" s="37">
        <v>1.46</v>
      </c>
      <c r="AI87" s="37">
        <v>1.46</v>
      </c>
      <c r="AN87" s="37">
        <v>385</v>
      </c>
      <c r="AO87" s="59">
        <v>0.2</v>
      </c>
      <c r="AP87" s="37">
        <f t="shared" si="1"/>
        <v>462</v>
      </c>
    </row>
    <row r="88" spans="1:42" x14ac:dyDescent="0.3">
      <c r="A88" s="37" t="s">
        <v>3898</v>
      </c>
      <c r="B88" s="37" t="s">
        <v>3822</v>
      </c>
      <c r="C88" s="37" t="s">
        <v>3941</v>
      </c>
      <c r="D88" s="55">
        <v>8435668012560</v>
      </c>
      <c r="E88" s="37" t="s">
        <v>4372</v>
      </c>
      <c r="F88" s="37" t="s">
        <v>3788</v>
      </c>
      <c r="G88" s="28"/>
      <c r="H88" s="56" t="s">
        <v>4042</v>
      </c>
      <c r="I88" s="56" t="s">
        <v>4043</v>
      </c>
      <c r="J88" s="56"/>
      <c r="K88" s="56"/>
      <c r="L88" s="56"/>
      <c r="M88" s="56" t="s">
        <v>3981</v>
      </c>
      <c r="N88" s="56"/>
      <c r="P88" s="37" t="s">
        <v>1830</v>
      </c>
      <c r="Q88" s="37" t="s">
        <v>4312</v>
      </c>
      <c r="R88" s="28" t="s">
        <v>3488</v>
      </c>
      <c r="S88" s="37" t="s">
        <v>3481</v>
      </c>
      <c r="T88" s="53" t="s">
        <v>4157</v>
      </c>
      <c r="V88" s="37">
        <v>1</v>
      </c>
      <c r="AE88" s="37" t="s">
        <v>56</v>
      </c>
      <c r="AF88" s="37" t="s">
        <v>57</v>
      </c>
      <c r="AH88" s="37">
        <v>1.46</v>
      </c>
      <c r="AI88" s="37">
        <v>1.46</v>
      </c>
      <c r="AN88" s="37">
        <v>385</v>
      </c>
      <c r="AO88" s="59">
        <v>0.2</v>
      </c>
      <c r="AP88" s="37">
        <f t="shared" si="1"/>
        <v>462</v>
      </c>
    </row>
    <row r="89" spans="1:42" x14ac:dyDescent="0.3">
      <c r="A89" s="37" t="s">
        <v>3899</v>
      </c>
      <c r="B89" s="37" t="s">
        <v>3823</v>
      </c>
      <c r="C89" s="37" t="s">
        <v>3941</v>
      </c>
      <c r="D89" s="55">
        <v>8435668011433</v>
      </c>
      <c r="E89" s="37" t="s">
        <v>4373</v>
      </c>
      <c r="F89" s="37" t="s">
        <v>3788</v>
      </c>
      <c r="G89" s="28"/>
      <c r="H89" s="56" t="s">
        <v>4044</v>
      </c>
      <c r="I89" s="56" t="s">
        <v>4045</v>
      </c>
      <c r="J89" s="56" t="s">
        <v>4046</v>
      </c>
      <c r="K89" s="56"/>
      <c r="L89" s="56"/>
      <c r="M89" s="56" t="s">
        <v>3987</v>
      </c>
      <c r="N89" s="56"/>
      <c r="P89" s="37" t="s">
        <v>1830</v>
      </c>
      <c r="Q89" s="37" t="s">
        <v>4311</v>
      </c>
      <c r="R89" s="28" t="s">
        <v>3488</v>
      </c>
      <c r="S89" s="37" t="s">
        <v>3790</v>
      </c>
      <c r="T89" s="53" t="s">
        <v>4157</v>
      </c>
      <c r="V89" s="37">
        <v>1</v>
      </c>
      <c r="AE89" s="37" t="s">
        <v>56</v>
      </c>
      <c r="AF89" s="37" t="s">
        <v>57</v>
      </c>
      <c r="AH89" s="37">
        <v>1.46</v>
      </c>
      <c r="AI89" s="37">
        <v>1.46</v>
      </c>
      <c r="AN89" s="37">
        <v>179</v>
      </c>
      <c r="AO89" s="59">
        <v>0.2</v>
      </c>
      <c r="AP89" s="37">
        <f t="shared" si="1"/>
        <v>214.79999999999998</v>
      </c>
    </row>
    <row r="90" spans="1:42" x14ac:dyDescent="0.3">
      <c r="A90" s="37" t="s">
        <v>3900</v>
      </c>
      <c r="B90" s="37" t="s">
        <v>3824</v>
      </c>
      <c r="C90" s="37" t="s">
        <v>3941</v>
      </c>
      <c r="D90" s="55">
        <v>8435668011280</v>
      </c>
      <c r="E90" s="37" t="s">
        <v>4374</v>
      </c>
      <c r="F90" s="37" t="s">
        <v>3788</v>
      </c>
      <c r="G90" s="28"/>
      <c r="H90" s="56" t="s">
        <v>4047</v>
      </c>
      <c r="I90" s="56" t="s">
        <v>4048</v>
      </c>
      <c r="J90" s="56" t="s">
        <v>4049</v>
      </c>
      <c r="K90" s="56"/>
      <c r="L90" s="56"/>
      <c r="M90" s="56" t="s">
        <v>3951</v>
      </c>
      <c r="N90" s="56"/>
      <c r="P90" s="37" t="s">
        <v>1830</v>
      </c>
      <c r="Q90" s="37" t="s">
        <v>4311</v>
      </c>
      <c r="R90" s="28" t="s">
        <v>3488</v>
      </c>
      <c r="S90" s="37" t="s">
        <v>3790</v>
      </c>
      <c r="T90" s="53" t="s">
        <v>4158</v>
      </c>
      <c r="V90" s="37">
        <v>1</v>
      </c>
      <c r="AE90" s="37" t="s">
        <v>56</v>
      </c>
      <c r="AF90" s="37" t="s">
        <v>57</v>
      </c>
      <c r="AH90" s="37">
        <v>1.46</v>
      </c>
      <c r="AI90" s="37">
        <v>1.46</v>
      </c>
      <c r="AN90" s="37">
        <v>102</v>
      </c>
      <c r="AO90" s="59">
        <v>0.2</v>
      </c>
      <c r="AP90" s="37">
        <f t="shared" si="1"/>
        <v>122.39999999999999</v>
      </c>
    </row>
    <row r="91" spans="1:42" x14ac:dyDescent="0.3">
      <c r="A91" s="37" t="s">
        <v>3901</v>
      </c>
      <c r="B91" s="37" t="s">
        <v>3825</v>
      </c>
      <c r="C91" s="37" t="s">
        <v>3941</v>
      </c>
      <c r="D91" s="55">
        <v>8435668011402</v>
      </c>
      <c r="E91" s="37" t="s">
        <v>4375</v>
      </c>
      <c r="F91" s="37" t="s">
        <v>3788</v>
      </c>
      <c r="G91" s="28"/>
      <c r="H91" s="56" t="s">
        <v>4050</v>
      </c>
      <c r="I91" s="56" t="s">
        <v>4051</v>
      </c>
      <c r="J91" s="56" t="s">
        <v>4052</v>
      </c>
      <c r="K91" s="56"/>
      <c r="L91" s="56"/>
      <c r="M91" s="56" t="s">
        <v>3955</v>
      </c>
      <c r="N91" s="56"/>
      <c r="P91" s="37" t="s">
        <v>1830</v>
      </c>
      <c r="Q91" s="37" t="s">
        <v>4311</v>
      </c>
      <c r="R91" s="28" t="s">
        <v>3488</v>
      </c>
      <c r="S91" s="37" t="s">
        <v>3790</v>
      </c>
      <c r="T91" s="53" t="s">
        <v>4158</v>
      </c>
      <c r="V91" s="37">
        <v>1</v>
      </c>
      <c r="AE91" s="37" t="s">
        <v>56</v>
      </c>
      <c r="AF91" s="37" t="s">
        <v>57</v>
      </c>
      <c r="AH91" s="37">
        <v>1.46</v>
      </c>
      <c r="AI91" s="37">
        <v>1.46</v>
      </c>
      <c r="AN91" s="37">
        <v>154</v>
      </c>
      <c r="AO91" s="59">
        <v>0.2</v>
      </c>
      <c r="AP91" s="37">
        <f t="shared" si="1"/>
        <v>184.79999999999998</v>
      </c>
    </row>
    <row r="92" spans="1:42" x14ac:dyDescent="0.3">
      <c r="A92" s="37" t="s">
        <v>3902</v>
      </c>
      <c r="B92" s="37" t="s">
        <v>3826</v>
      </c>
      <c r="C92" s="37" t="s">
        <v>3941</v>
      </c>
      <c r="D92" s="55">
        <v>8435668012911</v>
      </c>
      <c r="E92" s="37" t="s">
        <v>4376</v>
      </c>
      <c r="F92" s="37" t="s">
        <v>3788</v>
      </c>
      <c r="G92" s="28"/>
      <c r="H92" s="56" t="s">
        <v>4053</v>
      </c>
      <c r="I92" s="56" t="s">
        <v>4054</v>
      </c>
      <c r="J92" s="56" t="s">
        <v>4055</v>
      </c>
      <c r="K92" s="56"/>
      <c r="L92" s="56"/>
      <c r="M92" s="56" t="s">
        <v>3959</v>
      </c>
      <c r="N92" s="56"/>
      <c r="P92" s="37" t="s">
        <v>1830</v>
      </c>
      <c r="Q92" s="37" t="s">
        <v>4312</v>
      </c>
      <c r="R92" s="28" t="s">
        <v>3488</v>
      </c>
      <c r="S92" s="37" t="s">
        <v>3790</v>
      </c>
      <c r="T92" s="53" t="s">
        <v>4158</v>
      </c>
      <c r="V92" s="37">
        <v>1</v>
      </c>
      <c r="AE92" s="37" t="s">
        <v>56</v>
      </c>
      <c r="AF92" s="37" t="s">
        <v>57</v>
      </c>
      <c r="AH92" s="37">
        <v>1.46</v>
      </c>
      <c r="AI92" s="37">
        <v>1.46</v>
      </c>
      <c r="AN92" s="37">
        <v>209</v>
      </c>
      <c r="AO92" s="59">
        <v>0.2</v>
      </c>
      <c r="AP92" s="37">
        <f t="shared" si="1"/>
        <v>250.79999999999998</v>
      </c>
    </row>
    <row r="93" spans="1:42" x14ac:dyDescent="0.3">
      <c r="A93" s="37" t="s">
        <v>3903</v>
      </c>
      <c r="B93" s="37" t="s">
        <v>3827</v>
      </c>
      <c r="C93" s="37" t="s">
        <v>3941</v>
      </c>
      <c r="D93" s="55">
        <v>8435668012386</v>
      </c>
      <c r="E93" s="37" t="s">
        <v>4377</v>
      </c>
      <c r="F93" s="37" t="s">
        <v>3788</v>
      </c>
      <c r="G93" s="28"/>
      <c r="H93" s="56" t="s">
        <v>4056</v>
      </c>
      <c r="I93" s="56" t="s">
        <v>4057</v>
      </c>
      <c r="J93" s="56" t="s">
        <v>4058</v>
      </c>
      <c r="K93" s="56"/>
      <c r="L93" s="56"/>
      <c r="M93" s="56" t="s">
        <v>3963</v>
      </c>
      <c r="N93" s="56"/>
      <c r="P93" s="37" t="s">
        <v>1830</v>
      </c>
      <c r="Q93" s="37" t="s">
        <v>4312</v>
      </c>
      <c r="R93" s="28" t="s">
        <v>3488</v>
      </c>
      <c r="S93" s="37" t="s">
        <v>3790</v>
      </c>
      <c r="T93" s="53" t="s">
        <v>4158</v>
      </c>
      <c r="V93" s="37">
        <v>1</v>
      </c>
      <c r="AE93" s="37" t="s">
        <v>56</v>
      </c>
      <c r="AF93" s="37" t="s">
        <v>57</v>
      </c>
      <c r="AH93" s="37">
        <v>1.46</v>
      </c>
      <c r="AI93" s="37">
        <v>1.46</v>
      </c>
      <c r="AN93" s="37">
        <v>259</v>
      </c>
      <c r="AO93" s="59">
        <v>0.2</v>
      </c>
      <c r="AP93" s="37">
        <f t="shared" si="1"/>
        <v>310.8</v>
      </c>
    </row>
    <row r="94" spans="1:42" x14ac:dyDescent="0.3">
      <c r="A94" s="37" t="s">
        <v>3904</v>
      </c>
      <c r="B94" s="37" t="s">
        <v>3828</v>
      </c>
      <c r="C94" s="37" t="s">
        <v>3941</v>
      </c>
      <c r="D94" s="55">
        <v>8435668013819</v>
      </c>
      <c r="E94" s="37" t="s">
        <v>4378</v>
      </c>
      <c r="F94" s="37" t="s">
        <v>3788</v>
      </c>
      <c r="G94" s="28"/>
      <c r="H94" s="56" t="s">
        <v>4059</v>
      </c>
      <c r="I94" s="56" t="s">
        <v>4060</v>
      </c>
      <c r="J94" s="56" t="s">
        <v>4061</v>
      </c>
      <c r="K94" s="56"/>
      <c r="L94" s="56"/>
      <c r="M94" s="56" t="s">
        <v>3975</v>
      </c>
      <c r="N94" s="56"/>
      <c r="P94" s="37" t="s">
        <v>1830</v>
      </c>
      <c r="Q94" s="37" t="s">
        <v>4311</v>
      </c>
      <c r="R94" s="28" t="s">
        <v>3488</v>
      </c>
      <c r="S94" s="37" t="s">
        <v>3481</v>
      </c>
      <c r="T94" s="53" t="s">
        <v>4158</v>
      </c>
      <c r="V94" s="37">
        <v>1</v>
      </c>
      <c r="AE94" s="37" t="s">
        <v>56</v>
      </c>
      <c r="AF94" s="37" t="s">
        <v>57</v>
      </c>
      <c r="AH94" s="37">
        <v>1.46</v>
      </c>
      <c r="AI94" s="37">
        <v>1.46</v>
      </c>
      <c r="AN94" s="37">
        <v>254</v>
      </c>
      <c r="AO94" s="59">
        <v>0.2</v>
      </c>
      <c r="AP94" s="37">
        <f t="shared" si="1"/>
        <v>304.8</v>
      </c>
    </row>
    <row r="95" spans="1:42" x14ac:dyDescent="0.3">
      <c r="A95" s="37" t="s">
        <v>3905</v>
      </c>
      <c r="B95" s="37" t="s">
        <v>3829</v>
      </c>
      <c r="C95" s="37" t="s">
        <v>3941</v>
      </c>
      <c r="D95" s="55">
        <v>8435668012362</v>
      </c>
      <c r="E95" s="37" t="s">
        <v>4379</v>
      </c>
      <c r="F95" s="37" t="s">
        <v>3788</v>
      </c>
      <c r="G95" s="28"/>
      <c r="H95" s="56" t="s">
        <v>4062</v>
      </c>
      <c r="I95" s="56" t="s">
        <v>4063</v>
      </c>
      <c r="J95" s="56"/>
      <c r="K95" s="56"/>
      <c r="L95" s="56"/>
      <c r="M95" s="56" t="s">
        <v>3975</v>
      </c>
      <c r="N95" s="56"/>
      <c r="P95" s="37" t="s">
        <v>1830</v>
      </c>
      <c r="Q95" s="37" t="s">
        <v>4311</v>
      </c>
      <c r="R95" s="28" t="s">
        <v>3488</v>
      </c>
      <c r="S95" s="37" t="s">
        <v>3481</v>
      </c>
      <c r="T95" s="53" t="s">
        <v>4158</v>
      </c>
      <c r="V95" s="37">
        <v>1</v>
      </c>
      <c r="AE95" s="37" t="s">
        <v>56</v>
      </c>
      <c r="AF95" s="37" t="s">
        <v>57</v>
      </c>
      <c r="AH95" s="37">
        <v>1.46</v>
      </c>
      <c r="AI95" s="37">
        <v>1.46</v>
      </c>
      <c r="AN95" s="37">
        <v>254</v>
      </c>
      <c r="AO95" s="59">
        <v>0.2</v>
      </c>
      <c r="AP95" s="37">
        <f t="shared" si="1"/>
        <v>304.8</v>
      </c>
    </row>
    <row r="96" spans="1:42" x14ac:dyDescent="0.3">
      <c r="A96" s="37" t="s">
        <v>3906</v>
      </c>
      <c r="B96" s="37" t="s">
        <v>3830</v>
      </c>
      <c r="C96" s="37" t="s">
        <v>3941</v>
      </c>
      <c r="D96" s="55">
        <v>8435668013604</v>
      </c>
      <c r="E96" s="37" t="s">
        <v>4380</v>
      </c>
      <c r="F96" s="37" t="s">
        <v>3788</v>
      </c>
      <c r="G96" s="28"/>
      <c r="H96" s="56" t="s">
        <v>4064</v>
      </c>
      <c r="I96" s="56" t="s">
        <v>4065</v>
      </c>
      <c r="J96" s="56" t="s">
        <v>4066</v>
      </c>
      <c r="K96" s="56"/>
      <c r="L96" s="56"/>
      <c r="M96" s="56" t="s">
        <v>3981</v>
      </c>
      <c r="N96" s="56"/>
      <c r="P96" s="37" t="s">
        <v>1830</v>
      </c>
      <c r="Q96" s="37" t="s">
        <v>4312</v>
      </c>
      <c r="R96" s="28" t="s">
        <v>3488</v>
      </c>
      <c r="S96" s="37" t="s">
        <v>3481</v>
      </c>
      <c r="T96" s="53" t="s">
        <v>4158</v>
      </c>
      <c r="V96" s="37">
        <v>1</v>
      </c>
      <c r="AE96" s="37" t="s">
        <v>56</v>
      </c>
      <c r="AF96" s="37" t="s">
        <v>57</v>
      </c>
      <c r="AH96" s="37">
        <v>1.46</v>
      </c>
      <c r="AI96" s="37">
        <v>1.46</v>
      </c>
      <c r="AN96" s="37">
        <v>372</v>
      </c>
      <c r="AO96" s="59">
        <v>0.2</v>
      </c>
      <c r="AP96" s="37">
        <f t="shared" si="1"/>
        <v>446.4</v>
      </c>
    </row>
    <row r="97" spans="1:42" x14ac:dyDescent="0.3">
      <c r="A97" s="37" t="s">
        <v>3907</v>
      </c>
      <c r="B97" s="37" t="s">
        <v>3831</v>
      </c>
      <c r="C97" s="37" t="s">
        <v>3941</v>
      </c>
      <c r="D97" s="55">
        <v>8435668012744</v>
      </c>
      <c r="E97" s="37" t="s">
        <v>4381</v>
      </c>
      <c r="F97" s="37" t="s">
        <v>3788</v>
      </c>
      <c r="G97" s="28"/>
      <c r="H97" s="56" t="s">
        <v>4067</v>
      </c>
      <c r="I97" s="56" t="s">
        <v>4068</v>
      </c>
      <c r="J97" s="56"/>
      <c r="K97" s="56"/>
      <c r="L97" s="56"/>
      <c r="M97" s="56" t="s">
        <v>3981</v>
      </c>
      <c r="N97" s="56"/>
      <c r="P97" s="37" t="s">
        <v>1830</v>
      </c>
      <c r="Q97" s="37" t="s">
        <v>4312</v>
      </c>
      <c r="R97" s="28" t="s">
        <v>3488</v>
      </c>
      <c r="S97" s="37" t="s">
        <v>3481</v>
      </c>
      <c r="T97" s="53" t="s">
        <v>4158</v>
      </c>
      <c r="V97" s="37">
        <v>1</v>
      </c>
      <c r="AE97" s="37" t="s">
        <v>56</v>
      </c>
      <c r="AF97" s="37" t="s">
        <v>57</v>
      </c>
      <c r="AH97" s="37">
        <v>1.46</v>
      </c>
      <c r="AI97" s="37">
        <v>1.46</v>
      </c>
      <c r="AN97" s="37">
        <v>372</v>
      </c>
      <c r="AO97" s="59">
        <v>0.2</v>
      </c>
      <c r="AP97" s="37">
        <f t="shared" si="1"/>
        <v>446.4</v>
      </c>
    </row>
    <row r="98" spans="1:42" x14ac:dyDescent="0.3">
      <c r="A98" s="37" t="s">
        <v>3908</v>
      </c>
      <c r="B98" s="37" t="s">
        <v>3832</v>
      </c>
      <c r="C98" s="37" t="s">
        <v>3941</v>
      </c>
      <c r="D98" s="55">
        <v>8435668011464</v>
      </c>
      <c r="E98" s="37" t="s">
        <v>4382</v>
      </c>
      <c r="F98" s="37" t="s">
        <v>3788</v>
      </c>
      <c r="G98" s="28"/>
      <c r="H98" s="56" t="s">
        <v>4069</v>
      </c>
      <c r="I98" s="56" t="s">
        <v>4070</v>
      </c>
      <c r="J98" s="56" t="s">
        <v>4071</v>
      </c>
      <c r="K98" s="56"/>
      <c r="L98" s="56"/>
      <c r="M98" s="56" t="s">
        <v>3987</v>
      </c>
      <c r="N98" s="56"/>
      <c r="P98" s="37" t="s">
        <v>1830</v>
      </c>
      <c r="Q98" s="37" t="s">
        <v>4311</v>
      </c>
      <c r="R98" s="28" t="s">
        <v>3488</v>
      </c>
      <c r="S98" s="37" t="s">
        <v>3790</v>
      </c>
      <c r="T98" s="53" t="s">
        <v>4158</v>
      </c>
      <c r="V98" s="37">
        <v>1</v>
      </c>
      <c r="AE98" s="37" t="s">
        <v>56</v>
      </c>
      <c r="AF98" s="37" t="s">
        <v>57</v>
      </c>
      <c r="AH98" s="37">
        <v>1.46</v>
      </c>
      <c r="AI98" s="37">
        <v>1.46</v>
      </c>
      <c r="AN98" s="37">
        <v>192</v>
      </c>
      <c r="AO98" s="59">
        <v>0.2</v>
      </c>
      <c r="AP98" s="37">
        <f t="shared" si="1"/>
        <v>230.39999999999998</v>
      </c>
    </row>
    <row r="99" spans="1:42" x14ac:dyDescent="0.3">
      <c r="A99" s="37" t="s">
        <v>3909</v>
      </c>
      <c r="B99" s="37" t="s">
        <v>3833</v>
      </c>
      <c r="C99" s="37" t="s">
        <v>3941</v>
      </c>
      <c r="D99" s="55">
        <v>8435668012126</v>
      </c>
      <c r="E99" s="37" t="s">
        <v>4383</v>
      </c>
      <c r="F99" s="37" t="s">
        <v>3788</v>
      </c>
      <c r="G99" s="28"/>
      <c r="H99" s="56" t="s">
        <v>4072</v>
      </c>
      <c r="I99" s="56" t="s">
        <v>4073</v>
      </c>
      <c r="J99" s="56"/>
      <c r="K99" s="56"/>
      <c r="L99" s="56"/>
      <c r="M99" s="56" t="s">
        <v>3951</v>
      </c>
      <c r="N99" s="56"/>
      <c r="P99" s="37" t="s">
        <v>1830</v>
      </c>
      <c r="Q99" s="37" t="s">
        <v>4311</v>
      </c>
      <c r="R99" s="28" t="s">
        <v>3488</v>
      </c>
      <c r="S99" s="37" t="s">
        <v>3789</v>
      </c>
      <c r="T99" s="53" t="s">
        <v>3484</v>
      </c>
      <c r="V99" s="37">
        <v>1</v>
      </c>
      <c r="AE99" s="37" t="s">
        <v>56</v>
      </c>
      <c r="AF99" s="37" t="s">
        <v>57</v>
      </c>
      <c r="AH99" s="37">
        <v>1.46</v>
      </c>
      <c r="AI99" s="37">
        <v>1.46</v>
      </c>
      <c r="AN99" s="37">
        <v>114</v>
      </c>
      <c r="AO99" s="59">
        <v>0.2</v>
      </c>
      <c r="AP99" s="37">
        <f t="shared" si="1"/>
        <v>136.79999999999998</v>
      </c>
    </row>
    <row r="100" spans="1:42" x14ac:dyDescent="0.3">
      <c r="A100" s="37" t="s">
        <v>3910</v>
      </c>
      <c r="B100" s="37" t="s">
        <v>3834</v>
      </c>
      <c r="C100" s="37" t="s">
        <v>3941</v>
      </c>
      <c r="D100" s="55">
        <v>8435668012072</v>
      </c>
      <c r="E100" s="37" t="s">
        <v>4384</v>
      </c>
      <c r="F100" s="37" t="s">
        <v>3788</v>
      </c>
      <c r="G100" s="28"/>
      <c r="H100" s="56" t="s">
        <v>4074</v>
      </c>
      <c r="I100" s="56" t="s">
        <v>4075</v>
      </c>
      <c r="J100" s="56" t="s">
        <v>4076</v>
      </c>
      <c r="K100" s="56"/>
      <c r="L100" s="56"/>
      <c r="M100" s="56" t="s">
        <v>3955</v>
      </c>
      <c r="N100" s="56"/>
      <c r="P100" s="37" t="s">
        <v>1830</v>
      </c>
      <c r="Q100" s="37" t="s">
        <v>4311</v>
      </c>
      <c r="R100" s="28" t="s">
        <v>3488</v>
      </c>
      <c r="S100" s="37" t="s">
        <v>3789</v>
      </c>
      <c r="T100" s="53" t="s">
        <v>3484</v>
      </c>
      <c r="V100" s="37">
        <v>1</v>
      </c>
      <c r="AE100" s="37" t="s">
        <v>56</v>
      </c>
      <c r="AF100" s="37" t="s">
        <v>57</v>
      </c>
      <c r="AH100" s="37">
        <v>1.46</v>
      </c>
      <c r="AI100" s="37">
        <v>1.46</v>
      </c>
      <c r="AN100" s="37">
        <v>166</v>
      </c>
      <c r="AO100" s="59">
        <v>0.2</v>
      </c>
      <c r="AP100" s="37">
        <f t="shared" si="1"/>
        <v>199.2</v>
      </c>
    </row>
    <row r="101" spans="1:42" x14ac:dyDescent="0.3">
      <c r="A101" s="37" t="s">
        <v>3911</v>
      </c>
      <c r="B101" s="37" t="s">
        <v>3835</v>
      </c>
      <c r="C101" s="37" t="s">
        <v>3941</v>
      </c>
      <c r="D101" s="55">
        <v>8435668012652</v>
      </c>
      <c r="E101" s="37" t="s">
        <v>4385</v>
      </c>
      <c r="F101" s="37" t="s">
        <v>3788</v>
      </c>
      <c r="G101" s="28"/>
      <c r="H101" s="56" t="s">
        <v>4077</v>
      </c>
      <c r="I101" s="56" t="s">
        <v>4078</v>
      </c>
      <c r="J101" s="56" t="s">
        <v>4079</v>
      </c>
      <c r="K101" s="56"/>
      <c r="L101" s="56"/>
      <c r="M101" s="56" t="s">
        <v>3959</v>
      </c>
      <c r="N101" s="56"/>
      <c r="P101" s="37" t="s">
        <v>1830</v>
      </c>
      <c r="Q101" s="37" t="s">
        <v>4312</v>
      </c>
      <c r="R101" s="28" t="s">
        <v>3488</v>
      </c>
      <c r="S101" s="37" t="s">
        <v>3789</v>
      </c>
      <c r="T101" s="53" t="s">
        <v>3484</v>
      </c>
      <c r="V101" s="37">
        <v>1</v>
      </c>
      <c r="AE101" s="37" t="s">
        <v>56</v>
      </c>
      <c r="AF101" s="37" t="s">
        <v>57</v>
      </c>
      <c r="AH101" s="37">
        <v>1.46</v>
      </c>
      <c r="AI101" s="37">
        <v>1.46</v>
      </c>
      <c r="AN101" s="37">
        <v>243</v>
      </c>
      <c r="AO101" s="59">
        <v>0.2</v>
      </c>
      <c r="AP101" s="37">
        <f t="shared" si="1"/>
        <v>291.59999999999997</v>
      </c>
    </row>
    <row r="102" spans="1:42" x14ac:dyDescent="0.3">
      <c r="A102" s="37" t="s">
        <v>3912</v>
      </c>
      <c r="B102" s="37" t="s">
        <v>3836</v>
      </c>
      <c r="C102" s="37" t="s">
        <v>3941</v>
      </c>
      <c r="D102" s="55">
        <v>8435668013420</v>
      </c>
      <c r="E102" s="37" t="s">
        <v>4386</v>
      </c>
      <c r="F102" s="37" t="s">
        <v>3788</v>
      </c>
      <c r="G102" s="28"/>
      <c r="H102" s="56" t="s">
        <v>4080</v>
      </c>
      <c r="I102" s="56" t="s">
        <v>4081</v>
      </c>
      <c r="J102" s="56" t="s">
        <v>4082</v>
      </c>
      <c r="K102" s="56"/>
      <c r="L102" s="56"/>
      <c r="M102" s="56" t="s">
        <v>3963</v>
      </c>
      <c r="N102" s="56"/>
      <c r="P102" s="37" t="s">
        <v>1830</v>
      </c>
      <c r="Q102" s="37" t="s">
        <v>4312</v>
      </c>
      <c r="R102" s="28" t="s">
        <v>3488</v>
      </c>
      <c r="S102" s="37" t="s">
        <v>3789</v>
      </c>
      <c r="T102" s="53" t="s">
        <v>3484</v>
      </c>
      <c r="V102" s="37">
        <v>1</v>
      </c>
      <c r="AE102" s="37" t="s">
        <v>56</v>
      </c>
      <c r="AF102" s="37" t="s">
        <v>57</v>
      </c>
      <c r="AH102" s="37">
        <v>1.46</v>
      </c>
      <c r="AI102" s="37">
        <v>1.46</v>
      </c>
      <c r="AN102" s="37">
        <v>284</v>
      </c>
      <c r="AO102" s="59">
        <v>0.2</v>
      </c>
      <c r="AP102" s="37">
        <f t="shared" si="1"/>
        <v>340.8</v>
      </c>
    </row>
    <row r="103" spans="1:42" x14ac:dyDescent="0.3">
      <c r="A103" s="37" t="s">
        <v>3913</v>
      </c>
      <c r="B103" s="37" t="s">
        <v>3837</v>
      </c>
      <c r="C103" s="37" t="s">
        <v>3941</v>
      </c>
      <c r="D103" s="55">
        <v>8435668013758</v>
      </c>
      <c r="E103" s="37" t="s">
        <v>4387</v>
      </c>
      <c r="F103" s="37" t="s">
        <v>3788</v>
      </c>
      <c r="G103" s="28"/>
      <c r="H103" s="56" t="s">
        <v>4083</v>
      </c>
      <c r="I103" s="56" t="s">
        <v>4084</v>
      </c>
      <c r="J103" s="56" t="s">
        <v>4085</v>
      </c>
      <c r="K103" s="56"/>
      <c r="L103" s="56"/>
      <c r="M103" s="56" t="s">
        <v>3975</v>
      </c>
      <c r="N103" s="56"/>
      <c r="P103" s="37" t="s">
        <v>1830</v>
      </c>
      <c r="Q103" s="37" t="s">
        <v>4311</v>
      </c>
      <c r="R103" s="28" t="s">
        <v>3488</v>
      </c>
      <c r="S103" s="37" t="s">
        <v>3482</v>
      </c>
      <c r="T103" s="53" t="s">
        <v>3484</v>
      </c>
      <c r="V103" s="37">
        <v>1</v>
      </c>
      <c r="AE103" s="37" t="s">
        <v>56</v>
      </c>
      <c r="AF103" s="37" t="s">
        <v>57</v>
      </c>
      <c r="AH103" s="37">
        <v>1.46</v>
      </c>
      <c r="AI103" s="37">
        <v>1.46</v>
      </c>
      <c r="AN103" s="37">
        <v>316</v>
      </c>
      <c r="AO103" s="59">
        <v>0.2</v>
      </c>
      <c r="AP103" s="37">
        <f t="shared" si="1"/>
        <v>379.2</v>
      </c>
    </row>
    <row r="104" spans="1:42" x14ac:dyDescent="0.3">
      <c r="A104" s="37" t="s">
        <v>3914</v>
      </c>
      <c r="B104" s="37" t="s">
        <v>3838</v>
      </c>
      <c r="C104" s="37" t="s">
        <v>3941</v>
      </c>
      <c r="D104" s="55">
        <v>8435668013482</v>
      </c>
      <c r="E104" s="37" t="s">
        <v>4388</v>
      </c>
      <c r="F104" s="37" t="s">
        <v>3788</v>
      </c>
      <c r="G104" s="28"/>
      <c r="H104" s="56" t="s">
        <v>4086</v>
      </c>
      <c r="I104" s="56" t="s">
        <v>4087</v>
      </c>
      <c r="J104" s="56"/>
      <c r="K104" s="56"/>
      <c r="L104" s="56"/>
      <c r="M104" s="56" t="s">
        <v>3975</v>
      </c>
      <c r="N104" s="56"/>
      <c r="P104" s="37" t="s">
        <v>1830</v>
      </c>
      <c r="Q104" s="37" t="s">
        <v>4311</v>
      </c>
      <c r="R104" s="28" t="s">
        <v>3488</v>
      </c>
      <c r="S104" s="37" t="s">
        <v>3482</v>
      </c>
      <c r="T104" s="53" t="s">
        <v>3484</v>
      </c>
      <c r="V104" s="37">
        <v>1</v>
      </c>
      <c r="AE104" s="37" t="s">
        <v>56</v>
      </c>
      <c r="AF104" s="37" t="s">
        <v>57</v>
      </c>
      <c r="AH104" s="37">
        <v>1.46</v>
      </c>
      <c r="AI104" s="37">
        <v>1.46</v>
      </c>
      <c r="AN104" s="37">
        <v>316</v>
      </c>
      <c r="AO104" s="59">
        <v>0.2</v>
      </c>
      <c r="AP104" s="37">
        <f t="shared" si="1"/>
        <v>379.2</v>
      </c>
    </row>
    <row r="105" spans="1:42" x14ac:dyDescent="0.3">
      <c r="A105" s="37" t="s">
        <v>3915</v>
      </c>
      <c r="B105" s="37" t="s">
        <v>3839</v>
      </c>
      <c r="C105" s="37" t="s">
        <v>3941</v>
      </c>
      <c r="D105" s="55">
        <v>8435668013390</v>
      </c>
      <c r="E105" s="37" t="s">
        <v>4389</v>
      </c>
      <c r="F105" s="37" t="s">
        <v>3788</v>
      </c>
      <c r="G105" s="28"/>
      <c r="H105" s="56" t="s">
        <v>4088</v>
      </c>
      <c r="I105" s="56" t="s">
        <v>4089</v>
      </c>
      <c r="J105" s="56" t="s">
        <v>4090</v>
      </c>
      <c r="K105" s="56"/>
      <c r="L105" s="56"/>
      <c r="M105" s="56" t="s">
        <v>3981</v>
      </c>
      <c r="N105" s="56"/>
      <c r="P105" s="37" t="s">
        <v>1830</v>
      </c>
      <c r="Q105" s="37" t="s">
        <v>4312</v>
      </c>
      <c r="R105" s="28" t="s">
        <v>3488</v>
      </c>
      <c r="S105" s="37" t="s">
        <v>3482</v>
      </c>
      <c r="T105" s="53" t="s">
        <v>3484</v>
      </c>
      <c r="V105" s="37">
        <v>1</v>
      </c>
      <c r="AE105" s="37" t="s">
        <v>56</v>
      </c>
      <c r="AF105" s="37" t="s">
        <v>57</v>
      </c>
      <c r="AH105" s="37">
        <v>1.46</v>
      </c>
      <c r="AI105" s="37">
        <v>1.46</v>
      </c>
      <c r="AN105" s="37">
        <v>422</v>
      </c>
      <c r="AO105" s="59">
        <v>0.2</v>
      </c>
      <c r="AP105" s="37">
        <f t="shared" si="1"/>
        <v>506.4</v>
      </c>
    </row>
    <row r="106" spans="1:42" x14ac:dyDescent="0.3">
      <c r="A106" s="37" t="s">
        <v>3916</v>
      </c>
      <c r="B106" s="37" t="s">
        <v>3840</v>
      </c>
      <c r="C106" s="37" t="s">
        <v>3941</v>
      </c>
      <c r="D106" s="55">
        <v>8435668012478</v>
      </c>
      <c r="E106" s="37" t="s">
        <v>4390</v>
      </c>
      <c r="F106" s="37" t="s">
        <v>3788</v>
      </c>
      <c r="G106" s="28"/>
      <c r="H106" s="56" t="s">
        <v>4091</v>
      </c>
      <c r="I106" s="56" t="s">
        <v>4092</v>
      </c>
      <c r="J106" s="56"/>
      <c r="K106" s="56"/>
      <c r="L106" s="56"/>
      <c r="M106" s="56" t="s">
        <v>3981</v>
      </c>
      <c r="N106" s="56"/>
      <c r="P106" s="37" t="s">
        <v>1830</v>
      </c>
      <c r="Q106" s="37" t="s">
        <v>4312</v>
      </c>
      <c r="R106" s="28" t="s">
        <v>3488</v>
      </c>
      <c r="S106" s="37" t="s">
        <v>3482</v>
      </c>
      <c r="T106" s="53" t="s">
        <v>3484</v>
      </c>
      <c r="V106" s="37">
        <v>1</v>
      </c>
      <c r="AE106" s="37" t="s">
        <v>56</v>
      </c>
      <c r="AF106" s="37" t="s">
        <v>57</v>
      </c>
      <c r="AH106" s="37">
        <v>1.46</v>
      </c>
      <c r="AI106" s="37">
        <v>1.46</v>
      </c>
      <c r="AN106" s="37">
        <v>422</v>
      </c>
      <c r="AO106" s="59">
        <v>0.2</v>
      </c>
      <c r="AP106" s="37">
        <f t="shared" si="1"/>
        <v>506.4</v>
      </c>
    </row>
    <row r="107" spans="1:42" x14ac:dyDescent="0.3">
      <c r="A107" s="37" t="s">
        <v>3917</v>
      </c>
      <c r="B107" s="37" t="s">
        <v>3841</v>
      </c>
      <c r="C107" s="37" t="s">
        <v>3941</v>
      </c>
      <c r="D107" s="55">
        <v>8435668012096</v>
      </c>
      <c r="E107" s="37" t="s">
        <v>4391</v>
      </c>
      <c r="F107" s="37" t="s">
        <v>3788</v>
      </c>
      <c r="G107" s="28"/>
      <c r="H107" s="56" t="s">
        <v>4093</v>
      </c>
      <c r="I107" s="56" t="s">
        <v>4094</v>
      </c>
      <c r="J107" s="56" t="s">
        <v>4095</v>
      </c>
      <c r="K107" s="56"/>
      <c r="L107" s="56"/>
      <c r="M107" s="56" t="s">
        <v>3987</v>
      </c>
      <c r="N107" s="56"/>
      <c r="P107" s="37" t="s">
        <v>1830</v>
      </c>
      <c r="Q107" s="37" t="s">
        <v>4311</v>
      </c>
      <c r="R107" s="28" t="s">
        <v>3488</v>
      </c>
      <c r="S107" s="37" t="s">
        <v>3482</v>
      </c>
      <c r="T107" s="53" t="s">
        <v>3484</v>
      </c>
      <c r="V107" s="37">
        <v>1</v>
      </c>
      <c r="AE107" s="37" t="s">
        <v>56</v>
      </c>
      <c r="AF107" s="37" t="s">
        <v>57</v>
      </c>
      <c r="AH107" s="37">
        <v>1.46</v>
      </c>
      <c r="AI107" s="37">
        <v>1.46</v>
      </c>
      <c r="AN107" s="37">
        <v>218</v>
      </c>
      <c r="AO107" s="59">
        <v>0.2</v>
      </c>
      <c r="AP107" s="37">
        <f t="shared" si="1"/>
        <v>261.59999999999997</v>
      </c>
    </row>
    <row r="108" spans="1:42" x14ac:dyDescent="0.3">
      <c r="A108" s="37" t="s">
        <v>3918</v>
      </c>
      <c r="B108" s="37" t="s">
        <v>3842</v>
      </c>
      <c r="C108" s="37" t="s">
        <v>3941</v>
      </c>
      <c r="D108" s="55">
        <v>8435668023207</v>
      </c>
      <c r="E108" s="37" t="s">
        <v>4392</v>
      </c>
      <c r="F108" s="37" t="s">
        <v>3788</v>
      </c>
      <c r="G108" s="28"/>
      <c r="H108" s="56" t="s">
        <v>4096</v>
      </c>
      <c r="I108" s="56" t="s">
        <v>4097</v>
      </c>
      <c r="J108" s="56"/>
      <c r="K108" s="56"/>
      <c r="L108" s="56"/>
      <c r="M108" s="56"/>
      <c r="N108" s="56"/>
      <c r="P108" s="37" t="s">
        <v>1830</v>
      </c>
      <c r="Q108" s="37" t="s">
        <v>4312</v>
      </c>
      <c r="R108" s="28" t="s">
        <v>3488</v>
      </c>
      <c r="S108" s="37" t="s">
        <v>3482</v>
      </c>
      <c r="T108" s="53" t="s">
        <v>3486</v>
      </c>
      <c r="V108" s="37">
        <v>1</v>
      </c>
      <c r="AE108" s="37" t="s">
        <v>56</v>
      </c>
      <c r="AF108" s="37" t="s">
        <v>57</v>
      </c>
      <c r="AH108" s="37">
        <v>1.46</v>
      </c>
      <c r="AI108" s="37">
        <v>1.46</v>
      </c>
      <c r="AN108" s="37">
        <v>370</v>
      </c>
      <c r="AO108" s="59">
        <v>0.2</v>
      </c>
      <c r="AP108" s="37">
        <f t="shared" si="1"/>
        <v>444</v>
      </c>
    </row>
    <row r="109" spans="1:42" x14ac:dyDescent="0.3">
      <c r="A109" s="37" t="s">
        <v>3919</v>
      </c>
      <c r="B109" s="37" t="s">
        <v>3843</v>
      </c>
      <c r="C109" s="37" t="s">
        <v>3941</v>
      </c>
      <c r="D109" s="55">
        <v>8435668011297</v>
      </c>
      <c r="E109" s="37" t="s">
        <v>4393</v>
      </c>
      <c r="F109" s="37" t="s">
        <v>3788</v>
      </c>
      <c r="G109" s="28"/>
      <c r="H109" s="56" t="s">
        <v>4098</v>
      </c>
      <c r="I109" s="56" t="s">
        <v>4099</v>
      </c>
      <c r="J109" s="56" t="s">
        <v>4100</v>
      </c>
      <c r="K109" s="56"/>
      <c r="L109" s="56"/>
      <c r="M109" s="56" t="s">
        <v>3951</v>
      </c>
      <c r="N109" s="56"/>
      <c r="P109" s="37" t="s">
        <v>1830</v>
      </c>
      <c r="Q109" s="37" t="s">
        <v>4311</v>
      </c>
      <c r="R109" s="28" t="s">
        <v>3488</v>
      </c>
      <c r="S109" s="37" t="s">
        <v>3789</v>
      </c>
      <c r="T109" s="53" t="s">
        <v>3486</v>
      </c>
      <c r="V109" s="37">
        <v>1</v>
      </c>
      <c r="AE109" s="37" t="s">
        <v>56</v>
      </c>
      <c r="AF109" s="37" t="s">
        <v>57</v>
      </c>
      <c r="AH109" s="37">
        <v>1.46</v>
      </c>
      <c r="AI109" s="37">
        <v>1.46</v>
      </c>
      <c r="AN109" s="37">
        <v>106</v>
      </c>
      <c r="AO109" s="59">
        <v>0.2</v>
      </c>
      <c r="AP109" s="37">
        <f t="shared" si="1"/>
        <v>127.19999999999999</v>
      </c>
    </row>
    <row r="110" spans="1:42" x14ac:dyDescent="0.3">
      <c r="A110" s="37" t="s">
        <v>3920</v>
      </c>
      <c r="B110" s="37" t="s">
        <v>3844</v>
      </c>
      <c r="C110" s="37" t="s">
        <v>3941</v>
      </c>
      <c r="D110" s="55">
        <v>8435668011419</v>
      </c>
      <c r="E110" s="37" t="s">
        <v>4394</v>
      </c>
      <c r="F110" s="37" t="s">
        <v>3788</v>
      </c>
      <c r="G110" s="28"/>
      <c r="H110" s="56" t="s">
        <v>4101</v>
      </c>
      <c r="I110" s="56" t="s">
        <v>4102</v>
      </c>
      <c r="J110" s="56" t="s">
        <v>4103</v>
      </c>
      <c r="K110" s="56"/>
      <c r="L110" s="56"/>
      <c r="M110" s="56" t="s">
        <v>3955</v>
      </c>
      <c r="N110" s="56"/>
      <c r="P110" s="37" t="s">
        <v>1830</v>
      </c>
      <c r="Q110" s="37" t="s">
        <v>4311</v>
      </c>
      <c r="R110" s="28" t="s">
        <v>3488</v>
      </c>
      <c r="S110" s="37" t="s">
        <v>3789</v>
      </c>
      <c r="T110" s="53" t="s">
        <v>3486</v>
      </c>
      <c r="V110" s="37">
        <v>1</v>
      </c>
      <c r="AE110" s="37" t="s">
        <v>56</v>
      </c>
      <c r="AF110" s="37" t="s">
        <v>57</v>
      </c>
      <c r="AH110" s="37">
        <v>1.46</v>
      </c>
      <c r="AI110" s="37">
        <v>1.46</v>
      </c>
      <c r="AN110" s="37">
        <v>179</v>
      </c>
      <c r="AO110" s="59">
        <v>0.2</v>
      </c>
      <c r="AP110" s="37">
        <f t="shared" si="1"/>
        <v>214.79999999999998</v>
      </c>
    </row>
    <row r="111" spans="1:42" x14ac:dyDescent="0.3">
      <c r="A111" s="37" t="s">
        <v>3921</v>
      </c>
      <c r="B111" s="37" t="s">
        <v>3845</v>
      </c>
      <c r="C111" s="37" t="s">
        <v>3941</v>
      </c>
      <c r="D111" s="55">
        <v>8435668013017</v>
      </c>
      <c r="E111" s="37" t="s">
        <v>4395</v>
      </c>
      <c r="F111" s="37" t="s">
        <v>3788</v>
      </c>
      <c r="G111" s="28"/>
      <c r="H111" s="56" t="s">
        <v>4104</v>
      </c>
      <c r="I111" s="56" t="s">
        <v>4105</v>
      </c>
      <c r="J111" s="56" t="s">
        <v>4106</v>
      </c>
      <c r="K111" s="56"/>
      <c r="L111" s="56"/>
      <c r="M111" s="56" t="s">
        <v>3959</v>
      </c>
      <c r="N111" s="56"/>
      <c r="P111" s="37" t="s">
        <v>1830</v>
      </c>
      <c r="Q111" s="37" t="s">
        <v>4312</v>
      </c>
      <c r="R111" s="28" t="s">
        <v>3488</v>
      </c>
      <c r="S111" s="37" t="s">
        <v>3789</v>
      </c>
      <c r="T111" s="53" t="s">
        <v>3486</v>
      </c>
      <c r="V111" s="37">
        <v>1</v>
      </c>
      <c r="AE111" s="37" t="s">
        <v>56</v>
      </c>
      <c r="AF111" s="37" t="s">
        <v>57</v>
      </c>
      <c r="AH111" s="37">
        <v>1.46</v>
      </c>
      <c r="AI111" s="37">
        <v>1.46</v>
      </c>
      <c r="AN111" s="37">
        <v>243</v>
      </c>
      <c r="AO111" s="59">
        <v>0.2</v>
      </c>
      <c r="AP111" s="37">
        <f t="shared" si="1"/>
        <v>291.59999999999997</v>
      </c>
    </row>
    <row r="112" spans="1:42" x14ac:dyDescent="0.3">
      <c r="A112" s="37" t="s">
        <v>3922</v>
      </c>
      <c r="B112" s="37" t="s">
        <v>3846</v>
      </c>
      <c r="C112" s="37" t="s">
        <v>3941</v>
      </c>
      <c r="D112" s="55">
        <v>8435668012485</v>
      </c>
      <c r="F112" s="37" t="s">
        <v>3788</v>
      </c>
      <c r="G112" s="28"/>
      <c r="H112" s="56" t="s">
        <v>4107</v>
      </c>
      <c r="I112" s="56" t="s">
        <v>4108</v>
      </c>
      <c r="J112" s="56" t="s">
        <v>4109</v>
      </c>
      <c r="K112" s="56"/>
      <c r="L112" s="56"/>
      <c r="M112" s="56" t="s">
        <v>3963</v>
      </c>
      <c r="N112" s="56"/>
      <c r="P112" s="37" t="s">
        <v>1830</v>
      </c>
      <c r="Q112" s="37" t="s">
        <v>4312</v>
      </c>
      <c r="R112" s="28" t="s">
        <v>3488</v>
      </c>
      <c r="S112" s="37" t="s">
        <v>3789</v>
      </c>
      <c r="T112" s="53" t="s">
        <v>3486</v>
      </c>
      <c r="V112" s="37">
        <v>1</v>
      </c>
      <c r="AE112" s="37" t="s">
        <v>56</v>
      </c>
      <c r="AF112" s="37" t="s">
        <v>57</v>
      </c>
      <c r="AH112" s="37">
        <v>1.46</v>
      </c>
      <c r="AI112" s="37">
        <v>1.46</v>
      </c>
      <c r="AN112" s="37">
        <v>271</v>
      </c>
      <c r="AO112" s="59">
        <v>0.2</v>
      </c>
      <c r="AP112" s="37">
        <f t="shared" si="1"/>
        <v>325.2</v>
      </c>
    </row>
    <row r="113" spans="1:42" x14ac:dyDescent="0.3">
      <c r="A113" s="37" t="s">
        <v>3923</v>
      </c>
      <c r="B113" s="37" t="s">
        <v>3847</v>
      </c>
      <c r="C113" s="37" t="s">
        <v>3941</v>
      </c>
      <c r="D113" s="55">
        <v>8435668012416</v>
      </c>
      <c r="F113" s="37" t="s">
        <v>3788</v>
      </c>
      <c r="G113" s="28"/>
      <c r="H113" s="56" t="s">
        <v>4110</v>
      </c>
      <c r="I113" s="56" t="s">
        <v>4111</v>
      </c>
      <c r="J113" s="56" t="s">
        <v>4112</v>
      </c>
      <c r="K113" s="56"/>
      <c r="L113" s="56"/>
      <c r="M113" s="56" t="s">
        <v>3975</v>
      </c>
      <c r="N113" s="56"/>
      <c r="P113" s="37" t="s">
        <v>1830</v>
      </c>
      <c r="Q113" s="37" t="s">
        <v>4311</v>
      </c>
      <c r="R113" s="28" t="s">
        <v>3488</v>
      </c>
      <c r="S113" s="37" t="s">
        <v>3482</v>
      </c>
      <c r="T113" s="53" t="s">
        <v>3486</v>
      </c>
      <c r="V113" s="37">
        <v>1</v>
      </c>
      <c r="AE113" s="37" t="s">
        <v>56</v>
      </c>
      <c r="AF113" s="37" t="s">
        <v>57</v>
      </c>
      <c r="AH113" s="37">
        <v>1.46</v>
      </c>
      <c r="AI113" s="37">
        <v>1.46</v>
      </c>
      <c r="AN113" s="37">
        <v>316</v>
      </c>
      <c r="AO113" s="59">
        <v>0.2</v>
      </c>
      <c r="AP113" s="37">
        <f t="shared" si="1"/>
        <v>379.2</v>
      </c>
    </row>
    <row r="114" spans="1:42" x14ac:dyDescent="0.3">
      <c r="A114" s="37" t="s">
        <v>3924</v>
      </c>
      <c r="B114" s="37" t="s">
        <v>3848</v>
      </c>
      <c r="C114" s="37" t="s">
        <v>3941</v>
      </c>
      <c r="D114" s="55">
        <v>8435668012539</v>
      </c>
      <c r="F114" s="37" t="s">
        <v>3788</v>
      </c>
      <c r="G114" s="28"/>
      <c r="H114" s="56" t="s">
        <v>4113</v>
      </c>
      <c r="I114" s="56" t="s">
        <v>4114</v>
      </c>
      <c r="J114" s="56"/>
      <c r="K114" s="56"/>
      <c r="L114" s="56"/>
      <c r="M114" s="56" t="s">
        <v>3975</v>
      </c>
      <c r="N114" s="56"/>
      <c r="P114" s="37" t="s">
        <v>1830</v>
      </c>
      <c r="Q114" s="37" t="s">
        <v>4311</v>
      </c>
      <c r="R114" s="28" t="s">
        <v>3488</v>
      </c>
      <c r="S114" s="37" t="s">
        <v>3482</v>
      </c>
      <c r="T114" s="53" t="s">
        <v>3486</v>
      </c>
      <c r="V114" s="37">
        <v>1</v>
      </c>
      <c r="AE114" s="37" t="s">
        <v>56</v>
      </c>
      <c r="AF114" s="37" t="s">
        <v>57</v>
      </c>
      <c r="AH114" s="37">
        <v>1.46</v>
      </c>
      <c r="AI114" s="37">
        <v>1.46</v>
      </c>
      <c r="AN114" s="37">
        <v>316</v>
      </c>
      <c r="AO114" s="59">
        <v>0.2</v>
      </c>
      <c r="AP114" s="37">
        <f t="shared" si="1"/>
        <v>379.2</v>
      </c>
    </row>
    <row r="115" spans="1:42" x14ac:dyDescent="0.3">
      <c r="A115" s="37" t="s">
        <v>3925</v>
      </c>
      <c r="B115" s="37" t="s">
        <v>3849</v>
      </c>
      <c r="C115" s="37" t="s">
        <v>3941</v>
      </c>
      <c r="D115" s="55">
        <v>8435668013673</v>
      </c>
      <c r="F115" s="37" t="s">
        <v>3788</v>
      </c>
      <c r="G115" s="28"/>
      <c r="H115" s="56" t="s">
        <v>4115</v>
      </c>
      <c r="I115" s="56" t="s">
        <v>4116</v>
      </c>
      <c r="J115" s="56" t="s">
        <v>4117</v>
      </c>
      <c r="K115" s="56"/>
      <c r="L115" s="56"/>
      <c r="M115" s="56" t="s">
        <v>3981</v>
      </c>
      <c r="N115" s="56"/>
      <c r="P115" s="37" t="s">
        <v>1830</v>
      </c>
      <c r="Q115" s="37" t="s">
        <v>4311</v>
      </c>
      <c r="R115" s="28" t="s">
        <v>3488</v>
      </c>
      <c r="S115" s="37" t="s">
        <v>3482</v>
      </c>
      <c r="T115" s="53" t="s">
        <v>3486</v>
      </c>
      <c r="V115" s="37">
        <v>1</v>
      </c>
      <c r="AE115" s="37" t="s">
        <v>56</v>
      </c>
      <c r="AF115" s="37" t="s">
        <v>57</v>
      </c>
      <c r="AH115" s="37">
        <v>1.46</v>
      </c>
      <c r="AI115" s="37">
        <v>1.46</v>
      </c>
      <c r="AN115" s="37">
        <v>411</v>
      </c>
      <c r="AO115" s="59">
        <v>0.2</v>
      </c>
      <c r="AP115" s="37">
        <f t="shared" si="1"/>
        <v>493.2</v>
      </c>
    </row>
    <row r="116" spans="1:42" x14ac:dyDescent="0.3">
      <c r="A116" s="37" t="s">
        <v>3926</v>
      </c>
      <c r="B116" s="37" t="s">
        <v>3850</v>
      </c>
      <c r="C116" s="37" t="s">
        <v>3941</v>
      </c>
      <c r="D116" s="55">
        <v>8435668012829</v>
      </c>
      <c r="F116" s="37" t="s">
        <v>3788</v>
      </c>
      <c r="G116" s="28"/>
      <c r="H116" s="56" t="s">
        <v>4118</v>
      </c>
      <c r="I116" s="56" t="s">
        <v>4119</v>
      </c>
      <c r="J116" s="56"/>
      <c r="K116" s="56"/>
      <c r="L116" s="56"/>
      <c r="M116" s="56" t="s">
        <v>3981</v>
      </c>
      <c r="N116" s="56"/>
      <c r="P116" s="37" t="s">
        <v>1830</v>
      </c>
      <c r="Q116" s="37" t="s">
        <v>4312</v>
      </c>
      <c r="R116" s="28" t="s">
        <v>3488</v>
      </c>
      <c r="S116" s="37" t="s">
        <v>3482</v>
      </c>
      <c r="T116" s="53" t="s">
        <v>3486</v>
      </c>
      <c r="V116" s="37">
        <v>1</v>
      </c>
      <c r="AE116" s="37" t="s">
        <v>56</v>
      </c>
      <c r="AF116" s="37" t="s">
        <v>57</v>
      </c>
      <c r="AH116" s="37">
        <v>1.46</v>
      </c>
      <c r="AI116" s="37">
        <v>1.46</v>
      </c>
      <c r="AN116" s="37">
        <v>411</v>
      </c>
      <c r="AO116" s="59">
        <v>0.2</v>
      </c>
      <c r="AP116" s="37">
        <f t="shared" si="1"/>
        <v>493.2</v>
      </c>
    </row>
    <row r="117" spans="1:42" x14ac:dyDescent="0.3">
      <c r="A117" s="37" t="s">
        <v>3927</v>
      </c>
      <c r="B117" s="37" t="s">
        <v>3851</v>
      </c>
      <c r="C117" s="37" t="s">
        <v>3941</v>
      </c>
      <c r="D117" s="55">
        <v>8435668011471</v>
      </c>
      <c r="F117" s="37" t="s">
        <v>3788</v>
      </c>
      <c r="G117" s="28"/>
      <c r="H117" s="56" t="s">
        <v>4120</v>
      </c>
      <c r="I117" s="56" t="s">
        <v>4121</v>
      </c>
      <c r="J117" s="56" t="s">
        <v>4122</v>
      </c>
      <c r="K117" s="56"/>
      <c r="L117" s="56"/>
      <c r="M117" s="56" t="s">
        <v>3987</v>
      </c>
      <c r="N117" s="56"/>
      <c r="P117" s="37" t="s">
        <v>1830</v>
      </c>
      <c r="Q117" s="37" t="s">
        <v>4311</v>
      </c>
      <c r="R117" s="28" t="s">
        <v>3488</v>
      </c>
      <c r="S117" s="37" t="s">
        <v>3482</v>
      </c>
      <c r="T117" s="53" t="s">
        <v>3486</v>
      </c>
      <c r="V117" s="37">
        <v>1</v>
      </c>
      <c r="AE117" s="37" t="s">
        <v>56</v>
      </c>
      <c r="AF117" s="37" t="s">
        <v>57</v>
      </c>
      <c r="AH117" s="37">
        <v>1.46</v>
      </c>
      <c r="AI117" s="37">
        <v>1.46</v>
      </c>
      <c r="AN117" s="37">
        <v>205</v>
      </c>
      <c r="AO117" s="59">
        <v>0.2</v>
      </c>
      <c r="AP117" s="37">
        <f t="shared" si="1"/>
        <v>246</v>
      </c>
    </row>
    <row r="118" spans="1:42" x14ac:dyDescent="0.3">
      <c r="A118" s="37" t="s">
        <v>3928</v>
      </c>
      <c r="B118" s="37" t="s">
        <v>3852</v>
      </c>
      <c r="C118" s="37" t="s">
        <v>3941</v>
      </c>
      <c r="D118" s="55">
        <v>8435668030762</v>
      </c>
      <c r="F118" s="37" t="s">
        <v>3788</v>
      </c>
      <c r="G118" s="28"/>
      <c r="H118" s="56" t="s">
        <v>4123</v>
      </c>
      <c r="I118" s="56" t="s">
        <v>4124</v>
      </c>
      <c r="J118" s="56"/>
      <c r="K118" s="56"/>
      <c r="L118" s="56"/>
      <c r="M118" s="56"/>
      <c r="N118" s="56"/>
      <c r="P118" s="37" t="s">
        <v>1830</v>
      </c>
      <c r="Q118" s="37" t="s">
        <v>4311</v>
      </c>
      <c r="R118" s="28" t="s">
        <v>3488</v>
      </c>
      <c r="S118" s="37" t="s">
        <v>3482</v>
      </c>
      <c r="T118" s="53" t="s">
        <v>3486</v>
      </c>
      <c r="V118" s="37">
        <v>1</v>
      </c>
      <c r="AE118" s="37" t="s">
        <v>56</v>
      </c>
      <c r="AF118" s="37" t="s">
        <v>57</v>
      </c>
      <c r="AH118" s="37">
        <v>1.46</v>
      </c>
      <c r="AI118" s="37">
        <v>1.46</v>
      </c>
      <c r="AN118" s="37">
        <v>319</v>
      </c>
      <c r="AO118" s="59">
        <v>0.2</v>
      </c>
      <c r="AP118" s="37">
        <f t="shared" si="1"/>
        <v>382.8</v>
      </c>
    </row>
    <row r="119" spans="1:42" x14ac:dyDescent="0.3">
      <c r="A119" s="37" t="s">
        <v>3918</v>
      </c>
      <c r="B119" s="37" t="s">
        <v>3853</v>
      </c>
      <c r="C119" s="37" t="s">
        <v>3941</v>
      </c>
      <c r="D119" s="55">
        <v>8435668023207</v>
      </c>
      <c r="F119" s="37" t="s">
        <v>3788</v>
      </c>
      <c r="G119" s="28"/>
      <c r="H119" s="56" t="s">
        <v>4096</v>
      </c>
      <c r="I119" s="56" t="s">
        <v>4097</v>
      </c>
      <c r="J119" s="56"/>
      <c r="K119" s="56"/>
      <c r="L119" s="56"/>
      <c r="M119" s="56"/>
      <c r="N119" s="56"/>
      <c r="P119" s="37" t="s">
        <v>1830</v>
      </c>
      <c r="Q119" s="37" t="s">
        <v>4312</v>
      </c>
      <c r="R119" s="28" t="s">
        <v>3488</v>
      </c>
      <c r="S119" s="37" t="s">
        <v>3482</v>
      </c>
      <c r="T119" s="53" t="s">
        <v>3486</v>
      </c>
      <c r="V119" s="37">
        <v>1</v>
      </c>
      <c r="AE119" s="37" t="s">
        <v>56</v>
      </c>
      <c r="AF119" s="37" t="s">
        <v>57</v>
      </c>
      <c r="AH119" s="37">
        <v>1.46</v>
      </c>
      <c r="AI119" s="37">
        <v>1.46</v>
      </c>
      <c r="AN119" s="37">
        <v>370</v>
      </c>
      <c r="AO119" s="59">
        <v>0.2</v>
      </c>
      <c r="AP119" s="37">
        <f t="shared" si="1"/>
        <v>444</v>
      </c>
    </row>
    <row r="120" spans="1:42" x14ac:dyDescent="0.3">
      <c r="A120" s="37" t="s">
        <v>3929</v>
      </c>
      <c r="B120" s="37" t="s">
        <v>3854</v>
      </c>
      <c r="C120" s="37" t="s">
        <v>3941</v>
      </c>
      <c r="D120" s="55">
        <v>8435668039109</v>
      </c>
      <c r="F120" s="37" t="s">
        <v>3788</v>
      </c>
      <c r="G120" s="28"/>
      <c r="H120" s="56" t="s">
        <v>4125</v>
      </c>
      <c r="I120" s="56" t="s">
        <v>4126</v>
      </c>
      <c r="J120" s="56"/>
      <c r="K120" s="56" t="s">
        <v>4127</v>
      </c>
      <c r="L120" s="56" t="s">
        <v>4128</v>
      </c>
      <c r="M120" s="56"/>
      <c r="N120" s="56"/>
      <c r="P120" s="37" t="s">
        <v>1830</v>
      </c>
      <c r="Q120" s="37" t="s">
        <v>4311</v>
      </c>
      <c r="R120" s="28" t="s">
        <v>3488</v>
      </c>
      <c r="S120" s="37" t="s">
        <v>3482</v>
      </c>
      <c r="T120" s="53" t="s">
        <v>3487</v>
      </c>
      <c r="V120" s="37">
        <v>1</v>
      </c>
      <c r="AE120" s="37" t="s">
        <v>56</v>
      </c>
      <c r="AF120" s="37" t="s">
        <v>57</v>
      </c>
      <c r="AH120" s="37">
        <v>1.46</v>
      </c>
      <c r="AI120" s="37">
        <v>1.46</v>
      </c>
      <c r="AN120" s="37">
        <v>319</v>
      </c>
      <c r="AO120" s="59">
        <v>0.2</v>
      </c>
      <c r="AP120" s="37">
        <f t="shared" si="1"/>
        <v>382.8</v>
      </c>
    </row>
    <row r="121" spans="1:42" x14ac:dyDescent="0.3">
      <c r="A121" s="37" t="s">
        <v>3930</v>
      </c>
      <c r="B121" s="37" t="s">
        <v>3855</v>
      </c>
      <c r="C121" s="37" t="s">
        <v>3941</v>
      </c>
      <c r="D121" s="55">
        <v>8435668039130</v>
      </c>
      <c r="F121" s="37" t="s">
        <v>3788</v>
      </c>
      <c r="G121" s="28"/>
      <c r="H121" s="56" t="s">
        <v>4129</v>
      </c>
      <c r="I121" s="56" t="s">
        <v>4130</v>
      </c>
      <c r="J121" s="56"/>
      <c r="K121" s="56"/>
      <c r="L121" s="56" t="s">
        <v>4128</v>
      </c>
      <c r="M121" s="56"/>
      <c r="N121" s="56"/>
      <c r="P121" s="37" t="s">
        <v>1830</v>
      </c>
      <c r="Q121" s="37" t="s">
        <v>4312</v>
      </c>
      <c r="R121" s="28" t="s">
        <v>3488</v>
      </c>
      <c r="S121" s="37" t="s">
        <v>3482</v>
      </c>
      <c r="T121" s="53" t="s">
        <v>3487</v>
      </c>
      <c r="V121" s="37">
        <v>1</v>
      </c>
      <c r="AE121" s="37" t="s">
        <v>56</v>
      </c>
      <c r="AF121" s="37" t="s">
        <v>57</v>
      </c>
      <c r="AH121" s="37">
        <v>1.46</v>
      </c>
      <c r="AI121" s="37">
        <v>1.46</v>
      </c>
      <c r="AN121" s="37">
        <v>370</v>
      </c>
      <c r="AO121" s="59">
        <v>0.2</v>
      </c>
      <c r="AP121" s="37">
        <f t="shared" si="1"/>
        <v>444</v>
      </c>
    </row>
    <row r="122" spans="1:42" x14ac:dyDescent="0.3">
      <c r="A122" s="37" t="s">
        <v>3931</v>
      </c>
      <c r="B122" s="37" t="s">
        <v>3856</v>
      </c>
      <c r="C122" s="37" t="s">
        <v>3941</v>
      </c>
      <c r="D122" s="55">
        <v>8435668032995</v>
      </c>
      <c r="F122" s="37" t="s">
        <v>3788</v>
      </c>
      <c r="G122" s="28"/>
      <c r="H122" s="56" t="s">
        <v>4131</v>
      </c>
      <c r="I122" s="56" t="s">
        <v>4132</v>
      </c>
      <c r="J122" s="56" t="s">
        <v>4133</v>
      </c>
      <c r="K122" s="56"/>
      <c r="L122" s="56" t="s">
        <v>4134</v>
      </c>
      <c r="M122" s="56"/>
      <c r="N122" s="56"/>
      <c r="P122" s="37" t="s">
        <v>1830</v>
      </c>
      <c r="Q122" s="37" t="s">
        <v>4311</v>
      </c>
      <c r="R122" s="28" t="s">
        <v>3488</v>
      </c>
      <c r="S122" s="37" t="s">
        <v>3482</v>
      </c>
      <c r="T122" s="53" t="s">
        <v>3484</v>
      </c>
      <c r="V122" s="37">
        <v>1</v>
      </c>
      <c r="AE122" s="37" t="s">
        <v>56</v>
      </c>
      <c r="AF122" s="37" t="s">
        <v>57</v>
      </c>
      <c r="AH122" s="37">
        <v>1.46</v>
      </c>
      <c r="AI122" s="37">
        <v>1.46</v>
      </c>
      <c r="AN122" s="37">
        <v>353</v>
      </c>
      <c r="AO122" s="59">
        <v>0.2</v>
      </c>
      <c r="AP122" s="37">
        <f t="shared" si="1"/>
        <v>423.59999999999997</v>
      </c>
    </row>
    <row r="123" spans="1:42" x14ac:dyDescent="0.3">
      <c r="A123" s="37" t="s">
        <v>3932</v>
      </c>
      <c r="B123" s="37" t="s">
        <v>3857</v>
      </c>
      <c r="C123" s="37" t="s">
        <v>3941</v>
      </c>
      <c r="D123" s="55">
        <v>8435668031233</v>
      </c>
      <c r="F123" s="37" t="s">
        <v>3788</v>
      </c>
      <c r="G123" s="28"/>
      <c r="H123" s="56" t="s">
        <v>4135</v>
      </c>
      <c r="I123" s="56" t="s">
        <v>4136</v>
      </c>
      <c r="J123" s="56" t="s">
        <v>4137</v>
      </c>
      <c r="K123" s="56"/>
      <c r="L123" s="56"/>
      <c r="M123" s="56"/>
      <c r="N123" s="56"/>
      <c r="P123" s="37" t="s">
        <v>1830</v>
      </c>
      <c r="Q123" s="37" t="s">
        <v>4312</v>
      </c>
      <c r="R123" s="28" t="s">
        <v>3488</v>
      </c>
      <c r="S123" s="37" t="s">
        <v>3482</v>
      </c>
      <c r="T123" s="53" t="s">
        <v>3484</v>
      </c>
      <c r="V123" s="37">
        <v>1</v>
      </c>
      <c r="AE123" s="37" t="s">
        <v>56</v>
      </c>
      <c r="AF123" s="37" t="s">
        <v>57</v>
      </c>
      <c r="AH123" s="37">
        <v>1.46</v>
      </c>
      <c r="AI123" s="37">
        <v>1.46</v>
      </c>
      <c r="AN123" s="37">
        <v>370</v>
      </c>
      <c r="AO123" s="59">
        <v>0.2</v>
      </c>
      <c r="AP123" s="37">
        <f t="shared" si="1"/>
        <v>444</v>
      </c>
    </row>
    <row r="124" spans="1:42" x14ac:dyDescent="0.3">
      <c r="A124" s="37" t="s">
        <v>3919</v>
      </c>
      <c r="B124" s="37" t="s">
        <v>3858</v>
      </c>
      <c r="C124" s="37" t="s">
        <v>3941</v>
      </c>
      <c r="D124" s="55">
        <v>8435668033862</v>
      </c>
      <c r="F124" s="37" t="s">
        <v>3788</v>
      </c>
      <c r="G124" s="28"/>
      <c r="H124" s="56" t="s">
        <v>4138</v>
      </c>
      <c r="I124" s="56" t="s">
        <v>4139</v>
      </c>
      <c r="J124" s="56"/>
      <c r="K124" s="56"/>
      <c r="L124" s="56"/>
      <c r="M124" s="56"/>
      <c r="N124" s="56"/>
      <c r="P124" s="37" t="s">
        <v>1830</v>
      </c>
      <c r="Q124" s="37" t="s">
        <v>4311</v>
      </c>
      <c r="R124" s="28" t="s">
        <v>3488</v>
      </c>
      <c r="S124" s="37" t="s">
        <v>3789</v>
      </c>
      <c r="T124" s="53" t="s">
        <v>3487</v>
      </c>
      <c r="V124" s="37">
        <v>1</v>
      </c>
      <c r="AE124" s="37" t="s">
        <v>56</v>
      </c>
      <c r="AF124" s="37" t="s">
        <v>57</v>
      </c>
      <c r="AH124" s="37">
        <v>1.46</v>
      </c>
      <c r="AI124" s="37">
        <v>1.46</v>
      </c>
      <c r="AN124" s="37">
        <v>111</v>
      </c>
      <c r="AO124" s="59">
        <v>0.2</v>
      </c>
      <c r="AP124" s="37">
        <f t="shared" si="1"/>
        <v>133.19999999999999</v>
      </c>
    </row>
    <row r="125" spans="1:42" x14ac:dyDescent="0.3">
      <c r="A125" s="37" t="s">
        <v>3933</v>
      </c>
      <c r="B125" s="37" t="s">
        <v>3859</v>
      </c>
      <c r="C125" s="37" t="s">
        <v>3941</v>
      </c>
      <c r="D125" s="55">
        <v>8435668033886</v>
      </c>
      <c r="F125" s="37" t="s">
        <v>3788</v>
      </c>
      <c r="G125" s="28"/>
      <c r="H125" s="56" t="s">
        <v>4140</v>
      </c>
      <c r="I125" s="56" t="s">
        <v>4141</v>
      </c>
      <c r="J125" s="56" t="s">
        <v>4142</v>
      </c>
      <c r="K125" s="56"/>
      <c r="L125" s="56"/>
      <c r="M125" s="56"/>
      <c r="N125" s="56"/>
      <c r="P125" s="37" t="s">
        <v>1830</v>
      </c>
      <c r="Q125" s="37" t="s">
        <v>4311</v>
      </c>
      <c r="R125" s="28" t="s">
        <v>3488</v>
      </c>
      <c r="S125" s="37" t="s">
        <v>3789</v>
      </c>
      <c r="T125" s="53" t="s">
        <v>3487</v>
      </c>
      <c r="V125" s="37">
        <v>1</v>
      </c>
      <c r="AE125" s="37" t="s">
        <v>56</v>
      </c>
      <c r="AF125" s="37" t="s">
        <v>57</v>
      </c>
      <c r="AH125" s="37">
        <v>1.46</v>
      </c>
      <c r="AI125" s="37">
        <v>1.46</v>
      </c>
      <c r="AN125" s="37">
        <v>179</v>
      </c>
      <c r="AO125" s="59">
        <v>0.2</v>
      </c>
      <c r="AP125" s="37">
        <f t="shared" si="1"/>
        <v>214.79999999999998</v>
      </c>
    </row>
    <row r="126" spans="1:42" x14ac:dyDescent="0.3">
      <c r="A126" s="37" t="s">
        <v>3934</v>
      </c>
      <c r="B126" s="37" t="s">
        <v>3860</v>
      </c>
      <c r="C126" s="37" t="s">
        <v>3941</v>
      </c>
      <c r="D126" s="55">
        <v>8435668034852</v>
      </c>
      <c r="F126" s="37" t="s">
        <v>3788</v>
      </c>
      <c r="G126" s="28"/>
      <c r="H126" s="56" t="s">
        <v>4143</v>
      </c>
      <c r="I126" s="28"/>
      <c r="J126" s="56"/>
      <c r="K126" s="56"/>
      <c r="L126" s="56"/>
      <c r="M126" s="56"/>
      <c r="N126" s="56"/>
      <c r="P126" s="37" t="s">
        <v>1830</v>
      </c>
      <c r="Q126" s="37" t="s">
        <v>4312</v>
      </c>
      <c r="R126" s="28" t="s">
        <v>3488</v>
      </c>
      <c r="S126" s="37" t="s">
        <v>3790</v>
      </c>
      <c r="T126" s="53" t="s">
        <v>3487</v>
      </c>
      <c r="V126" s="37">
        <v>1</v>
      </c>
      <c r="AE126" s="37" t="s">
        <v>56</v>
      </c>
      <c r="AF126" s="37" t="s">
        <v>57</v>
      </c>
      <c r="AN126" s="37">
        <v>284</v>
      </c>
      <c r="AO126" s="59">
        <v>0.2</v>
      </c>
      <c r="AP126" s="37">
        <f t="shared" si="1"/>
        <v>340.8</v>
      </c>
    </row>
    <row r="127" spans="1:42" x14ac:dyDescent="0.3">
      <c r="A127" s="37" t="s">
        <v>3935</v>
      </c>
      <c r="B127" s="37" t="s">
        <v>3861</v>
      </c>
      <c r="C127" s="37" t="s">
        <v>3941</v>
      </c>
      <c r="D127" s="55">
        <v>8435668034869</v>
      </c>
      <c r="F127" s="37" t="s">
        <v>3788</v>
      </c>
      <c r="G127" s="28"/>
      <c r="H127" s="56" t="s">
        <v>4144</v>
      </c>
      <c r="I127" s="56"/>
      <c r="J127" s="56" t="s">
        <v>4145</v>
      </c>
      <c r="K127" s="56" t="s">
        <v>4146</v>
      </c>
      <c r="L127" s="56"/>
      <c r="M127" s="56" t="s">
        <v>4147</v>
      </c>
      <c r="N127" s="56"/>
      <c r="P127" s="37" t="s">
        <v>1830</v>
      </c>
      <c r="Q127" s="37" t="s">
        <v>4312</v>
      </c>
      <c r="R127" s="28" t="s">
        <v>3488</v>
      </c>
      <c r="S127" s="37" t="s">
        <v>3789</v>
      </c>
      <c r="T127" s="53" t="s">
        <v>3487</v>
      </c>
      <c r="V127" s="37">
        <v>1</v>
      </c>
      <c r="AE127" s="37" t="s">
        <v>56</v>
      </c>
      <c r="AF127" s="37" t="s">
        <v>57</v>
      </c>
      <c r="AN127" s="37">
        <v>246</v>
      </c>
      <c r="AO127" s="59">
        <v>0.2</v>
      </c>
      <c r="AP127" s="37">
        <f t="shared" si="1"/>
        <v>295.2</v>
      </c>
    </row>
    <row r="128" spans="1:42" x14ac:dyDescent="0.3">
      <c r="A128" s="37" t="s">
        <v>3936</v>
      </c>
      <c r="B128" s="37" t="s">
        <v>3862</v>
      </c>
      <c r="C128" s="37" t="s">
        <v>3941</v>
      </c>
      <c r="D128" s="55">
        <v>8435668035170</v>
      </c>
      <c r="F128" s="37" t="s">
        <v>3788</v>
      </c>
      <c r="G128" s="28"/>
      <c r="H128" s="56" t="s">
        <v>4148</v>
      </c>
      <c r="I128" s="56" t="s">
        <v>4149</v>
      </c>
      <c r="J128" s="56" t="s">
        <v>4150</v>
      </c>
      <c r="K128" s="56" t="s">
        <v>4151</v>
      </c>
      <c r="L128" s="56"/>
      <c r="M128" s="56"/>
      <c r="N128" s="56"/>
      <c r="P128" s="37" t="s">
        <v>1830</v>
      </c>
      <c r="Q128" s="37" t="s">
        <v>4311</v>
      </c>
      <c r="R128" s="28" t="s">
        <v>3488</v>
      </c>
      <c r="S128" s="37" t="s">
        <v>3482</v>
      </c>
      <c r="T128" s="53" t="s">
        <v>3487</v>
      </c>
      <c r="V128" s="37">
        <v>1</v>
      </c>
      <c r="AE128" s="37" t="s">
        <v>56</v>
      </c>
      <c r="AF128" s="37" t="s">
        <v>57</v>
      </c>
      <c r="AN128" s="37">
        <v>204</v>
      </c>
      <c r="AO128" s="59">
        <v>0.2</v>
      </c>
      <c r="AP128" s="37">
        <f t="shared" si="1"/>
        <v>244.79999999999998</v>
      </c>
    </row>
    <row r="129" spans="1:42" x14ac:dyDescent="0.3">
      <c r="A129" s="37" t="s">
        <v>3937</v>
      </c>
      <c r="B129" s="37" t="s">
        <v>3863</v>
      </c>
      <c r="C129" s="37" t="s">
        <v>3941</v>
      </c>
      <c r="D129" s="55">
        <v>8435668035415</v>
      </c>
      <c r="F129" s="37" t="s">
        <v>3788</v>
      </c>
      <c r="G129" s="28"/>
      <c r="H129" s="56" t="s">
        <v>4152</v>
      </c>
      <c r="I129" s="56"/>
      <c r="J129" s="56"/>
      <c r="K129" s="56"/>
      <c r="L129" s="56"/>
      <c r="M129" s="56"/>
      <c r="N129" s="56"/>
      <c r="P129" s="37" t="s">
        <v>1830</v>
      </c>
      <c r="Q129" s="37" t="s">
        <v>4311</v>
      </c>
      <c r="R129" s="28" t="s">
        <v>3488</v>
      </c>
      <c r="S129" s="37" t="s">
        <v>3482</v>
      </c>
      <c r="T129" s="53" t="s">
        <v>3487</v>
      </c>
      <c r="V129" s="37">
        <v>1</v>
      </c>
      <c r="AE129" s="37" t="s">
        <v>56</v>
      </c>
      <c r="AF129" s="37" t="s">
        <v>57</v>
      </c>
      <c r="AN129" s="37">
        <v>316</v>
      </c>
      <c r="AO129" s="59">
        <v>0.2</v>
      </c>
      <c r="AP129" s="37">
        <f t="shared" si="1"/>
        <v>379.2</v>
      </c>
    </row>
    <row r="130" spans="1:42" x14ac:dyDescent="0.3">
      <c r="A130" s="37" t="s">
        <v>3938</v>
      </c>
      <c r="B130" s="37" t="s">
        <v>3864</v>
      </c>
      <c r="C130" s="37" t="s">
        <v>3941</v>
      </c>
      <c r="D130" s="55">
        <v>8435668035668</v>
      </c>
      <c r="F130" s="37" t="s">
        <v>3788</v>
      </c>
      <c r="G130" s="28"/>
      <c r="H130" s="56" t="s">
        <v>4153</v>
      </c>
      <c r="I130" s="56" t="s">
        <v>4154</v>
      </c>
      <c r="J130" s="56" t="s">
        <v>4154</v>
      </c>
      <c r="K130" s="56"/>
      <c r="L130" s="56"/>
      <c r="M130" s="56"/>
      <c r="N130" s="56"/>
      <c r="P130" s="37" t="s">
        <v>1830</v>
      </c>
      <c r="Q130" s="37" t="s">
        <v>4312</v>
      </c>
      <c r="R130" s="28" t="s">
        <v>3488</v>
      </c>
      <c r="S130" s="37" t="s">
        <v>3482</v>
      </c>
      <c r="T130" s="53" t="s">
        <v>3487</v>
      </c>
      <c r="V130" s="37">
        <v>1</v>
      </c>
      <c r="AE130" s="37" t="s">
        <v>56</v>
      </c>
      <c r="AF130" s="37" t="s">
        <v>57</v>
      </c>
      <c r="AN130" s="37">
        <v>420</v>
      </c>
      <c r="AO130" s="59">
        <v>0.2</v>
      </c>
      <c r="AP130" s="37">
        <f t="shared" si="1"/>
        <v>504</v>
      </c>
    </row>
    <row r="131" spans="1:42" x14ac:dyDescent="0.3">
      <c r="A131" s="37" t="s">
        <v>3939</v>
      </c>
      <c r="B131" s="37" t="s">
        <v>3865</v>
      </c>
      <c r="C131" s="37" t="s">
        <v>3941</v>
      </c>
      <c r="D131" s="55">
        <v>8435668040341</v>
      </c>
      <c r="F131" s="37" t="s">
        <v>3788</v>
      </c>
      <c r="G131" s="28"/>
      <c r="H131" s="56" t="s">
        <v>4155</v>
      </c>
      <c r="I131" s="28"/>
      <c r="J131" s="56"/>
      <c r="K131" s="56"/>
      <c r="L131" s="56"/>
      <c r="M131" s="56"/>
      <c r="N131" s="56"/>
      <c r="P131" s="37" t="s">
        <v>1830</v>
      </c>
      <c r="Q131" s="37" t="s">
        <v>4311</v>
      </c>
      <c r="R131" s="28" t="s">
        <v>3488</v>
      </c>
      <c r="S131" s="37" t="s">
        <v>3482</v>
      </c>
      <c r="T131" s="53" t="s">
        <v>3487</v>
      </c>
      <c r="V131" s="37">
        <v>1</v>
      </c>
      <c r="AE131" s="37" t="s">
        <v>56</v>
      </c>
      <c r="AF131" s="37" t="s">
        <v>57</v>
      </c>
      <c r="AN131" s="37">
        <v>316</v>
      </c>
      <c r="AO131" s="59">
        <v>0.2</v>
      </c>
      <c r="AP131" s="37">
        <f t="shared" ref="AP131:AP164" si="2">AN131*1.2</f>
        <v>379.2</v>
      </c>
    </row>
    <row r="132" spans="1:42" x14ac:dyDescent="0.3">
      <c r="A132" s="37" t="s">
        <v>3940</v>
      </c>
      <c r="B132" s="37" t="s">
        <v>3866</v>
      </c>
      <c r="C132" s="37" t="s">
        <v>3941</v>
      </c>
      <c r="D132" s="55">
        <v>8435668040358</v>
      </c>
      <c r="F132" s="37" t="s">
        <v>3788</v>
      </c>
      <c r="G132" s="28"/>
      <c r="H132" s="56" t="s">
        <v>4156</v>
      </c>
      <c r="I132" s="28"/>
      <c r="J132" s="56"/>
      <c r="K132" s="56"/>
      <c r="L132" s="56"/>
      <c r="M132" s="56"/>
      <c r="N132" s="56"/>
      <c r="P132" s="37" t="s">
        <v>1830</v>
      </c>
      <c r="Q132" s="37" t="s">
        <v>4312</v>
      </c>
      <c r="R132" s="28" t="s">
        <v>3488</v>
      </c>
      <c r="S132" s="37" t="s">
        <v>3482</v>
      </c>
      <c r="T132" s="53" t="s">
        <v>3487</v>
      </c>
      <c r="V132" s="37">
        <v>1</v>
      </c>
      <c r="AE132" s="37" t="s">
        <v>56</v>
      </c>
      <c r="AF132" s="37" t="s">
        <v>57</v>
      </c>
      <c r="AN132" s="37">
        <v>420</v>
      </c>
      <c r="AO132" s="59">
        <v>0.2</v>
      </c>
      <c r="AP132" s="37">
        <f t="shared" si="2"/>
        <v>504</v>
      </c>
    </row>
    <row r="133" spans="1:42" x14ac:dyDescent="0.3">
      <c r="A133" s="37" t="s">
        <v>4192</v>
      </c>
      <c r="B133" s="37" t="s">
        <v>4159</v>
      </c>
      <c r="C133" s="37" t="s">
        <v>4191</v>
      </c>
      <c r="D133" s="55">
        <v>8435668002950</v>
      </c>
      <c r="F133" s="37" t="s">
        <v>3788</v>
      </c>
      <c r="H133" s="28"/>
      <c r="I133" s="56" t="s">
        <v>4220</v>
      </c>
      <c r="J133" s="28" t="s">
        <v>4221</v>
      </c>
      <c r="K133" s="56" t="s">
        <v>4222</v>
      </c>
      <c r="L133" s="56"/>
      <c r="M133" s="56"/>
      <c r="N133" s="56"/>
      <c r="O133" s="56"/>
      <c r="P133" s="37" t="s">
        <v>1830</v>
      </c>
      <c r="Q133" s="37" t="s">
        <v>4311</v>
      </c>
      <c r="R133" s="28" t="s">
        <v>68</v>
      </c>
      <c r="S133" s="37" t="s">
        <v>3481</v>
      </c>
      <c r="T133" s="53" t="s">
        <v>3483</v>
      </c>
      <c r="V133" s="37">
        <v>1</v>
      </c>
      <c r="AE133" s="37" t="s">
        <v>56</v>
      </c>
      <c r="AF133" s="37" t="s">
        <v>57</v>
      </c>
      <c r="AH133" s="37">
        <v>5.76</v>
      </c>
      <c r="AI133" s="37">
        <v>5.76</v>
      </c>
      <c r="AN133" s="37">
        <v>321</v>
      </c>
      <c r="AO133" s="59">
        <v>0.2</v>
      </c>
      <c r="AP133" s="37">
        <f t="shared" si="2"/>
        <v>385.2</v>
      </c>
    </row>
    <row r="134" spans="1:42" x14ac:dyDescent="0.3">
      <c r="A134" s="37" t="s">
        <v>4193</v>
      </c>
      <c r="B134" s="37" t="s">
        <v>4160</v>
      </c>
      <c r="C134" s="37" t="s">
        <v>4191</v>
      </c>
      <c r="D134" s="55">
        <v>8435668002714</v>
      </c>
      <c r="F134" s="37" t="s">
        <v>3788</v>
      </c>
      <c r="H134" s="28" t="s">
        <v>4223</v>
      </c>
      <c r="I134" s="56" t="s">
        <v>4224</v>
      </c>
      <c r="J134" s="28" t="s">
        <v>4225</v>
      </c>
      <c r="K134" s="56" t="s">
        <v>4226</v>
      </c>
      <c r="L134" s="56"/>
      <c r="M134" s="56"/>
      <c r="N134" s="56"/>
      <c r="O134" s="56"/>
      <c r="P134" s="37" t="s">
        <v>1830</v>
      </c>
      <c r="Q134" s="37" t="s">
        <v>4311</v>
      </c>
      <c r="R134" s="28" t="s">
        <v>68</v>
      </c>
      <c r="S134" s="37" t="s">
        <v>3790</v>
      </c>
      <c r="T134" s="53" t="s">
        <v>3483</v>
      </c>
      <c r="V134" s="37">
        <v>1</v>
      </c>
      <c r="AE134" s="37" t="s">
        <v>56</v>
      </c>
      <c r="AF134" s="37" t="s">
        <v>57</v>
      </c>
      <c r="AH134" s="37">
        <v>1.48</v>
      </c>
      <c r="AI134" s="37">
        <v>1.48</v>
      </c>
      <c r="AN134" s="37">
        <v>102</v>
      </c>
      <c r="AO134" s="59">
        <v>0.2</v>
      </c>
      <c r="AP134" s="37">
        <f t="shared" si="2"/>
        <v>122.39999999999999</v>
      </c>
    </row>
    <row r="135" spans="1:42" x14ac:dyDescent="0.3">
      <c r="A135" s="37" t="s">
        <v>4194</v>
      </c>
      <c r="B135" s="37" t="s">
        <v>4161</v>
      </c>
      <c r="C135" s="37" t="s">
        <v>4191</v>
      </c>
      <c r="D135" s="55">
        <v>8435668002790</v>
      </c>
      <c r="F135" s="37" t="s">
        <v>3788</v>
      </c>
      <c r="H135" s="28"/>
      <c r="I135" s="56" t="s">
        <v>4227</v>
      </c>
      <c r="J135" s="28" t="s">
        <v>4228</v>
      </c>
      <c r="K135" s="56"/>
      <c r="L135" s="56"/>
      <c r="M135" s="56"/>
      <c r="N135" s="56"/>
      <c r="O135" s="56"/>
      <c r="P135" s="37" t="s">
        <v>1830</v>
      </c>
      <c r="Q135" s="37" t="s">
        <v>4311</v>
      </c>
      <c r="R135" s="28" t="s">
        <v>68</v>
      </c>
      <c r="S135" s="37" t="s">
        <v>3790</v>
      </c>
      <c r="T135" s="53" t="s">
        <v>3483</v>
      </c>
      <c r="V135" s="37">
        <v>1</v>
      </c>
      <c r="AE135" s="37" t="s">
        <v>56</v>
      </c>
      <c r="AF135" s="37" t="s">
        <v>57</v>
      </c>
      <c r="AH135" s="37">
        <v>2.1800000000000002</v>
      </c>
      <c r="AI135" s="37">
        <v>2.1800000000000002</v>
      </c>
      <c r="AN135" s="37">
        <v>160</v>
      </c>
      <c r="AO135" s="59">
        <v>0.2</v>
      </c>
      <c r="AP135" s="37">
        <f t="shared" si="2"/>
        <v>192</v>
      </c>
    </row>
    <row r="136" spans="1:42" x14ac:dyDescent="0.3">
      <c r="A136" s="37" t="s">
        <v>4195</v>
      </c>
      <c r="B136" s="37" t="s">
        <v>4162</v>
      </c>
      <c r="C136" s="37" t="s">
        <v>4191</v>
      </c>
      <c r="D136" s="55">
        <v>8435668012447</v>
      </c>
      <c r="F136" s="37" t="s">
        <v>3788</v>
      </c>
      <c r="H136" s="28"/>
      <c r="I136" s="56" t="s">
        <v>4229</v>
      </c>
      <c r="J136" s="28" t="s">
        <v>4230</v>
      </c>
      <c r="K136" s="56" t="s">
        <v>4231</v>
      </c>
      <c r="L136" s="56"/>
      <c r="M136" s="56"/>
      <c r="N136" s="56"/>
      <c r="O136" s="56"/>
      <c r="P136" s="37" t="s">
        <v>1830</v>
      </c>
      <c r="Q136" s="37" t="s">
        <v>4311</v>
      </c>
      <c r="R136" s="28" t="s">
        <v>68</v>
      </c>
      <c r="S136" s="37" t="s">
        <v>3790</v>
      </c>
      <c r="T136" s="53" t="s">
        <v>3483</v>
      </c>
      <c r="V136" s="37">
        <v>1</v>
      </c>
      <c r="AE136" s="37" t="s">
        <v>56</v>
      </c>
      <c r="AF136" s="37" t="s">
        <v>57</v>
      </c>
      <c r="AH136" s="37">
        <v>3</v>
      </c>
      <c r="AI136" s="37">
        <v>3</v>
      </c>
      <c r="AN136" s="37">
        <v>230</v>
      </c>
      <c r="AO136" s="59">
        <v>0.2</v>
      </c>
      <c r="AP136" s="37">
        <f t="shared" si="2"/>
        <v>276</v>
      </c>
    </row>
    <row r="137" spans="1:42" x14ac:dyDescent="0.3">
      <c r="A137" s="37" t="s">
        <v>4196</v>
      </c>
      <c r="B137" s="37" t="s">
        <v>4163</v>
      </c>
      <c r="C137" s="37" t="s">
        <v>4191</v>
      </c>
      <c r="D137" s="55">
        <v>8435668002837</v>
      </c>
      <c r="F137" s="37" t="s">
        <v>3788</v>
      </c>
      <c r="H137" s="28"/>
      <c r="I137" s="56" t="s">
        <v>4232</v>
      </c>
      <c r="J137" s="28" t="s">
        <v>4233</v>
      </c>
      <c r="K137" s="56" t="s">
        <v>4234</v>
      </c>
      <c r="L137" s="56"/>
      <c r="M137" s="56"/>
      <c r="N137" s="56"/>
      <c r="O137" s="56"/>
      <c r="P137" s="37" t="s">
        <v>1830</v>
      </c>
      <c r="Q137" s="37" t="s">
        <v>4311</v>
      </c>
      <c r="R137" s="28" t="s">
        <v>68</v>
      </c>
      <c r="S137" s="37" t="s">
        <v>3790</v>
      </c>
      <c r="T137" s="53" t="s">
        <v>3483</v>
      </c>
      <c r="V137" s="37">
        <v>1</v>
      </c>
      <c r="AE137" s="37" t="s">
        <v>56</v>
      </c>
      <c r="AF137" s="37" t="s">
        <v>57</v>
      </c>
      <c r="AH137" s="37">
        <v>2.64</v>
      </c>
      <c r="AI137" s="37">
        <v>2.64</v>
      </c>
      <c r="AN137" s="37">
        <v>164</v>
      </c>
      <c r="AO137" s="59">
        <v>0.2</v>
      </c>
      <c r="AP137" s="37">
        <f t="shared" si="2"/>
        <v>196.79999999999998</v>
      </c>
    </row>
    <row r="138" spans="1:42" x14ac:dyDescent="0.3">
      <c r="A138" s="37" t="s">
        <v>4197</v>
      </c>
      <c r="B138" s="37" t="s">
        <v>4164</v>
      </c>
      <c r="C138" s="37" t="s">
        <v>4191</v>
      </c>
      <c r="D138" s="55">
        <v>8435668002912</v>
      </c>
      <c r="F138" s="37" t="s">
        <v>3788</v>
      </c>
      <c r="H138" s="28"/>
      <c r="I138" s="56" t="s">
        <v>4235</v>
      </c>
      <c r="J138" s="28" t="s">
        <v>4236</v>
      </c>
      <c r="K138" s="56" t="s">
        <v>4237</v>
      </c>
      <c r="L138" s="56"/>
      <c r="M138" s="56"/>
      <c r="N138" s="56"/>
      <c r="O138" s="56"/>
      <c r="P138" s="37" t="s">
        <v>1830</v>
      </c>
      <c r="Q138" s="37" t="s">
        <v>4311</v>
      </c>
      <c r="R138" s="28" t="s">
        <v>68</v>
      </c>
      <c r="S138" s="37" t="s">
        <v>3481</v>
      </c>
      <c r="T138" s="53" t="s">
        <v>3483</v>
      </c>
      <c r="V138" s="37">
        <v>1</v>
      </c>
      <c r="AE138" s="37" t="s">
        <v>56</v>
      </c>
      <c r="AF138" s="37" t="s">
        <v>57</v>
      </c>
      <c r="AH138" s="37">
        <v>4.54</v>
      </c>
      <c r="AI138" s="37">
        <v>4.54</v>
      </c>
      <c r="AN138" s="37">
        <v>272</v>
      </c>
      <c r="AO138" s="59">
        <v>0.2</v>
      </c>
      <c r="AP138" s="37">
        <f t="shared" si="2"/>
        <v>326.39999999999998</v>
      </c>
    </row>
    <row r="139" spans="1:42" x14ac:dyDescent="0.3">
      <c r="A139" s="37" t="s">
        <v>4198</v>
      </c>
      <c r="B139" s="37" t="s">
        <v>4165</v>
      </c>
      <c r="C139" s="37" t="s">
        <v>4191</v>
      </c>
      <c r="D139" s="55">
        <v>8435668011723</v>
      </c>
      <c r="F139" s="37" t="s">
        <v>3788</v>
      </c>
      <c r="H139" s="28"/>
      <c r="I139" s="56" t="s">
        <v>4238</v>
      </c>
      <c r="J139" s="28" t="s">
        <v>4239</v>
      </c>
      <c r="K139" s="56"/>
      <c r="L139" s="56"/>
      <c r="M139" s="56"/>
      <c r="N139" s="56"/>
      <c r="O139" s="56"/>
      <c r="P139" s="37" t="s">
        <v>1830</v>
      </c>
      <c r="Q139" s="37" t="s">
        <v>4311</v>
      </c>
      <c r="R139" s="28" t="s">
        <v>68</v>
      </c>
      <c r="S139" s="37" t="s">
        <v>3481</v>
      </c>
      <c r="T139" s="53" t="s">
        <v>3483</v>
      </c>
      <c r="V139" s="37">
        <v>1</v>
      </c>
      <c r="AE139" s="37" t="s">
        <v>56</v>
      </c>
      <c r="AF139" s="37" t="s">
        <v>57</v>
      </c>
      <c r="AH139" s="37">
        <v>4.4400000000000004</v>
      </c>
      <c r="AI139" s="37">
        <v>4.4400000000000004</v>
      </c>
      <c r="AN139" s="37">
        <v>272</v>
      </c>
      <c r="AO139" s="59">
        <v>0.2</v>
      </c>
      <c r="AP139" s="37">
        <f t="shared" si="2"/>
        <v>326.39999999999998</v>
      </c>
    </row>
    <row r="140" spans="1:42" x14ac:dyDescent="0.3">
      <c r="A140" s="37" t="s">
        <v>4199</v>
      </c>
      <c r="B140" s="37" t="s">
        <v>4166</v>
      </c>
      <c r="C140" s="37" t="s">
        <v>4191</v>
      </c>
      <c r="D140" s="55">
        <v>8435668002967</v>
      </c>
      <c r="F140" s="37" t="s">
        <v>3788</v>
      </c>
      <c r="H140" s="28"/>
      <c r="I140" s="56" t="s">
        <v>4240</v>
      </c>
      <c r="J140" s="28" t="s">
        <v>4241</v>
      </c>
      <c r="K140" s="56" t="s">
        <v>4242</v>
      </c>
      <c r="L140" s="56"/>
      <c r="M140" s="56"/>
      <c r="N140" s="56"/>
      <c r="O140" s="56"/>
      <c r="P140" s="37" t="s">
        <v>1830</v>
      </c>
      <c r="Q140" s="37" t="s">
        <v>4311</v>
      </c>
      <c r="R140" s="28" t="s">
        <v>68</v>
      </c>
      <c r="S140" s="37" t="s">
        <v>3481</v>
      </c>
      <c r="T140" s="53" t="s">
        <v>279</v>
      </c>
      <c r="V140" s="37">
        <v>1</v>
      </c>
      <c r="AE140" s="37" t="s">
        <v>56</v>
      </c>
      <c r="AF140" s="37" t="s">
        <v>57</v>
      </c>
      <c r="AH140" s="37">
        <v>5.76</v>
      </c>
      <c r="AI140" s="37">
        <v>5.76</v>
      </c>
      <c r="AN140" s="37">
        <v>340</v>
      </c>
      <c r="AO140" s="59">
        <v>0.2</v>
      </c>
      <c r="AP140" s="37">
        <f t="shared" si="2"/>
        <v>408</v>
      </c>
    </row>
    <row r="141" spans="1:42" x14ac:dyDescent="0.3">
      <c r="A141" s="37" t="s">
        <v>4200</v>
      </c>
      <c r="B141" s="37" t="s">
        <v>4167</v>
      </c>
      <c r="C141" s="37" t="s">
        <v>4191</v>
      </c>
      <c r="D141" s="55">
        <v>8435668002721</v>
      </c>
      <c r="F141" s="37" t="s">
        <v>3788</v>
      </c>
      <c r="H141" s="28"/>
      <c r="I141" s="56" t="s">
        <v>4243</v>
      </c>
      <c r="J141" s="28" t="s">
        <v>4244</v>
      </c>
      <c r="K141" s="56" t="s">
        <v>4245</v>
      </c>
      <c r="L141" s="56"/>
      <c r="M141" s="56"/>
      <c r="N141" s="56"/>
      <c r="O141" s="56"/>
      <c r="P141" s="37" t="s">
        <v>1830</v>
      </c>
      <c r="Q141" s="37" t="s">
        <v>4311</v>
      </c>
      <c r="R141" s="28" t="s">
        <v>68</v>
      </c>
      <c r="S141" s="37" t="s">
        <v>3790</v>
      </c>
      <c r="T141" s="53" t="s">
        <v>279</v>
      </c>
      <c r="V141" s="37">
        <v>1</v>
      </c>
      <c r="AE141" s="37" t="s">
        <v>56</v>
      </c>
      <c r="AF141" s="37" t="s">
        <v>57</v>
      </c>
      <c r="AH141" s="37">
        <v>1.48</v>
      </c>
      <c r="AI141" s="37">
        <v>1.48</v>
      </c>
      <c r="AN141" s="37">
        <v>112</v>
      </c>
      <c r="AO141" s="59">
        <v>0.2</v>
      </c>
      <c r="AP141" s="37">
        <f t="shared" si="2"/>
        <v>134.4</v>
      </c>
    </row>
    <row r="142" spans="1:42" x14ac:dyDescent="0.3">
      <c r="A142" s="37" t="s">
        <v>4201</v>
      </c>
      <c r="B142" s="37" t="s">
        <v>4168</v>
      </c>
      <c r="C142" s="37" t="s">
        <v>4191</v>
      </c>
      <c r="D142" s="55">
        <v>8435668002806</v>
      </c>
      <c r="F142" s="37" t="s">
        <v>3788</v>
      </c>
      <c r="H142" s="28"/>
      <c r="I142" s="56" t="s">
        <v>4246</v>
      </c>
      <c r="J142" s="28" t="s">
        <v>4247</v>
      </c>
      <c r="K142" s="56"/>
      <c r="L142" s="56"/>
      <c r="M142" s="56"/>
      <c r="N142" s="56"/>
      <c r="O142" s="56"/>
      <c r="P142" s="37" t="s">
        <v>1830</v>
      </c>
      <c r="Q142" s="37" t="s">
        <v>4311</v>
      </c>
      <c r="R142" s="28" t="s">
        <v>68</v>
      </c>
      <c r="S142" s="37" t="s">
        <v>3790</v>
      </c>
      <c r="T142" s="53" t="s">
        <v>279</v>
      </c>
      <c r="V142" s="37">
        <v>1</v>
      </c>
      <c r="AE142" s="37" t="s">
        <v>56</v>
      </c>
      <c r="AF142" s="37" t="s">
        <v>57</v>
      </c>
      <c r="AH142" s="37">
        <v>2.1800000000000002</v>
      </c>
      <c r="AI142" s="37">
        <v>2.1800000000000002</v>
      </c>
      <c r="AN142" s="37">
        <v>172</v>
      </c>
      <c r="AO142" s="59">
        <v>0.2</v>
      </c>
      <c r="AP142" s="37">
        <f t="shared" si="2"/>
        <v>206.4</v>
      </c>
    </row>
    <row r="143" spans="1:42" x14ac:dyDescent="0.3">
      <c r="A143" s="37" t="s">
        <v>4202</v>
      </c>
      <c r="B143" s="37" t="s">
        <v>4169</v>
      </c>
      <c r="C143" s="37" t="s">
        <v>4191</v>
      </c>
      <c r="D143" s="55">
        <v>8435668012591</v>
      </c>
      <c r="F143" s="37" t="s">
        <v>3788</v>
      </c>
      <c r="H143" s="28"/>
      <c r="I143" s="56" t="s">
        <v>4248</v>
      </c>
      <c r="J143" s="28" t="s">
        <v>4249</v>
      </c>
      <c r="K143" s="56" t="s">
        <v>4250</v>
      </c>
      <c r="L143" s="56"/>
      <c r="M143" s="56"/>
      <c r="N143" s="56"/>
      <c r="O143" s="56"/>
      <c r="P143" s="37" t="s">
        <v>1830</v>
      </c>
      <c r="Q143" s="37" t="s">
        <v>4311</v>
      </c>
      <c r="R143" s="28" t="s">
        <v>68</v>
      </c>
      <c r="S143" s="37" t="s">
        <v>3790</v>
      </c>
      <c r="T143" s="53" t="s">
        <v>279</v>
      </c>
      <c r="V143" s="37">
        <v>1</v>
      </c>
      <c r="AE143" s="37" t="s">
        <v>56</v>
      </c>
      <c r="AF143" s="37" t="s">
        <v>57</v>
      </c>
      <c r="AH143" s="37">
        <v>3</v>
      </c>
      <c r="AI143" s="37">
        <v>3</v>
      </c>
      <c r="AN143" s="37">
        <v>243</v>
      </c>
      <c r="AO143" s="59">
        <v>0.2</v>
      </c>
      <c r="AP143" s="37">
        <f t="shared" si="2"/>
        <v>291.59999999999997</v>
      </c>
    </row>
    <row r="144" spans="1:42" x14ac:dyDescent="0.3">
      <c r="A144" s="37" t="s">
        <v>4203</v>
      </c>
      <c r="B144" s="37" t="s">
        <v>4170</v>
      </c>
      <c r="C144" s="37" t="s">
        <v>4191</v>
      </c>
      <c r="D144" s="55">
        <v>8435668002844</v>
      </c>
      <c r="F144" s="37" t="s">
        <v>3788</v>
      </c>
      <c r="H144" s="28"/>
      <c r="I144" s="56" t="s">
        <v>4251</v>
      </c>
      <c r="J144" s="28" t="s">
        <v>4252</v>
      </c>
      <c r="K144" s="56" t="s">
        <v>4253</v>
      </c>
      <c r="L144" s="56"/>
      <c r="M144" s="56"/>
      <c r="N144" s="56"/>
      <c r="O144" s="56"/>
      <c r="P144" s="37" t="s">
        <v>1830</v>
      </c>
      <c r="Q144" s="37" t="s">
        <v>4311</v>
      </c>
      <c r="R144" s="28" t="s">
        <v>68</v>
      </c>
      <c r="S144" s="37" t="s">
        <v>3790</v>
      </c>
      <c r="T144" s="53" t="s">
        <v>279</v>
      </c>
      <c r="V144" s="37">
        <v>1</v>
      </c>
      <c r="AE144" s="37" t="s">
        <v>56</v>
      </c>
      <c r="AF144" s="37" t="s">
        <v>57</v>
      </c>
      <c r="AH144" s="37">
        <v>2.64</v>
      </c>
      <c r="AI144" s="37">
        <v>2.64</v>
      </c>
      <c r="AN144" s="37">
        <v>198</v>
      </c>
      <c r="AO144" s="59">
        <v>0.2</v>
      </c>
      <c r="AP144" s="37">
        <f t="shared" si="2"/>
        <v>237.6</v>
      </c>
    </row>
    <row r="145" spans="1:42" x14ac:dyDescent="0.3">
      <c r="A145" s="37" t="s">
        <v>4204</v>
      </c>
      <c r="B145" s="37" t="s">
        <v>4171</v>
      </c>
      <c r="C145" s="37" t="s">
        <v>4191</v>
      </c>
      <c r="D145" s="55">
        <v>8435668002929</v>
      </c>
      <c r="F145" s="37" t="s">
        <v>3788</v>
      </c>
      <c r="H145" s="28"/>
      <c r="I145" s="56" t="s">
        <v>4254</v>
      </c>
      <c r="J145" s="28" t="s">
        <v>4255</v>
      </c>
      <c r="K145" s="56" t="s">
        <v>4256</v>
      </c>
      <c r="L145" s="56"/>
      <c r="M145" s="56"/>
      <c r="N145" s="56"/>
      <c r="O145" s="56"/>
      <c r="P145" s="37" t="s">
        <v>1830</v>
      </c>
      <c r="Q145" s="37" t="s">
        <v>4311</v>
      </c>
      <c r="R145" s="28" t="s">
        <v>68</v>
      </c>
      <c r="S145" s="37" t="s">
        <v>3481</v>
      </c>
      <c r="T145" s="53" t="s">
        <v>279</v>
      </c>
      <c r="V145" s="37">
        <v>1</v>
      </c>
      <c r="AE145" s="37" t="s">
        <v>56</v>
      </c>
      <c r="AF145" s="37" t="s">
        <v>57</v>
      </c>
      <c r="AH145" s="37">
        <v>4.54</v>
      </c>
      <c r="AI145" s="37">
        <v>4.54</v>
      </c>
      <c r="AN145" s="37">
        <v>286</v>
      </c>
      <c r="AO145" s="59">
        <v>0.2</v>
      </c>
      <c r="AP145" s="37">
        <f t="shared" si="2"/>
        <v>343.2</v>
      </c>
    </row>
    <row r="146" spans="1:42" x14ac:dyDescent="0.3">
      <c r="A146" s="37" t="s">
        <v>4205</v>
      </c>
      <c r="B146" s="37" t="s">
        <v>4172</v>
      </c>
      <c r="C146" s="37" t="s">
        <v>4191</v>
      </c>
      <c r="D146" s="55">
        <v>8435668011730</v>
      </c>
      <c r="F146" s="37" t="s">
        <v>3788</v>
      </c>
      <c r="H146" s="28"/>
      <c r="I146" s="56" t="s">
        <v>4257</v>
      </c>
      <c r="J146" s="28" t="s">
        <v>4258</v>
      </c>
      <c r="K146" s="56"/>
      <c r="L146" s="56"/>
      <c r="M146" s="56"/>
      <c r="N146" s="56"/>
      <c r="O146" s="56"/>
      <c r="P146" s="37" t="s">
        <v>1830</v>
      </c>
      <c r="Q146" s="37" t="s">
        <v>4311</v>
      </c>
      <c r="R146" s="28" t="s">
        <v>68</v>
      </c>
      <c r="S146" s="37" t="s">
        <v>3481</v>
      </c>
      <c r="T146" s="53" t="s">
        <v>279</v>
      </c>
      <c r="V146" s="37">
        <v>1</v>
      </c>
      <c r="AE146" s="37" t="s">
        <v>56</v>
      </c>
      <c r="AF146" s="37" t="s">
        <v>57</v>
      </c>
      <c r="AH146" s="37">
        <v>4.4400000000000004</v>
      </c>
      <c r="AI146" s="37">
        <v>4.4400000000000004</v>
      </c>
      <c r="AN146" s="37">
        <v>286</v>
      </c>
      <c r="AO146" s="59">
        <v>0.2</v>
      </c>
      <c r="AP146" s="37">
        <f t="shared" si="2"/>
        <v>343.2</v>
      </c>
    </row>
    <row r="147" spans="1:42" x14ac:dyDescent="0.3">
      <c r="A147" s="37" t="s">
        <v>4206</v>
      </c>
      <c r="B147" s="37" t="s">
        <v>4173</v>
      </c>
      <c r="C147" s="37" t="s">
        <v>4191</v>
      </c>
      <c r="D147" s="55">
        <v>8435668002981</v>
      </c>
      <c r="F147" s="37" t="s">
        <v>3788</v>
      </c>
      <c r="H147" s="28"/>
      <c r="I147" s="56" t="s">
        <v>4259</v>
      </c>
      <c r="J147" s="28" t="s">
        <v>4260</v>
      </c>
      <c r="K147" s="56" t="s">
        <v>4261</v>
      </c>
      <c r="L147" s="56"/>
      <c r="M147" s="56"/>
      <c r="N147" s="56"/>
      <c r="O147" s="56"/>
      <c r="P147" s="37" t="s">
        <v>1830</v>
      </c>
      <c r="Q147" s="37" t="s">
        <v>4311</v>
      </c>
      <c r="R147" s="28" t="s">
        <v>68</v>
      </c>
      <c r="S147" s="37" t="s">
        <v>3481</v>
      </c>
      <c r="T147" s="53" t="s">
        <v>279</v>
      </c>
      <c r="V147" s="37">
        <v>1</v>
      </c>
      <c r="AE147" s="37" t="s">
        <v>56</v>
      </c>
      <c r="AF147" s="37" t="s">
        <v>57</v>
      </c>
      <c r="AH147" s="37">
        <v>5.94</v>
      </c>
      <c r="AI147" s="37">
        <v>5.94</v>
      </c>
      <c r="AN147" s="37">
        <v>370</v>
      </c>
      <c r="AO147" s="59">
        <v>0.2</v>
      </c>
      <c r="AP147" s="37">
        <f t="shared" si="2"/>
        <v>444</v>
      </c>
    </row>
    <row r="148" spans="1:42" x14ac:dyDescent="0.3">
      <c r="A148" s="37" t="s">
        <v>4207</v>
      </c>
      <c r="B148" s="37" t="s">
        <v>4174</v>
      </c>
      <c r="C148" s="37" t="s">
        <v>4191</v>
      </c>
      <c r="D148" s="55">
        <v>8435668002745</v>
      </c>
      <c r="F148" s="37" t="s">
        <v>3788</v>
      </c>
      <c r="H148" s="28"/>
      <c r="I148" s="56" t="s">
        <v>4262</v>
      </c>
      <c r="J148" s="28" t="s">
        <v>4263</v>
      </c>
      <c r="K148" s="56" t="s">
        <v>4264</v>
      </c>
      <c r="L148" s="56"/>
      <c r="M148" s="56"/>
      <c r="N148" s="56"/>
      <c r="O148" s="56"/>
      <c r="P148" s="37" t="s">
        <v>1830</v>
      </c>
      <c r="Q148" s="37" t="s">
        <v>4311</v>
      </c>
      <c r="R148" s="28" t="s">
        <v>68</v>
      </c>
      <c r="S148" s="37" t="s">
        <v>3790</v>
      </c>
      <c r="T148" s="53" t="s">
        <v>279</v>
      </c>
      <c r="V148" s="37">
        <v>1</v>
      </c>
      <c r="AE148" s="37" t="s">
        <v>56</v>
      </c>
      <c r="AF148" s="37" t="s">
        <v>57</v>
      </c>
      <c r="AH148" s="37">
        <v>1.5</v>
      </c>
      <c r="AI148" s="37">
        <v>1.5</v>
      </c>
      <c r="AN148" s="37">
        <v>115</v>
      </c>
      <c r="AO148" s="59">
        <v>0.2</v>
      </c>
      <c r="AP148" s="37">
        <f t="shared" si="2"/>
        <v>138</v>
      </c>
    </row>
    <row r="149" spans="1:42" x14ac:dyDescent="0.3">
      <c r="A149" s="37" t="s">
        <v>4208</v>
      </c>
      <c r="B149" s="37" t="s">
        <v>4175</v>
      </c>
      <c r="C149" s="37" t="s">
        <v>4191</v>
      </c>
      <c r="D149" s="55">
        <v>8435668002820</v>
      </c>
      <c r="F149" s="37" t="s">
        <v>3788</v>
      </c>
      <c r="H149" s="28"/>
      <c r="I149" s="56" t="s">
        <v>4265</v>
      </c>
      <c r="J149" s="28" t="s">
        <v>4266</v>
      </c>
      <c r="K149" s="56"/>
      <c r="L149" s="56"/>
      <c r="M149" s="56"/>
      <c r="N149" s="56"/>
      <c r="O149" s="56"/>
      <c r="P149" s="37" t="s">
        <v>1830</v>
      </c>
      <c r="Q149" s="37" t="s">
        <v>4311</v>
      </c>
      <c r="R149" s="28" t="s">
        <v>68</v>
      </c>
      <c r="S149" s="37" t="s">
        <v>3790</v>
      </c>
      <c r="T149" s="53" t="s">
        <v>279</v>
      </c>
      <c r="V149" s="37">
        <v>1</v>
      </c>
      <c r="AE149" s="37" t="s">
        <v>56</v>
      </c>
      <c r="AF149" s="37" t="s">
        <v>57</v>
      </c>
      <c r="AH149" s="37">
        <v>2.1800000000000002</v>
      </c>
      <c r="AI149" s="37">
        <v>2.1800000000000002</v>
      </c>
      <c r="AN149" s="37">
        <v>181</v>
      </c>
      <c r="AO149" s="59">
        <v>0.2</v>
      </c>
      <c r="AP149" s="37">
        <f t="shared" si="2"/>
        <v>217.2</v>
      </c>
    </row>
    <row r="150" spans="1:42" x14ac:dyDescent="0.3">
      <c r="A150" s="37" t="s">
        <v>4209</v>
      </c>
      <c r="B150" s="37" t="s">
        <v>4176</v>
      </c>
      <c r="C150" s="37" t="s">
        <v>4191</v>
      </c>
      <c r="D150" s="55">
        <v>8435668012775</v>
      </c>
      <c r="F150" s="37" t="s">
        <v>3788</v>
      </c>
      <c r="H150" s="28"/>
      <c r="I150" s="56" t="s">
        <v>4267</v>
      </c>
      <c r="J150" s="28" t="s">
        <v>4268</v>
      </c>
      <c r="K150" s="56" t="s">
        <v>4269</v>
      </c>
      <c r="L150" s="56"/>
      <c r="M150" s="56"/>
      <c r="N150" s="56"/>
      <c r="O150" s="56"/>
      <c r="P150" s="37" t="s">
        <v>1830</v>
      </c>
      <c r="Q150" s="37" t="s">
        <v>4311</v>
      </c>
      <c r="R150" s="28" t="s">
        <v>68</v>
      </c>
      <c r="S150" s="37" t="s">
        <v>3790</v>
      </c>
      <c r="T150" s="53" t="s">
        <v>279</v>
      </c>
      <c r="V150" s="37">
        <v>1</v>
      </c>
      <c r="AE150" s="37" t="s">
        <v>56</v>
      </c>
      <c r="AF150" s="37" t="s">
        <v>57</v>
      </c>
      <c r="AH150" s="37">
        <v>3</v>
      </c>
      <c r="AI150" s="37">
        <v>3</v>
      </c>
      <c r="AN150" s="37">
        <v>251</v>
      </c>
      <c r="AO150" s="59">
        <v>0.2</v>
      </c>
      <c r="AP150" s="37">
        <f t="shared" si="2"/>
        <v>301.2</v>
      </c>
    </row>
    <row r="151" spans="1:42" x14ac:dyDescent="0.3">
      <c r="A151" s="37" t="s">
        <v>4210</v>
      </c>
      <c r="B151" s="37" t="s">
        <v>4177</v>
      </c>
      <c r="C151" s="37" t="s">
        <v>4191</v>
      </c>
      <c r="D151" s="55">
        <v>8435668002868</v>
      </c>
      <c r="F151" s="37" t="s">
        <v>3788</v>
      </c>
      <c r="H151" s="28"/>
      <c r="I151" s="56" t="s">
        <v>4270</v>
      </c>
      <c r="J151" s="28" t="s">
        <v>4271</v>
      </c>
      <c r="K151" s="56" t="s">
        <v>4272</v>
      </c>
      <c r="L151" s="56"/>
      <c r="M151" s="56"/>
      <c r="N151" s="56"/>
      <c r="O151" s="56"/>
      <c r="P151" s="37" t="s">
        <v>1830</v>
      </c>
      <c r="Q151" s="37" t="s">
        <v>4311</v>
      </c>
      <c r="R151" s="28" t="s">
        <v>68</v>
      </c>
      <c r="S151" s="37" t="s">
        <v>3790</v>
      </c>
      <c r="T151" s="53" t="s">
        <v>279</v>
      </c>
      <c r="V151" s="37">
        <v>1</v>
      </c>
      <c r="AE151" s="37" t="s">
        <v>56</v>
      </c>
      <c r="AF151" s="37" t="s">
        <v>57</v>
      </c>
      <c r="AH151" s="37">
        <v>2.64</v>
      </c>
      <c r="AI151" s="37">
        <v>2.64</v>
      </c>
      <c r="AN151" s="37">
        <v>206</v>
      </c>
      <c r="AO151" s="59">
        <v>0.2</v>
      </c>
      <c r="AP151" s="37">
        <f t="shared" si="2"/>
        <v>247.2</v>
      </c>
    </row>
    <row r="152" spans="1:42" x14ac:dyDescent="0.3">
      <c r="A152" s="37" t="s">
        <v>4211</v>
      </c>
      <c r="B152" s="37" t="s">
        <v>4178</v>
      </c>
      <c r="C152" s="37" t="s">
        <v>4191</v>
      </c>
      <c r="D152" s="55">
        <v>8435668002943</v>
      </c>
      <c r="F152" s="37" t="s">
        <v>3788</v>
      </c>
      <c r="H152" s="28"/>
      <c r="I152" s="56" t="s">
        <v>4273</v>
      </c>
      <c r="J152" s="28" t="s">
        <v>4274</v>
      </c>
      <c r="K152" s="56" t="s">
        <v>4275</v>
      </c>
      <c r="L152" s="56"/>
      <c r="M152" s="56"/>
      <c r="N152" s="56"/>
      <c r="O152" s="56"/>
      <c r="P152" s="37" t="s">
        <v>1830</v>
      </c>
      <c r="Q152" s="37" t="s">
        <v>4311</v>
      </c>
      <c r="R152" s="28" t="s">
        <v>68</v>
      </c>
      <c r="S152" s="37" t="s">
        <v>3481</v>
      </c>
      <c r="T152" s="53" t="s">
        <v>279</v>
      </c>
      <c r="V152" s="37">
        <v>1</v>
      </c>
      <c r="AE152" s="37" t="s">
        <v>56</v>
      </c>
      <c r="AF152" s="37" t="s">
        <v>57</v>
      </c>
      <c r="AH152" s="37">
        <v>4.54</v>
      </c>
      <c r="AI152" s="37">
        <v>4.54</v>
      </c>
      <c r="AN152" s="37">
        <v>305</v>
      </c>
      <c r="AO152" s="59">
        <v>0.2</v>
      </c>
      <c r="AP152" s="37">
        <f t="shared" si="2"/>
        <v>366</v>
      </c>
    </row>
    <row r="153" spans="1:42" x14ac:dyDescent="0.3">
      <c r="A153" s="37" t="s">
        <v>4212</v>
      </c>
      <c r="B153" s="37" t="s">
        <v>4179</v>
      </c>
      <c r="C153" s="37" t="s">
        <v>4191</v>
      </c>
      <c r="D153" s="55">
        <v>8435668011754</v>
      </c>
      <c r="F153" s="37" t="s">
        <v>3788</v>
      </c>
      <c r="H153" s="28"/>
      <c r="I153" s="56" t="s">
        <v>4276</v>
      </c>
      <c r="J153" s="28" t="s">
        <v>4277</v>
      </c>
      <c r="K153" s="56"/>
      <c r="L153" s="56"/>
      <c r="M153" s="56"/>
      <c r="N153" s="56"/>
      <c r="O153" s="56"/>
      <c r="P153" s="37" t="s">
        <v>1830</v>
      </c>
      <c r="Q153" s="37" t="s">
        <v>4311</v>
      </c>
      <c r="R153" s="28" t="s">
        <v>68</v>
      </c>
      <c r="S153" s="37" t="s">
        <v>3481</v>
      </c>
      <c r="T153" s="53" t="s">
        <v>279</v>
      </c>
      <c r="V153" s="37">
        <v>1</v>
      </c>
      <c r="AE153" s="37" t="s">
        <v>56</v>
      </c>
      <c r="AF153" s="37" t="s">
        <v>57</v>
      </c>
      <c r="AH153" s="37">
        <v>4.4400000000000004</v>
      </c>
      <c r="AI153" s="37">
        <v>4.4400000000000004</v>
      </c>
      <c r="AN153" s="37">
        <v>305</v>
      </c>
      <c r="AO153" s="59">
        <v>0.2</v>
      </c>
      <c r="AP153" s="37">
        <f t="shared" si="2"/>
        <v>366</v>
      </c>
    </row>
    <row r="154" spans="1:42" x14ac:dyDescent="0.3">
      <c r="A154" s="37" t="s">
        <v>4213</v>
      </c>
      <c r="B154" s="37" t="s">
        <v>4180</v>
      </c>
      <c r="C154" s="37" t="s">
        <v>4191</v>
      </c>
      <c r="D154" s="55">
        <v>8435668002974</v>
      </c>
      <c r="F154" s="37" t="s">
        <v>3788</v>
      </c>
      <c r="H154" s="28"/>
      <c r="I154" s="56" t="s">
        <v>4278</v>
      </c>
      <c r="J154" s="28" t="s">
        <v>4279</v>
      </c>
      <c r="K154" s="56" t="s">
        <v>4280</v>
      </c>
      <c r="L154" s="56"/>
      <c r="M154" s="56"/>
      <c r="N154" s="56"/>
      <c r="O154" s="56"/>
      <c r="P154" s="37" t="s">
        <v>1830</v>
      </c>
      <c r="Q154" s="37" t="s">
        <v>4311</v>
      </c>
      <c r="R154" s="28" t="s">
        <v>68</v>
      </c>
      <c r="S154" s="37" t="s">
        <v>3481</v>
      </c>
      <c r="T154" s="53" t="s">
        <v>279</v>
      </c>
      <c r="V154" s="37">
        <v>1</v>
      </c>
      <c r="AE154" s="37" t="s">
        <v>56</v>
      </c>
      <c r="AF154" s="37" t="s">
        <v>57</v>
      </c>
      <c r="AH154" s="37">
        <v>5.95</v>
      </c>
      <c r="AI154" s="37">
        <v>5.95</v>
      </c>
      <c r="AN154" s="37">
        <v>370</v>
      </c>
      <c r="AO154" s="59">
        <v>0.2</v>
      </c>
      <c r="AP154" s="37">
        <f t="shared" si="2"/>
        <v>444</v>
      </c>
    </row>
    <row r="155" spans="1:42" x14ac:dyDescent="0.3">
      <c r="A155" s="37" t="s">
        <v>4214</v>
      </c>
      <c r="B155" s="37" t="s">
        <v>4181</v>
      </c>
      <c r="C155" s="37" t="s">
        <v>4191</v>
      </c>
      <c r="D155" s="55">
        <v>8435668002738</v>
      </c>
      <c r="F155" s="37" t="s">
        <v>3788</v>
      </c>
      <c r="H155" s="28"/>
      <c r="I155" s="56" t="s">
        <v>4281</v>
      </c>
      <c r="J155" s="28" t="s">
        <v>4282</v>
      </c>
      <c r="K155" s="56" t="s">
        <v>4283</v>
      </c>
      <c r="L155" s="56"/>
      <c r="M155" s="56"/>
      <c r="N155" s="56"/>
      <c r="O155" s="56"/>
      <c r="P155" s="37" t="s">
        <v>1830</v>
      </c>
      <c r="Q155" s="37" t="s">
        <v>4311</v>
      </c>
      <c r="R155" s="28" t="s">
        <v>68</v>
      </c>
      <c r="S155" s="37" t="s">
        <v>3790</v>
      </c>
      <c r="T155" s="53" t="s">
        <v>279</v>
      </c>
      <c r="V155" s="37">
        <v>1</v>
      </c>
      <c r="AE155" s="37" t="s">
        <v>56</v>
      </c>
      <c r="AF155" s="37" t="s">
        <v>57</v>
      </c>
      <c r="AH155" s="37">
        <v>1.48</v>
      </c>
      <c r="AI155" s="37">
        <v>1.48</v>
      </c>
      <c r="AN155" s="37">
        <v>115</v>
      </c>
      <c r="AO155" s="59">
        <v>0.2</v>
      </c>
      <c r="AP155" s="37">
        <f t="shared" si="2"/>
        <v>138</v>
      </c>
    </row>
    <row r="156" spans="1:42" x14ac:dyDescent="0.3">
      <c r="A156" s="37" t="s">
        <v>4215</v>
      </c>
      <c r="B156" s="37" t="s">
        <v>4182</v>
      </c>
      <c r="C156" s="37" t="s">
        <v>4191</v>
      </c>
      <c r="D156" s="55">
        <v>8435668002813</v>
      </c>
      <c r="F156" s="37" t="s">
        <v>3788</v>
      </c>
      <c r="H156" s="28"/>
      <c r="I156" s="56" t="s">
        <v>4284</v>
      </c>
      <c r="J156" s="28" t="s">
        <v>4285</v>
      </c>
      <c r="K156" s="56"/>
      <c r="L156" s="56"/>
      <c r="M156" s="56"/>
      <c r="N156" s="56"/>
      <c r="O156" s="56"/>
      <c r="P156" s="37" t="s">
        <v>1830</v>
      </c>
      <c r="Q156" s="37" t="s">
        <v>4311</v>
      </c>
      <c r="R156" s="28" t="s">
        <v>68</v>
      </c>
      <c r="S156" s="37" t="s">
        <v>3790</v>
      </c>
      <c r="T156" s="53" t="s">
        <v>279</v>
      </c>
      <c r="V156" s="37">
        <v>1</v>
      </c>
      <c r="AE156" s="37" t="s">
        <v>56</v>
      </c>
      <c r="AF156" s="37" t="s">
        <v>57</v>
      </c>
      <c r="AH156" s="37">
        <v>2.1800000000000002</v>
      </c>
      <c r="AI156" s="37">
        <v>2.1800000000000002</v>
      </c>
      <c r="AN156" s="37">
        <v>181</v>
      </c>
      <c r="AO156" s="59">
        <v>0.2</v>
      </c>
      <c r="AP156" s="37">
        <f t="shared" si="2"/>
        <v>217.2</v>
      </c>
    </row>
    <row r="157" spans="1:42" x14ac:dyDescent="0.3">
      <c r="A157" s="37" t="s">
        <v>4216</v>
      </c>
      <c r="B157" s="37" t="s">
        <v>4183</v>
      </c>
      <c r="C157" s="37" t="s">
        <v>4191</v>
      </c>
      <c r="D157" s="55">
        <v>8435668012614</v>
      </c>
      <c r="F157" s="37" t="s">
        <v>3788</v>
      </c>
      <c r="H157" s="28"/>
      <c r="I157" s="56" t="s">
        <v>4286</v>
      </c>
      <c r="J157" s="28" t="s">
        <v>4287</v>
      </c>
      <c r="K157" s="56" t="s">
        <v>4288</v>
      </c>
      <c r="L157" s="56"/>
      <c r="M157" s="56"/>
      <c r="N157" s="56"/>
      <c r="O157" s="56"/>
      <c r="P157" s="37" t="s">
        <v>1830</v>
      </c>
      <c r="Q157" s="37" t="s">
        <v>4311</v>
      </c>
      <c r="R157" s="28" t="s">
        <v>68</v>
      </c>
      <c r="S157" s="37" t="s">
        <v>3790</v>
      </c>
      <c r="T157" s="53" t="s">
        <v>279</v>
      </c>
      <c r="V157" s="37">
        <v>1</v>
      </c>
      <c r="AE157" s="37" t="s">
        <v>56</v>
      </c>
      <c r="AF157" s="37" t="s">
        <v>57</v>
      </c>
      <c r="AH157" s="37">
        <v>3</v>
      </c>
      <c r="AI157" s="37">
        <v>3</v>
      </c>
      <c r="AN157" s="37">
        <v>251</v>
      </c>
      <c r="AO157" s="59">
        <v>0.2</v>
      </c>
      <c r="AP157" s="37">
        <f t="shared" si="2"/>
        <v>301.2</v>
      </c>
    </row>
    <row r="158" spans="1:42" x14ac:dyDescent="0.3">
      <c r="A158" s="37" t="s">
        <v>4217</v>
      </c>
      <c r="B158" s="37" t="s">
        <v>4184</v>
      </c>
      <c r="C158" s="37" t="s">
        <v>4191</v>
      </c>
      <c r="D158" s="55">
        <v>8435668002851</v>
      </c>
      <c r="F158" s="37" t="s">
        <v>3788</v>
      </c>
      <c r="H158" s="28"/>
      <c r="I158" s="56" t="s">
        <v>4289</v>
      </c>
      <c r="J158" s="28" t="s">
        <v>4290</v>
      </c>
      <c r="K158" s="56" t="s">
        <v>4291</v>
      </c>
      <c r="L158" s="56"/>
      <c r="M158" s="56"/>
      <c r="N158" s="56"/>
      <c r="O158" s="56"/>
      <c r="P158" s="37" t="s">
        <v>1830</v>
      </c>
      <c r="Q158" s="37" t="s">
        <v>4311</v>
      </c>
      <c r="R158" s="28" t="s">
        <v>68</v>
      </c>
      <c r="S158" s="37" t="s">
        <v>3790</v>
      </c>
      <c r="T158" s="53" t="s">
        <v>279</v>
      </c>
      <c r="V158" s="37">
        <v>1</v>
      </c>
      <c r="AE158" s="37" t="s">
        <v>56</v>
      </c>
      <c r="AF158" s="37" t="s">
        <v>57</v>
      </c>
      <c r="AH158" s="37">
        <v>2.64</v>
      </c>
      <c r="AI158" s="37">
        <v>2.64</v>
      </c>
      <c r="AN158" s="37">
        <v>206</v>
      </c>
      <c r="AO158" s="59">
        <v>0.2</v>
      </c>
      <c r="AP158" s="37">
        <f t="shared" si="2"/>
        <v>247.2</v>
      </c>
    </row>
    <row r="159" spans="1:42" x14ac:dyDescent="0.3">
      <c r="A159" s="37" t="s">
        <v>4218</v>
      </c>
      <c r="B159" s="37" t="s">
        <v>4185</v>
      </c>
      <c r="C159" s="37" t="s">
        <v>4191</v>
      </c>
      <c r="D159" s="55">
        <v>8435668002936</v>
      </c>
      <c r="F159" s="37" t="s">
        <v>3788</v>
      </c>
      <c r="H159" s="28"/>
      <c r="I159" s="56" t="s">
        <v>4292</v>
      </c>
      <c r="J159" s="28" t="s">
        <v>4293</v>
      </c>
      <c r="K159" s="56" t="s">
        <v>4294</v>
      </c>
      <c r="L159" s="56"/>
      <c r="M159" s="56"/>
      <c r="N159" s="56"/>
      <c r="O159" s="56"/>
      <c r="P159" s="37" t="s">
        <v>1830</v>
      </c>
      <c r="Q159" s="37" t="s">
        <v>4311</v>
      </c>
      <c r="R159" s="28" t="s">
        <v>68</v>
      </c>
      <c r="S159" s="37" t="s">
        <v>3481</v>
      </c>
      <c r="T159" s="53" t="s">
        <v>279</v>
      </c>
      <c r="V159" s="37">
        <v>1</v>
      </c>
      <c r="AE159" s="37" t="s">
        <v>56</v>
      </c>
      <c r="AF159" s="37" t="s">
        <v>57</v>
      </c>
      <c r="AH159" s="37">
        <v>4.54</v>
      </c>
      <c r="AI159" s="37">
        <v>4.54</v>
      </c>
      <c r="AN159" s="37">
        <v>305</v>
      </c>
      <c r="AO159" s="59">
        <v>0.2</v>
      </c>
      <c r="AP159" s="37">
        <f t="shared" si="2"/>
        <v>366</v>
      </c>
    </row>
    <row r="160" spans="1:42" x14ac:dyDescent="0.3">
      <c r="A160" s="37" t="s">
        <v>4219</v>
      </c>
      <c r="B160" s="37" t="s">
        <v>4186</v>
      </c>
      <c r="C160" s="37" t="s">
        <v>4191</v>
      </c>
      <c r="D160" s="55">
        <v>8435668011747</v>
      </c>
      <c r="F160" s="37" t="s">
        <v>3788</v>
      </c>
      <c r="H160" s="28"/>
      <c r="I160" s="56" t="s">
        <v>4295</v>
      </c>
      <c r="J160" s="28" t="s">
        <v>4296</v>
      </c>
      <c r="K160" s="56"/>
      <c r="L160" s="56"/>
      <c r="M160" s="56"/>
      <c r="N160" s="56"/>
      <c r="O160" s="56"/>
      <c r="P160" s="37" t="s">
        <v>1830</v>
      </c>
      <c r="Q160" s="37" t="s">
        <v>4311</v>
      </c>
      <c r="R160" s="28" t="s">
        <v>68</v>
      </c>
      <c r="S160" s="37" t="s">
        <v>3481</v>
      </c>
      <c r="T160" s="53" t="s">
        <v>279</v>
      </c>
      <c r="V160" s="37">
        <v>1</v>
      </c>
      <c r="AE160" s="37" t="s">
        <v>56</v>
      </c>
      <c r="AF160" s="37" t="s">
        <v>57</v>
      </c>
      <c r="AH160" s="37">
        <v>4.4400000000000004</v>
      </c>
      <c r="AI160" s="37">
        <v>4.4400000000000004</v>
      </c>
      <c r="AN160" s="37">
        <v>305</v>
      </c>
      <c r="AO160" s="59">
        <v>0.2</v>
      </c>
      <c r="AP160" s="37">
        <f t="shared" si="2"/>
        <v>366</v>
      </c>
    </row>
    <row r="161" spans="1:42" x14ac:dyDescent="0.3">
      <c r="A161" s="37" t="s">
        <v>4307</v>
      </c>
      <c r="B161" s="37" t="s">
        <v>4187</v>
      </c>
      <c r="C161" s="37" t="s">
        <v>4191</v>
      </c>
      <c r="D161" s="55">
        <v>8435668013550</v>
      </c>
      <c r="F161" s="37" t="s">
        <v>3788</v>
      </c>
      <c r="H161" s="28"/>
      <c r="I161" s="56" t="s">
        <v>4297</v>
      </c>
      <c r="J161" s="28" t="s">
        <v>4298</v>
      </c>
      <c r="K161" s="56"/>
      <c r="L161" s="56"/>
      <c r="M161" s="56"/>
      <c r="N161" s="56"/>
      <c r="O161" s="56"/>
      <c r="P161" s="37" t="s">
        <v>1830</v>
      </c>
      <c r="Q161" s="37" t="s">
        <v>4311</v>
      </c>
      <c r="R161" s="28" t="s">
        <v>68</v>
      </c>
      <c r="S161" s="37" t="s">
        <v>3481</v>
      </c>
      <c r="T161" s="53" t="s">
        <v>3483</v>
      </c>
      <c r="V161" s="37">
        <v>1</v>
      </c>
      <c r="AE161" s="37" t="s">
        <v>56</v>
      </c>
      <c r="AF161" s="37" t="s">
        <v>57</v>
      </c>
      <c r="AH161" s="37">
        <v>8.0399999999999991</v>
      </c>
      <c r="AI161" s="37">
        <v>8.0399999999999991</v>
      </c>
      <c r="AN161" s="37">
        <v>669</v>
      </c>
      <c r="AO161" s="59">
        <v>0.2</v>
      </c>
      <c r="AP161" s="37">
        <f t="shared" si="2"/>
        <v>802.8</v>
      </c>
    </row>
    <row r="162" spans="1:42" x14ac:dyDescent="0.3">
      <c r="A162" s="37" t="s">
        <v>4308</v>
      </c>
      <c r="B162" s="37" t="s">
        <v>4188</v>
      </c>
      <c r="C162" s="37" t="s">
        <v>4191</v>
      </c>
      <c r="D162" s="55">
        <v>8435668013611</v>
      </c>
      <c r="F162" s="37" t="s">
        <v>3788</v>
      </c>
      <c r="H162" s="28"/>
      <c r="I162" s="56" t="s">
        <v>4299</v>
      </c>
      <c r="J162" s="28" t="s">
        <v>4300</v>
      </c>
      <c r="K162" s="56" t="s">
        <v>4301</v>
      </c>
      <c r="L162" s="56"/>
      <c r="M162" s="56"/>
      <c r="N162" s="56"/>
      <c r="O162" s="56"/>
      <c r="P162" s="37" t="s">
        <v>1830</v>
      </c>
      <c r="Q162" s="37" t="s">
        <v>4311</v>
      </c>
      <c r="R162" s="28" t="s">
        <v>68</v>
      </c>
      <c r="S162" s="37" t="s">
        <v>3481</v>
      </c>
      <c r="T162" s="53" t="s">
        <v>279</v>
      </c>
      <c r="V162" s="37">
        <v>1</v>
      </c>
      <c r="AE162" s="37" t="s">
        <v>56</v>
      </c>
      <c r="AF162" s="37" t="s">
        <v>57</v>
      </c>
      <c r="AH162" s="37">
        <v>8.0399999999999991</v>
      </c>
      <c r="AI162" s="37">
        <v>8.0399999999999991</v>
      </c>
      <c r="AN162" s="37">
        <v>733</v>
      </c>
      <c r="AO162" s="59">
        <v>0.2</v>
      </c>
      <c r="AP162" s="37">
        <f t="shared" si="2"/>
        <v>879.6</v>
      </c>
    </row>
    <row r="163" spans="1:42" x14ac:dyDescent="0.3">
      <c r="A163" s="37" t="s">
        <v>4309</v>
      </c>
      <c r="B163" s="37" t="s">
        <v>4189</v>
      </c>
      <c r="C163" s="37" t="s">
        <v>4191</v>
      </c>
      <c r="D163" s="55">
        <v>8435668012423</v>
      </c>
      <c r="F163" s="37" t="s">
        <v>3788</v>
      </c>
      <c r="H163" s="28"/>
      <c r="I163" s="56" t="s">
        <v>4302</v>
      </c>
      <c r="J163" s="28" t="s">
        <v>4303</v>
      </c>
      <c r="K163" s="56"/>
      <c r="L163" s="56"/>
      <c r="M163" s="56"/>
      <c r="N163" s="56"/>
      <c r="O163" s="56"/>
      <c r="P163" s="37" t="s">
        <v>1830</v>
      </c>
      <c r="Q163" s="37" t="s">
        <v>4311</v>
      </c>
      <c r="R163" s="28" t="s">
        <v>68</v>
      </c>
      <c r="S163" s="37" t="s">
        <v>3481</v>
      </c>
      <c r="T163" s="53" t="s">
        <v>279</v>
      </c>
      <c r="V163" s="37">
        <v>1</v>
      </c>
      <c r="AE163" s="37" t="s">
        <v>56</v>
      </c>
      <c r="AF163" s="37" t="s">
        <v>57</v>
      </c>
      <c r="AH163" s="37">
        <v>8.0399999999999991</v>
      </c>
      <c r="AI163" s="37">
        <v>8.0399999999999991</v>
      </c>
      <c r="AN163" s="37">
        <v>771</v>
      </c>
      <c r="AO163" s="59">
        <v>0.2</v>
      </c>
      <c r="AP163" s="37">
        <f t="shared" si="2"/>
        <v>925.19999999999993</v>
      </c>
    </row>
    <row r="164" spans="1:42" x14ac:dyDescent="0.3">
      <c r="A164" s="37" t="s">
        <v>4310</v>
      </c>
      <c r="B164" s="37" t="s">
        <v>4190</v>
      </c>
      <c r="C164" s="37" t="s">
        <v>4191</v>
      </c>
      <c r="D164" s="55">
        <v>8435668014168</v>
      </c>
      <c r="F164" s="37" t="s">
        <v>3788</v>
      </c>
      <c r="H164" s="28"/>
      <c r="I164" s="56" t="s">
        <v>4304</v>
      </c>
      <c r="J164" s="28" t="s">
        <v>4305</v>
      </c>
      <c r="K164" s="56"/>
      <c r="L164" s="56"/>
      <c r="M164" s="56"/>
      <c r="N164" s="56"/>
      <c r="O164" s="56"/>
      <c r="P164" s="37" t="s">
        <v>1830</v>
      </c>
      <c r="Q164" s="37" t="s">
        <v>4311</v>
      </c>
      <c r="R164" s="28" t="s">
        <v>68</v>
      </c>
      <c r="S164" s="37" t="s">
        <v>3481</v>
      </c>
      <c r="T164" s="53" t="s">
        <v>279</v>
      </c>
      <c r="V164" s="37">
        <v>1</v>
      </c>
      <c r="AE164" s="37" t="s">
        <v>56</v>
      </c>
      <c r="AF164" s="37" t="s">
        <v>57</v>
      </c>
      <c r="AH164" s="37">
        <v>8.0399999999999991</v>
      </c>
      <c r="AI164" s="37">
        <v>8.0399999999999991</v>
      </c>
      <c r="AN164" s="37">
        <v>771</v>
      </c>
      <c r="AO164" s="59">
        <v>0.2</v>
      </c>
      <c r="AP164" s="37">
        <f t="shared" si="2"/>
        <v>925.19999999999993</v>
      </c>
    </row>
  </sheetData>
  <autoFilter ref="A1:AP164" xr:uid="{74D64C0F-C558-4051-AAEB-31E86DB36917}"/>
  <phoneticPr fontId="14" type="noConversion"/>
  <hyperlinks>
    <hyperlink ref="H3" r:id="rId1" xr:uid="{36E2E9C7-F1FC-4700-A3E3-4021F10D36DB}"/>
    <hyperlink ref="H4" r:id="rId2" xr:uid="{650A67D8-4A11-4FBF-BE64-B80574C519AB}"/>
    <hyperlink ref="H5" r:id="rId3" xr:uid="{3241F163-6B7A-4FC0-8C45-B6CD50C5E5DE}"/>
    <hyperlink ref="H6" r:id="rId4" xr:uid="{17FEA884-8D97-470B-8688-7EC6C3A6242C}"/>
    <hyperlink ref="G2" r:id="rId5" xr:uid="{075E9EE5-E15E-4F04-92F7-964AF2974A07}"/>
    <hyperlink ref="I3" r:id="rId6" xr:uid="{8EDC93AE-6F6B-4496-A1A6-0DE74D07C2CF}"/>
    <hyperlink ref="H2" r:id="rId7" xr:uid="{15757E30-EE8E-4664-A920-C9E98CBEFF48}"/>
    <hyperlink ref="H28" r:id="rId8" xr:uid="{C0BEEE56-D3D0-42CA-AA7A-DCA68661A61D}"/>
    <hyperlink ref="H29" r:id="rId9" xr:uid="{ED530847-BF9B-40A8-A5FA-D5BCE9B1ADAA}"/>
    <hyperlink ref="H30" r:id="rId10" xr:uid="{4D761E04-0003-4EB2-8DAF-0123E21969C8}"/>
    <hyperlink ref="H31" r:id="rId11" xr:uid="{03CBFD36-F227-462A-A04F-FF60D220BEEA}"/>
    <hyperlink ref="H43" r:id="rId12" xr:uid="{71D8EA88-0129-4DF9-90AA-70081CE154A1}"/>
    <hyperlink ref="H44" r:id="rId13" xr:uid="{1D019E72-2CCA-47AB-89E0-F4540BB49E8C}"/>
    <hyperlink ref="H45" r:id="rId14" xr:uid="{3D978EBB-B3B1-4DE1-8AF2-9561DB6FBDDD}"/>
    <hyperlink ref="H46" r:id="rId15" xr:uid="{EBBCEAA7-3C8A-4526-8C27-FEF6F827889F}"/>
    <hyperlink ref="H48" r:id="rId16" xr:uid="{F8A8157A-F73C-42DC-849A-39E00AEEAB79}"/>
    <hyperlink ref="H49" r:id="rId17" xr:uid="{A557E8D8-3F56-4762-B9BA-1FCB0B8D27B9}"/>
    <hyperlink ref="H50" r:id="rId18" xr:uid="{01424219-14EB-4AF8-82FE-F7AA1192ADFA}"/>
    <hyperlink ref="H51" r:id="rId19" xr:uid="{FC52E08D-B35F-4119-9C2E-F2297BD1B038}"/>
    <hyperlink ref="H53" r:id="rId20" xr:uid="{6CE6CE17-900F-4719-9DBD-22F1A2496FB9}"/>
    <hyperlink ref="H54" r:id="rId21" xr:uid="{B2F86D71-EEB6-4268-8D4B-BC2E69BC1A8D}"/>
    <hyperlink ref="H55" r:id="rId22" xr:uid="{C0998776-6A0E-4AF0-A51F-3B60B9158CFC}"/>
    <hyperlink ref="H56" r:id="rId23" xr:uid="{62E2FD89-5ADB-46D3-805D-23DB9763BA53}"/>
    <hyperlink ref="I121" r:id="rId24" xr:uid="{6805AF2B-CDD9-4256-A54F-77424A127620}"/>
    <hyperlink ref="H69" r:id="rId25" xr:uid="{AB7A8356-D7B0-46C8-B620-4F7777AB600F}"/>
    <hyperlink ref="H74" r:id="rId26" xr:uid="{45EE151B-06D7-4F82-AD4D-0E64FA1A903E}"/>
    <hyperlink ref="H75" r:id="rId27" xr:uid="{B796AC24-2BE0-43D6-9C9F-EC40BA8402EB}"/>
    <hyperlink ref="H76" r:id="rId28" xr:uid="{DD948975-DDFF-4691-87E3-40CB85C02754}"/>
    <hyperlink ref="H77" r:id="rId29" xr:uid="{9C58A098-40B0-47E0-A227-0BDF5DAEAB58}"/>
    <hyperlink ref="H78" r:id="rId30" xr:uid="{1F443E91-66D3-4621-B912-AAB87497EB98}"/>
    <hyperlink ref="H79" r:id="rId31" xr:uid="{EFC08CD0-81BF-4693-8676-32F96A9FCB2D}"/>
    <hyperlink ref="H80" r:id="rId32" xr:uid="{CD082469-654D-442B-8F16-A5DC7387FDFC}"/>
    <hyperlink ref="H85" r:id="rId33" xr:uid="{2AE76AE7-AD86-486A-B113-16AE63895A10}"/>
    <hyperlink ref="H86" r:id="rId34" xr:uid="{5E78734B-38B4-4FDC-8C43-CA0C49784A38}"/>
    <hyperlink ref="H87" r:id="rId35" xr:uid="{B889C285-66A1-47EA-B16E-C9227F5A3C88}"/>
    <hyperlink ref="H88" r:id="rId36" xr:uid="{514F1555-C2AE-4891-AD97-3B5B32E582B9}"/>
    <hyperlink ref="H89" r:id="rId37" xr:uid="{3B22C3B7-F2F8-425A-81F7-FBD47797A961}"/>
    <hyperlink ref="H94" r:id="rId38" xr:uid="{D68D41F6-A991-4956-8175-66E2DD2FDC83}"/>
    <hyperlink ref="H95" r:id="rId39" xr:uid="{10ED382E-F6FE-4E4F-A24E-A9E0E8539637}"/>
    <hyperlink ref="H96" r:id="rId40" xr:uid="{CDB57B6E-F5F4-41D7-A90F-A3014C26D305}"/>
    <hyperlink ref="H97" r:id="rId41" xr:uid="{102FD49D-9D39-4BC5-BCE3-FA5CF934BF58}"/>
    <hyperlink ref="H98" r:id="rId42" xr:uid="{9481FE13-B4BA-4A23-828D-14782B5FF11C}"/>
    <hyperlink ref="H103" r:id="rId43" xr:uid="{154502C2-0622-4F16-838D-4174F5A7FAD8}"/>
    <hyperlink ref="H104" r:id="rId44" xr:uid="{AE6630FD-8766-4BD5-AE8A-F93663213E73}"/>
    <hyperlink ref="H105" r:id="rId45" xr:uid="{D6D319CF-CFE7-41A9-A6E2-B591414239F1}"/>
    <hyperlink ref="H106" r:id="rId46" xr:uid="{08022B0A-07AE-47B1-9361-B0953E638008}"/>
    <hyperlink ref="H107" r:id="rId47" xr:uid="{98E7D656-75CD-4208-B9FF-6A9381AF9D6F}"/>
    <hyperlink ref="H108" r:id="rId48" xr:uid="{993F7205-EAB0-4A57-8214-A244818FFED8}"/>
    <hyperlink ref="H113" r:id="rId49" xr:uid="{E6DDC433-17C4-48BA-BDE4-1E65C83E44D3}"/>
    <hyperlink ref="H114" r:id="rId50" xr:uid="{F5C161E7-FD21-48FD-A704-6724468404CD}"/>
    <hyperlink ref="H115" r:id="rId51" xr:uid="{90F480E2-F78E-4527-889F-D8CB263CE59D}"/>
    <hyperlink ref="H116" r:id="rId52" xr:uid="{ECFCEFD1-4DC7-4771-BA33-496411F8EC3C}"/>
    <hyperlink ref="H117" r:id="rId53" xr:uid="{D2CBF80A-0201-4A62-8148-01DE823CD475}"/>
    <hyperlink ref="H118" r:id="rId54" xr:uid="{72B59C6E-882B-4023-B26D-6E2840BBF11F}"/>
    <hyperlink ref="H119" r:id="rId55" xr:uid="{2761BFDE-EB2A-4311-B46F-C56D35855807}"/>
    <hyperlink ref="H120" r:id="rId56" xr:uid="{395C9091-72D3-4C85-9702-864015E4C188}"/>
    <hyperlink ref="H121" r:id="rId57" xr:uid="{D2B8F82F-1915-4D24-9DE7-A54655C537DE}"/>
    <hyperlink ref="H122" r:id="rId58" xr:uid="{28F1B9A9-1F66-412C-930C-8C458FACD6CC}"/>
    <hyperlink ref="H123" r:id="rId59" xr:uid="{528C2B48-49FA-47DA-AFE0-9BC7DFA7FB4A}"/>
    <hyperlink ref="H128" r:id="rId60" xr:uid="{4786D81C-96BA-4070-871C-87FD3C892E6A}"/>
    <hyperlink ref="H129" r:id="rId61" xr:uid="{7DD9CD70-A9F9-4125-81A0-7646D7D9A4C1}"/>
    <hyperlink ref="H130" r:id="rId62" xr:uid="{2D47FD70-75C3-45DB-A217-AEE1E0EA53C4}"/>
    <hyperlink ref="H131" r:id="rId63" xr:uid="{5DF43470-D004-4700-AA36-1129E3BE0AA2}"/>
    <hyperlink ref="H132" r:id="rId64" xr:uid="{B16F4EA0-75FF-4CA6-89C1-1348CF1F8C24}"/>
    <hyperlink ref="I140" r:id="rId65" xr:uid="{A242001A-F42D-421D-90F7-ED56BADB358F}"/>
    <hyperlink ref="I147" r:id="rId66" xr:uid="{B91AB96C-CD62-4220-BA0C-F39679F84FB5}"/>
    <hyperlink ref="I154" r:id="rId67" xr:uid="{C60DAC0B-421D-4F57-A8E8-07E6931952E4}"/>
    <hyperlink ref="I162" r:id="rId68" xr:uid="{371D6798-823F-47C1-9438-217F552FE6BF}"/>
    <hyperlink ref="I163" r:id="rId69" xr:uid="{26F3CAD2-F389-408A-B895-358C01E909F9}"/>
    <hyperlink ref="I164" r:id="rId70" xr:uid="{D24A0D73-7BFE-44B6-BF79-1F245AD968A1}"/>
    <hyperlink ref="K162" r:id="rId71" xr:uid="{181571B1-59DE-4FDC-A7CE-FD9392817188}"/>
    <hyperlink ref="H8" r:id="rId72" xr:uid="{BF8A6599-2A52-44FA-8A44-E7D64F028FC3}"/>
    <hyperlink ref="H12" r:id="rId73" xr:uid="{5FC7A421-8EB4-4316-9742-AACB86275661}"/>
    <hyperlink ref="H22" r:id="rId74" xr:uid="{AC3922C5-AD62-4E04-86E6-FB8F7191FEE8}"/>
    <hyperlink ref="J23" r:id="rId75" xr:uid="{450ACE86-22E3-4751-B5B9-142DA0B3AF8D}"/>
    <hyperlink ref="J22" r:id="rId76" xr:uid="{C151D392-4936-4093-9A72-8945D0122E4A}"/>
    <hyperlink ref="J2" r:id="rId77" xr:uid="{046D0286-B8EC-4ED5-A33A-CE9E5C27EF4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000"/>
  <sheetViews>
    <sheetView topLeftCell="A13" workbookViewId="0">
      <selection activeCell="E36" sqref="E36"/>
    </sheetView>
  </sheetViews>
  <sheetFormatPr baseColWidth="10" defaultRowHeight="15" customHeight="1" x14ac:dyDescent="0.3"/>
  <cols>
    <col min="1" max="1" width="32.6640625" customWidth="1"/>
    <col min="5" max="8" width="24.33203125" customWidth="1"/>
    <col min="9" max="9" width="19.33203125" customWidth="1"/>
    <col min="13" max="13" width="27" style="27" bestFit="1" customWidth="1"/>
    <col min="14" max="14" width="16.6640625" bestFit="1" customWidth="1"/>
    <col min="15" max="17" width="11.5546875" style="27"/>
    <col min="18" max="18" width="34.109375" bestFit="1" customWidth="1"/>
    <col min="19" max="19" width="11.5546875" style="27"/>
    <col min="21" max="27" width="11.5546875" style="27"/>
    <col min="34" max="36" width="11.5546875" style="27"/>
    <col min="38" max="38" width="14.88671875" customWidth="1"/>
    <col min="40" max="40" width="23.109375" customWidth="1"/>
  </cols>
  <sheetData>
    <row r="1" spans="1:40" ht="14.4" x14ac:dyDescent="0.3">
      <c r="A1" s="20" t="s">
        <v>0</v>
      </c>
      <c r="B1" s="20" t="s">
        <v>1</v>
      </c>
      <c r="C1" s="20" t="s">
        <v>2</v>
      </c>
      <c r="D1" s="20" t="s">
        <v>3</v>
      </c>
      <c r="E1" s="20" t="s">
        <v>4</v>
      </c>
      <c r="F1" s="20" t="s">
        <v>3328</v>
      </c>
      <c r="G1" s="20" t="s">
        <v>3329</v>
      </c>
      <c r="H1" s="20" t="s">
        <v>3330</v>
      </c>
      <c r="I1" s="20" t="s">
        <v>5</v>
      </c>
      <c r="J1" s="20" t="s">
        <v>6</v>
      </c>
      <c r="K1" s="20" t="s">
        <v>7</v>
      </c>
      <c r="L1" s="20" t="s">
        <v>8</v>
      </c>
      <c r="M1" s="21" t="s">
        <v>1823</v>
      </c>
      <c r="N1" s="20" t="s">
        <v>9</v>
      </c>
      <c r="O1" s="21" t="s">
        <v>10</v>
      </c>
      <c r="P1" s="21" t="s">
        <v>11</v>
      </c>
      <c r="Q1" s="21" t="s">
        <v>12</v>
      </c>
      <c r="R1" s="20" t="s">
        <v>13</v>
      </c>
      <c r="S1" s="21" t="s">
        <v>14</v>
      </c>
      <c r="T1" s="20" t="s">
        <v>15</v>
      </c>
      <c r="U1" s="21" t="s">
        <v>16</v>
      </c>
      <c r="V1" s="21" t="s">
        <v>17</v>
      </c>
      <c r="W1" s="21" t="s">
        <v>18</v>
      </c>
      <c r="X1" s="21" t="s">
        <v>19</v>
      </c>
      <c r="Y1" s="21" t="s">
        <v>20</v>
      </c>
      <c r="Z1" s="21" t="s">
        <v>21</v>
      </c>
      <c r="AA1" s="21" t="s">
        <v>22</v>
      </c>
      <c r="AB1" s="20" t="s">
        <v>23</v>
      </c>
      <c r="AC1" s="20" t="s">
        <v>24</v>
      </c>
      <c r="AD1" s="20" t="s">
        <v>25</v>
      </c>
      <c r="AE1" s="20" t="s">
        <v>26</v>
      </c>
      <c r="AF1" s="20" t="s">
        <v>27</v>
      </c>
      <c r="AG1" s="20" t="s">
        <v>28</v>
      </c>
      <c r="AH1" s="21" t="s">
        <v>29</v>
      </c>
      <c r="AI1" s="21" t="s">
        <v>30</v>
      </c>
      <c r="AJ1" s="21" t="s">
        <v>31</v>
      </c>
      <c r="AK1" s="20" t="s">
        <v>32</v>
      </c>
      <c r="AL1" s="20" t="s">
        <v>33</v>
      </c>
      <c r="AM1" s="20" t="s">
        <v>34</v>
      </c>
      <c r="AN1" s="20" t="s">
        <v>35</v>
      </c>
    </row>
    <row r="2" spans="1:40" s="37" customFormat="1" ht="14.4" x14ac:dyDescent="0.3">
      <c r="A2" s="37" t="s">
        <v>3331</v>
      </c>
      <c r="B2" s="53" t="s">
        <v>3332</v>
      </c>
      <c r="C2" s="37" t="s">
        <v>3333</v>
      </c>
      <c r="D2" s="37" t="s">
        <v>3334</v>
      </c>
      <c r="E2" s="37" t="s">
        <v>3335</v>
      </c>
      <c r="F2" s="37" t="s">
        <v>3336</v>
      </c>
      <c r="G2" s="37" t="s">
        <v>3337</v>
      </c>
      <c r="H2" s="37" t="s">
        <v>3338</v>
      </c>
      <c r="I2" s="37" t="s">
        <v>3339</v>
      </c>
      <c r="M2" s="54"/>
      <c r="N2" s="37" t="s">
        <v>52</v>
      </c>
      <c r="O2" s="54"/>
      <c r="P2" s="54"/>
      <c r="Q2" s="54"/>
      <c r="R2" s="37" t="s">
        <v>3340</v>
      </c>
      <c r="S2" s="54"/>
      <c r="T2" s="37" t="s">
        <v>3341</v>
      </c>
      <c r="U2" s="54"/>
      <c r="V2" s="54"/>
      <c r="W2" s="54"/>
      <c r="X2" s="54"/>
      <c r="Y2" s="54"/>
      <c r="Z2" s="54"/>
      <c r="AA2" s="54"/>
      <c r="AB2" s="37" t="s">
        <v>52</v>
      </c>
      <c r="AC2" s="37" t="s">
        <v>1771</v>
      </c>
      <c r="AD2" s="37" t="s">
        <v>3342</v>
      </c>
      <c r="AE2" s="37" t="s">
        <v>3333</v>
      </c>
      <c r="AF2" s="37">
        <v>5</v>
      </c>
      <c r="AG2" s="37">
        <v>5</v>
      </c>
      <c r="AH2" s="54"/>
      <c r="AI2" s="54"/>
      <c r="AJ2" s="54"/>
      <c r="AK2" s="37">
        <v>9.27</v>
      </c>
      <c r="AN2" s="37">
        <v>22.2</v>
      </c>
    </row>
    <row r="3" spans="1:40" s="37" customFormat="1" ht="14.4" x14ac:dyDescent="0.3">
      <c r="A3" s="37" t="s">
        <v>3331</v>
      </c>
      <c r="B3" s="53" t="s">
        <v>3343</v>
      </c>
      <c r="C3" s="37" t="s">
        <v>3333</v>
      </c>
      <c r="D3" s="37" t="s">
        <v>3344</v>
      </c>
      <c r="E3" s="37" t="s">
        <v>3335</v>
      </c>
      <c r="F3" s="37" t="s">
        <v>3336</v>
      </c>
      <c r="G3" s="37" t="s">
        <v>3337</v>
      </c>
      <c r="H3" s="37" t="s">
        <v>3338</v>
      </c>
      <c r="I3" s="37" t="s">
        <v>3339</v>
      </c>
      <c r="M3" s="54"/>
      <c r="N3" s="37" t="s">
        <v>52</v>
      </c>
      <c r="O3" s="54"/>
      <c r="P3" s="54"/>
      <c r="Q3" s="54"/>
      <c r="R3" s="37" t="s">
        <v>3345</v>
      </c>
      <c r="S3" s="54"/>
      <c r="T3" s="37" t="s">
        <v>3341</v>
      </c>
      <c r="U3" s="54"/>
      <c r="V3" s="54"/>
      <c r="W3" s="54"/>
      <c r="X3" s="54"/>
      <c r="Y3" s="54"/>
      <c r="Z3" s="54"/>
      <c r="AA3" s="54"/>
      <c r="AB3" s="37" t="s">
        <v>52</v>
      </c>
      <c r="AC3" s="37" t="s">
        <v>1771</v>
      </c>
      <c r="AD3" s="37" t="s">
        <v>3342</v>
      </c>
      <c r="AE3" s="37" t="s">
        <v>3333</v>
      </c>
      <c r="AF3" s="37">
        <v>5</v>
      </c>
      <c r="AG3" s="37">
        <v>5</v>
      </c>
      <c r="AH3" s="54"/>
      <c r="AI3" s="54"/>
      <c r="AJ3" s="54"/>
      <c r="AK3" s="37">
        <v>12.12</v>
      </c>
      <c r="AN3" s="37">
        <v>22.2</v>
      </c>
    </row>
    <row r="4" spans="1:40" s="37" customFormat="1" ht="14.4" x14ac:dyDescent="0.3">
      <c r="A4" s="37" t="s">
        <v>3331</v>
      </c>
      <c r="B4" s="53" t="s">
        <v>3346</v>
      </c>
      <c r="C4" s="37" t="s">
        <v>3333</v>
      </c>
      <c r="D4" s="37" t="s">
        <v>3347</v>
      </c>
      <c r="E4" s="37" t="s">
        <v>3335</v>
      </c>
      <c r="F4" s="37" t="s">
        <v>3336</v>
      </c>
      <c r="G4" s="37" t="s">
        <v>3337</v>
      </c>
      <c r="H4" s="37" t="s">
        <v>3338</v>
      </c>
      <c r="I4" s="37" t="s">
        <v>3339</v>
      </c>
      <c r="M4" s="54"/>
      <c r="N4" s="37" t="s">
        <v>52</v>
      </c>
      <c r="O4" s="54"/>
      <c r="P4" s="54"/>
      <c r="Q4" s="54"/>
      <c r="R4" s="37" t="s">
        <v>3348</v>
      </c>
      <c r="S4" s="54"/>
      <c r="T4" s="37" t="s">
        <v>3341</v>
      </c>
      <c r="U4" s="54"/>
      <c r="V4" s="54"/>
      <c r="W4" s="54"/>
      <c r="X4" s="54"/>
      <c r="Y4" s="54"/>
      <c r="Z4" s="54"/>
      <c r="AA4" s="54"/>
      <c r="AB4" s="37" t="s">
        <v>52</v>
      </c>
      <c r="AC4" s="37" t="s">
        <v>1771</v>
      </c>
      <c r="AD4" s="37" t="s">
        <v>3342</v>
      </c>
      <c r="AE4" s="37" t="s">
        <v>3333</v>
      </c>
      <c r="AF4" s="37">
        <v>5</v>
      </c>
      <c r="AG4" s="37">
        <v>5</v>
      </c>
      <c r="AH4" s="54"/>
      <c r="AI4" s="54"/>
      <c r="AJ4" s="54"/>
      <c r="AK4" s="37">
        <v>12.12</v>
      </c>
      <c r="AN4" s="37">
        <v>22.2</v>
      </c>
    </row>
    <row r="5" spans="1:40" s="37" customFormat="1" ht="14.4" x14ac:dyDescent="0.3">
      <c r="A5" s="37" t="s">
        <v>3331</v>
      </c>
      <c r="B5" s="53" t="s">
        <v>3349</v>
      </c>
      <c r="C5" s="37" t="s">
        <v>3333</v>
      </c>
      <c r="D5" s="37" t="s">
        <v>3350</v>
      </c>
      <c r="E5" s="37" t="s">
        <v>3335</v>
      </c>
      <c r="F5" s="37" t="s">
        <v>3336</v>
      </c>
      <c r="G5" s="37" t="s">
        <v>3337</v>
      </c>
      <c r="H5" s="37" t="s">
        <v>3338</v>
      </c>
      <c r="I5" s="37" t="s">
        <v>3339</v>
      </c>
      <c r="M5" s="54"/>
      <c r="N5" s="37" t="s">
        <v>52</v>
      </c>
      <c r="O5" s="54"/>
      <c r="P5" s="54"/>
      <c r="Q5" s="54"/>
      <c r="R5" s="37" t="s">
        <v>3351</v>
      </c>
      <c r="S5" s="54"/>
      <c r="T5" s="37" t="s">
        <v>3341</v>
      </c>
      <c r="U5" s="54"/>
      <c r="V5" s="54"/>
      <c r="W5" s="54"/>
      <c r="X5" s="54"/>
      <c r="Y5" s="54"/>
      <c r="Z5" s="54"/>
      <c r="AA5" s="54"/>
      <c r="AB5" s="37" t="s">
        <v>52</v>
      </c>
      <c r="AC5" s="37" t="s">
        <v>1771</v>
      </c>
      <c r="AD5" s="37" t="s">
        <v>3342</v>
      </c>
      <c r="AE5" s="37" t="s">
        <v>3333</v>
      </c>
      <c r="AF5" s="37">
        <v>5</v>
      </c>
      <c r="AG5" s="37">
        <v>5</v>
      </c>
      <c r="AH5" s="54"/>
      <c r="AI5" s="54"/>
      <c r="AJ5" s="54"/>
      <c r="AK5" s="37">
        <v>10.4</v>
      </c>
      <c r="AN5" s="37">
        <v>22.2</v>
      </c>
    </row>
    <row r="6" spans="1:40" s="37" customFormat="1" ht="14.4" x14ac:dyDescent="0.3">
      <c r="A6" s="37" t="s">
        <v>3331</v>
      </c>
      <c r="B6" s="53" t="s">
        <v>3352</v>
      </c>
      <c r="C6" s="37" t="s">
        <v>3333</v>
      </c>
      <c r="D6" s="37" t="s">
        <v>3353</v>
      </c>
      <c r="E6" s="37" t="s">
        <v>3335</v>
      </c>
      <c r="F6" s="37" t="s">
        <v>3336</v>
      </c>
      <c r="G6" s="37" t="s">
        <v>3337</v>
      </c>
      <c r="H6" s="37" t="s">
        <v>3338</v>
      </c>
      <c r="I6" s="37" t="s">
        <v>3339</v>
      </c>
      <c r="M6" s="54"/>
      <c r="N6" s="37" t="s">
        <v>52</v>
      </c>
      <c r="O6" s="54"/>
      <c r="P6" s="54"/>
      <c r="Q6" s="54"/>
      <c r="R6" s="37" t="s">
        <v>3354</v>
      </c>
      <c r="S6" s="54"/>
      <c r="T6" s="37" t="s">
        <v>3341</v>
      </c>
      <c r="U6" s="54"/>
      <c r="V6" s="54"/>
      <c r="W6" s="54"/>
      <c r="X6" s="54"/>
      <c r="Y6" s="54"/>
      <c r="Z6" s="54"/>
      <c r="AA6" s="54"/>
      <c r="AB6" s="37" t="s">
        <v>52</v>
      </c>
      <c r="AC6" s="37" t="s">
        <v>1771</v>
      </c>
      <c r="AD6" s="37" t="s">
        <v>3342</v>
      </c>
      <c r="AE6" s="37" t="s">
        <v>3333</v>
      </c>
      <c r="AF6" s="37">
        <v>5</v>
      </c>
      <c r="AG6" s="37">
        <v>5</v>
      </c>
      <c r="AH6" s="54"/>
      <c r="AI6" s="54"/>
      <c r="AJ6" s="54"/>
      <c r="AK6" s="37">
        <v>12.12</v>
      </c>
      <c r="AN6" s="37">
        <v>22.2</v>
      </c>
    </row>
    <row r="7" spans="1:40" s="37" customFormat="1" ht="14.4" x14ac:dyDescent="0.3">
      <c r="A7" s="37" t="s">
        <v>3331</v>
      </c>
      <c r="B7" s="53" t="s">
        <v>3355</v>
      </c>
      <c r="C7" s="37" t="s">
        <v>3333</v>
      </c>
      <c r="D7" s="37" t="s">
        <v>3356</v>
      </c>
      <c r="E7" s="37" t="s">
        <v>3335</v>
      </c>
      <c r="F7" s="37" t="s">
        <v>3336</v>
      </c>
      <c r="G7" s="37" t="s">
        <v>3337</v>
      </c>
      <c r="H7" s="37" t="s">
        <v>3338</v>
      </c>
      <c r="I7" s="37" t="s">
        <v>3339</v>
      </c>
      <c r="M7" s="54"/>
      <c r="N7" s="37" t="s">
        <v>52</v>
      </c>
      <c r="O7" s="54"/>
      <c r="P7" s="54"/>
      <c r="Q7" s="54"/>
      <c r="R7" s="37" t="s">
        <v>3357</v>
      </c>
      <c r="S7" s="54"/>
      <c r="T7" s="37" t="s">
        <v>3341</v>
      </c>
      <c r="U7" s="54"/>
      <c r="V7" s="54"/>
      <c r="W7" s="54"/>
      <c r="X7" s="54"/>
      <c r="Y7" s="54"/>
      <c r="Z7" s="54"/>
      <c r="AA7" s="54"/>
      <c r="AB7" s="37" t="s">
        <v>52</v>
      </c>
      <c r="AC7" s="37" t="s">
        <v>1771</v>
      </c>
      <c r="AD7" s="37" t="s">
        <v>3342</v>
      </c>
      <c r="AE7" s="37" t="s">
        <v>3333</v>
      </c>
      <c r="AF7" s="37">
        <v>5</v>
      </c>
      <c r="AG7" s="37">
        <v>5</v>
      </c>
      <c r="AH7" s="54"/>
      <c r="AI7" s="54"/>
      <c r="AJ7" s="54"/>
      <c r="AK7" s="37">
        <v>8.6999999999999993</v>
      </c>
      <c r="AN7" s="37">
        <v>22.2</v>
      </c>
    </row>
    <row r="8" spans="1:40" s="37" customFormat="1" ht="14.4" x14ac:dyDescent="0.3">
      <c r="A8" s="37" t="s">
        <v>3331</v>
      </c>
      <c r="B8" s="53" t="s">
        <v>3358</v>
      </c>
      <c r="C8" s="37" t="s">
        <v>3333</v>
      </c>
      <c r="D8" s="37" t="s">
        <v>3359</v>
      </c>
      <c r="E8" s="37" t="s">
        <v>3335</v>
      </c>
      <c r="F8" s="37" t="s">
        <v>3336</v>
      </c>
      <c r="G8" s="37" t="s">
        <v>3337</v>
      </c>
      <c r="H8" s="37" t="s">
        <v>3338</v>
      </c>
      <c r="I8" s="37" t="s">
        <v>3339</v>
      </c>
      <c r="M8" s="54"/>
      <c r="N8" s="37" t="s">
        <v>52</v>
      </c>
      <c r="O8" s="54"/>
      <c r="P8" s="54"/>
      <c r="Q8" s="54"/>
      <c r="R8" s="37" t="s">
        <v>3360</v>
      </c>
      <c r="S8" s="54"/>
      <c r="T8" s="37" t="s">
        <v>3341</v>
      </c>
      <c r="U8" s="54"/>
      <c r="V8" s="54"/>
      <c r="W8" s="54"/>
      <c r="X8" s="54"/>
      <c r="Y8" s="54"/>
      <c r="Z8" s="54"/>
      <c r="AA8" s="54"/>
      <c r="AB8" s="37" t="s">
        <v>52</v>
      </c>
      <c r="AC8" s="37" t="s">
        <v>1771</v>
      </c>
      <c r="AD8" s="37" t="s">
        <v>3342</v>
      </c>
      <c r="AE8" s="37" t="s">
        <v>3333</v>
      </c>
      <c r="AF8" s="37">
        <v>5</v>
      </c>
      <c r="AG8" s="37">
        <v>5</v>
      </c>
      <c r="AH8" s="54"/>
      <c r="AI8" s="54"/>
      <c r="AJ8" s="54"/>
      <c r="AK8" s="37">
        <v>12.12</v>
      </c>
      <c r="AN8" s="37">
        <v>22.2</v>
      </c>
    </row>
    <row r="9" spans="1:40" s="37" customFormat="1" ht="14.4" x14ac:dyDescent="0.3">
      <c r="A9" s="37" t="s">
        <v>3331</v>
      </c>
      <c r="B9" s="53" t="s">
        <v>3361</v>
      </c>
      <c r="C9" s="37" t="s">
        <v>3333</v>
      </c>
      <c r="D9" s="37" t="s">
        <v>3362</v>
      </c>
      <c r="E9" s="37" t="s">
        <v>3335</v>
      </c>
      <c r="F9" s="37" t="s">
        <v>3336</v>
      </c>
      <c r="G9" s="37" t="s">
        <v>3337</v>
      </c>
      <c r="H9" s="37" t="s">
        <v>3338</v>
      </c>
      <c r="I9" s="37" t="s">
        <v>3339</v>
      </c>
      <c r="M9" s="54"/>
      <c r="N9" s="37" t="s">
        <v>52</v>
      </c>
      <c r="O9" s="54"/>
      <c r="P9" s="54"/>
      <c r="Q9" s="54"/>
      <c r="R9" s="37" t="s">
        <v>3363</v>
      </c>
      <c r="S9" s="54"/>
      <c r="T9" s="37" t="s">
        <v>3341</v>
      </c>
      <c r="U9" s="54"/>
      <c r="V9" s="54"/>
      <c r="W9" s="54"/>
      <c r="X9" s="54"/>
      <c r="Y9" s="54"/>
      <c r="Z9" s="54"/>
      <c r="AA9" s="54"/>
      <c r="AB9" s="37" t="s">
        <v>52</v>
      </c>
      <c r="AC9" s="37" t="s">
        <v>1771</v>
      </c>
      <c r="AD9" s="37" t="s">
        <v>3342</v>
      </c>
      <c r="AE9" s="37" t="s">
        <v>3333</v>
      </c>
      <c r="AF9" s="37">
        <v>5</v>
      </c>
      <c r="AG9" s="37">
        <v>5</v>
      </c>
      <c r="AH9" s="54"/>
      <c r="AI9" s="54"/>
      <c r="AJ9" s="54"/>
      <c r="AK9" s="37">
        <v>12.12</v>
      </c>
      <c r="AN9" s="37">
        <v>22.2</v>
      </c>
    </row>
    <row r="10" spans="1:40" s="37" customFormat="1" ht="14.4" x14ac:dyDescent="0.3">
      <c r="A10" s="37" t="s">
        <v>3331</v>
      </c>
      <c r="B10" s="53" t="s">
        <v>3364</v>
      </c>
      <c r="C10" s="37" t="s">
        <v>3333</v>
      </c>
      <c r="D10" s="37" t="s">
        <v>3365</v>
      </c>
      <c r="E10" s="37" t="s">
        <v>3335</v>
      </c>
      <c r="F10" s="37" t="s">
        <v>3336</v>
      </c>
      <c r="G10" s="37" t="s">
        <v>3337</v>
      </c>
      <c r="H10" s="37" t="s">
        <v>3338</v>
      </c>
      <c r="I10" s="37" t="s">
        <v>3339</v>
      </c>
      <c r="M10" s="54"/>
      <c r="N10" s="37" t="s">
        <v>52</v>
      </c>
      <c r="O10" s="54"/>
      <c r="P10" s="54"/>
      <c r="Q10" s="54"/>
      <c r="R10" s="37" t="s">
        <v>3366</v>
      </c>
      <c r="S10" s="54"/>
      <c r="T10" s="37" t="s">
        <v>3341</v>
      </c>
      <c r="U10" s="54"/>
      <c r="V10" s="54"/>
      <c r="W10" s="54"/>
      <c r="X10" s="54"/>
      <c r="Y10" s="54"/>
      <c r="Z10" s="54"/>
      <c r="AA10" s="54"/>
      <c r="AB10" s="37" t="s">
        <v>52</v>
      </c>
      <c r="AC10" s="37" t="s">
        <v>1771</v>
      </c>
      <c r="AD10" s="37" t="s">
        <v>3342</v>
      </c>
      <c r="AE10" s="37" t="s">
        <v>3333</v>
      </c>
      <c r="AF10" s="37">
        <v>5</v>
      </c>
      <c r="AG10" s="37">
        <v>5</v>
      </c>
      <c r="AH10" s="54"/>
      <c r="AI10" s="54"/>
      <c r="AJ10" s="54"/>
      <c r="AK10" s="37">
        <v>12.12</v>
      </c>
      <c r="AN10" s="37">
        <v>22.2</v>
      </c>
    </row>
    <row r="11" spans="1:40" s="37" customFormat="1" ht="14.4" x14ac:dyDescent="0.3">
      <c r="A11" s="37" t="s">
        <v>3331</v>
      </c>
      <c r="B11" s="53" t="s">
        <v>3367</v>
      </c>
      <c r="C11" s="37" t="s">
        <v>3333</v>
      </c>
      <c r="D11" s="37" t="s">
        <v>3368</v>
      </c>
      <c r="E11" s="37" t="s">
        <v>3335</v>
      </c>
      <c r="F11" s="37" t="s">
        <v>3336</v>
      </c>
      <c r="G11" s="37" t="s">
        <v>3337</v>
      </c>
      <c r="H11" s="37" t="s">
        <v>3338</v>
      </c>
      <c r="I11" s="37" t="s">
        <v>3339</v>
      </c>
      <c r="M11" s="54"/>
      <c r="N11" s="37" t="s">
        <v>52</v>
      </c>
      <c r="O11" s="54"/>
      <c r="P11" s="54"/>
      <c r="Q11" s="54"/>
      <c r="R11" s="37" t="s">
        <v>3369</v>
      </c>
      <c r="S11" s="54"/>
      <c r="T11" s="37" t="s">
        <v>3341</v>
      </c>
      <c r="U11" s="54"/>
      <c r="V11" s="54"/>
      <c r="W11" s="54"/>
      <c r="X11" s="54"/>
      <c r="Y11" s="54"/>
      <c r="Z11" s="54"/>
      <c r="AA11" s="54"/>
      <c r="AB11" s="37" t="s">
        <v>52</v>
      </c>
      <c r="AC11" s="37" t="s">
        <v>1771</v>
      </c>
      <c r="AD11" s="37" t="s">
        <v>3342</v>
      </c>
      <c r="AE11" s="37" t="s">
        <v>3333</v>
      </c>
      <c r="AF11" s="37">
        <v>5</v>
      </c>
      <c r="AG11" s="37">
        <v>5</v>
      </c>
      <c r="AH11" s="54"/>
      <c r="AI11" s="54"/>
      <c r="AJ11" s="54"/>
      <c r="AK11" s="37">
        <v>12.12</v>
      </c>
      <c r="AN11" s="37">
        <v>22.2</v>
      </c>
    </row>
    <row r="12" spans="1:40" s="37" customFormat="1" ht="14.4" x14ac:dyDescent="0.3">
      <c r="A12" s="37" t="s">
        <v>3331</v>
      </c>
      <c r="B12" s="53" t="s">
        <v>3370</v>
      </c>
      <c r="C12" s="37" t="s">
        <v>3333</v>
      </c>
      <c r="D12" s="37" t="s">
        <v>3371</v>
      </c>
      <c r="E12" s="37" t="s">
        <v>3335</v>
      </c>
      <c r="F12" s="37" t="s">
        <v>3336</v>
      </c>
      <c r="G12" s="37" t="s">
        <v>3337</v>
      </c>
      <c r="H12" s="37" t="s">
        <v>3338</v>
      </c>
      <c r="I12" s="37" t="s">
        <v>3339</v>
      </c>
      <c r="M12" s="54"/>
      <c r="N12" s="37" t="s">
        <v>52</v>
      </c>
      <c r="O12" s="54"/>
      <c r="P12" s="54"/>
      <c r="Q12" s="54"/>
      <c r="R12" s="37" t="s">
        <v>3372</v>
      </c>
      <c r="S12" s="54"/>
      <c r="T12" s="37" t="s">
        <v>3341</v>
      </c>
      <c r="U12" s="54"/>
      <c r="V12" s="54"/>
      <c r="W12" s="54"/>
      <c r="X12" s="54"/>
      <c r="Y12" s="54"/>
      <c r="Z12" s="54"/>
      <c r="AA12" s="54"/>
      <c r="AB12" s="37" t="s">
        <v>52</v>
      </c>
      <c r="AC12" s="37" t="s">
        <v>1771</v>
      </c>
      <c r="AD12" s="37" t="s">
        <v>3342</v>
      </c>
      <c r="AE12" s="37" t="s">
        <v>3333</v>
      </c>
      <c r="AF12" s="37">
        <v>5</v>
      </c>
      <c r="AG12" s="37">
        <v>5</v>
      </c>
      <c r="AH12" s="54"/>
      <c r="AI12" s="54"/>
      <c r="AJ12" s="54"/>
      <c r="AK12" s="37">
        <v>12.12</v>
      </c>
      <c r="AN12" s="37">
        <v>22.2</v>
      </c>
    </row>
    <row r="13" spans="1:40" s="37" customFormat="1" ht="14.4" x14ac:dyDescent="0.3">
      <c r="A13" s="37" t="s">
        <v>3331</v>
      </c>
      <c r="B13" s="53" t="s">
        <v>3373</v>
      </c>
      <c r="C13" s="37" t="s">
        <v>3333</v>
      </c>
      <c r="D13" s="37" t="s">
        <v>3374</v>
      </c>
      <c r="E13" s="37" t="s">
        <v>3335</v>
      </c>
      <c r="F13" s="37" t="s">
        <v>3336</v>
      </c>
      <c r="G13" s="37" t="s">
        <v>3337</v>
      </c>
      <c r="H13" s="37" t="s">
        <v>3338</v>
      </c>
      <c r="I13" s="37" t="s">
        <v>3339</v>
      </c>
      <c r="M13" s="54"/>
      <c r="N13" s="37" t="s">
        <v>52</v>
      </c>
      <c r="O13" s="54"/>
      <c r="P13" s="54"/>
      <c r="Q13" s="54"/>
      <c r="R13" s="37" t="s">
        <v>3375</v>
      </c>
      <c r="S13" s="54"/>
      <c r="T13" s="37" t="s">
        <v>3341</v>
      </c>
      <c r="U13" s="54"/>
      <c r="V13" s="54"/>
      <c r="W13" s="54"/>
      <c r="X13" s="54"/>
      <c r="Y13" s="54"/>
      <c r="Z13" s="54"/>
      <c r="AA13" s="54"/>
      <c r="AB13" s="37" t="s">
        <v>52</v>
      </c>
      <c r="AC13" s="37" t="s">
        <v>1771</v>
      </c>
      <c r="AD13" s="37" t="s">
        <v>3342</v>
      </c>
      <c r="AE13" s="37" t="s">
        <v>3333</v>
      </c>
      <c r="AF13" s="37">
        <v>5</v>
      </c>
      <c r="AG13" s="37">
        <v>5</v>
      </c>
      <c r="AH13" s="54"/>
      <c r="AI13" s="54"/>
      <c r="AJ13" s="54"/>
      <c r="AK13" s="37">
        <v>12.12</v>
      </c>
      <c r="AN13" s="37">
        <v>22.2</v>
      </c>
    </row>
    <row r="14" spans="1:40" s="37" customFormat="1" ht="14.4" x14ac:dyDescent="0.3">
      <c r="A14" s="37" t="s">
        <v>3331</v>
      </c>
      <c r="B14" s="53" t="s">
        <v>3376</v>
      </c>
      <c r="C14" s="37" t="s">
        <v>3333</v>
      </c>
      <c r="D14" s="37" t="s">
        <v>3377</v>
      </c>
      <c r="E14" s="37" t="s">
        <v>3335</v>
      </c>
      <c r="F14" s="37" t="s">
        <v>3336</v>
      </c>
      <c r="G14" s="37" t="s">
        <v>3337</v>
      </c>
      <c r="H14" s="37" t="s">
        <v>3338</v>
      </c>
      <c r="I14" s="37" t="s">
        <v>3339</v>
      </c>
      <c r="M14" s="54"/>
      <c r="N14" s="37" t="s">
        <v>52</v>
      </c>
      <c r="O14" s="54"/>
      <c r="P14" s="54"/>
      <c r="Q14" s="54"/>
      <c r="R14" s="37" t="s">
        <v>3378</v>
      </c>
      <c r="S14" s="54"/>
      <c r="T14" s="37" t="s">
        <v>3341</v>
      </c>
      <c r="U14" s="54"/>
      <c r="V14" s="54"/>
      <c r="W14" s="54"/>
      <c r="X14" s="54"/>
      <c r="Y14" s="54"/>
      <c r="Z14" s="54"/>
      <c r="AA14" s="54"/>
      <c r="AB14" s="37" t="s">
        <v>52</v>
      </c>
      <c r="AC14" s="37" t="s">
        <v>1771</v>
      </c>
      <c r="AD14" s="37" t="s">
        <v>3342</v>
      </c>
      <c r="AE14" s="37" t="s">
        <v>3333</v>
      </c>
      <c r="AF14" s="37">
        <v>5</v>
      </c>
      <c r="AG14" s="37">
        <v>5</v>
      </c>
      <c r="AH14" s="54"/>
      <c r="AI14" s="54"/>
      <c r="AJ14" s="54"/>
      <c r="AK14" s="37">
        <v>12.12</v>
      </c>
      <c r="AN14" s="37">
        <v>22.2</v>
      </c>
    </row>
    <row r="15" spans="1:40" s="37" customFormat="1" ht="14.4" x14ac:dyDescent="0.3">
      <c r="A15" s="37" t="s">
        <v>3331</v>
      </c>
      <c r="B15" s="53" t="s">
        <v>3379</v>
      </c>
      <c r="C15" s="37" t="s">
        <v>3333</v>
      </c>
      <c r="D15" s="37" t="s">
        <v>3380</v>
      </c>
      <c r="E15" s="37" t="s">
        <v>3335</v>
      </c>
      <c r="F15" s="37" t="s">
        <v>3336</v>
      </c>
      <c r="G15" s="37" t="s">
        <v>3337</v>
      </c>
      <c r="H15" s="37" t="s">
        <v>3338</v>
      </c>
      <c r="I15" s="37" t="s">
        <v>3339</v>
      </c>
      <c r="M15" s="54"/>
      <c r="N15" s="37" t="s">
        <v>52</v>
      </c>
      <c r="O15" s="54"/>
      <c r="P15" s="54"/>
      <c r="Q15" s="54"/>
      <c r="R15" s="37" t="s">
        <v>3381</v>
      </c>
      <c r="S15" s="54"/>
      <c r="T15" s="37" t="s">
        <v>3341</v>
      </c>
      <c r="U15" s="54"/>
      <c r="V15" s="54"/>
      <c r="W15" s="54"/>
      <c r="X15" s="54"/>
      <c r="Y15" s="54"/>
      <c r="Z15" s="54"/>
      <c r="AA15" s="54"/>
      <c r="AB15" s="37" t="s">
        <v>52</v>
      </c>
      <c r="AC15" s="37" t="s">
        <v>1771</v>
      </c>
      <c r="AD15" s="37" t="s">
        <v>3342</v>
      </c>
      <c r="AE15" s="37" t="s">
        <v>3333</v>
      </c>
      <c r="AF15" s="37">
        <v>5</v>
      </c>
      <c r="AG15" s="37">
        <v>5</v>
      </c>
      <c r="AH15" s="54"/>
      <c r="AI15" s="54"/>
      <c r="AJ15" s="54"/>
      <c r="AK15" s="37">
        <v>12.12</v>
      </c>
      <c r="AN15" s="37">
        <v>22.2</v>
      </c>
    </row>
    <row r="16" spans="1:40" s="37" customFormat="1" ht="14.4" x14ac:dyDescent="0.3">
      <c r="A16" s="37" t="s">
        <v>3331</v>
      </c>
      <c r="B16" s="53" t="s">
        <v>3382</v>
      </c>
      <c r="C16" s="37" t="s">
        <v>3333</v>
      </c>
      <c r="D16" s="37" t="s">
        <v>3383</v>
      </c>
      <c r="E16" s="37" t="s">
        <v>3335</v>
      </c>
      <c r="F16" s="37" t="s">
        <v>3336</v>
      </c>
      <c r="G16" s="37" t="s">
        <v>3337</v>
      </c>
      <c r="H16" s="37" t="s">
        <v>3338</v>
      </c>
      <c r="I16" s="37" t="s">
        <v>3339</v>
      </c>
      <c r="M16" s="54"/>
      <c r="N16" s="37" t="s">
        <v>52</v>
      </c>
      <c r="O16" s="54"/>
      <c r="P16" s="54"/>
      <c r="Q16" s="54"/>
      <c r="R16" s="37" t="s">
        <v>3384</v>
      </c>
      <c r="S16" s="54"/>
      <c r="T16" s="37" t="s">
        <v>3341</v>
      </c>
      <c r="U16" s="54"/>
      <c r="V16" s="54"/>
      <c r="W16" s="54"/>
      <c r="X16" s="54"/>
      <c r="Y16" s="54"/>
      <c r="Z16" s="54"/>
      <c r="AA16" s="54"/>
      <c r="AB16" s="37" t="s">
        <v>52</v>
      </c>
      <c r="AC16" s="37" t="s">
        <v>1771</v>
      </c>
      <c r="AD16" s="37" t="s">
        <v>3342</v>
      </c>
      <c r="AE16" s="37" t="s">
        <v>3333</v>
      </c>
      <c r="AF16" s="37">
        <v>5</v>
      </c>
      <c r="AG16" s="37">
        <v>5</v>
      </c>
      <c r="AH16" s="54"/>
      <c r="AI16" s="54"/>
      <c r="AJ16" s="54"/>
      <c r="AK16" s="37">
        <v>12.12</v>
      </c>
      <c r="AN16" s="37">
        <v>22.2</v>
      </c>
    </row>
    <row r="17" spans="1:40" s="37" customFormat="1" ht="14.4" x14ac:dyDescent="0.3">
      <c r="A17" s="37" t="s">
        <v>3331</v>
      </c>
      <c r="B17" s="53" t="s">
        <v>3385</v>
      </c>
      <c r="C17" s="37" t="s">
        <v>3333</v>
      </c>
      <c r="D17" s="37" t="s">
        <v>3386</v>
      </c>
      <c r="E17" s="37" t="s">
        <v>3335</v>
      </c>
      <c r="F17" s="37" t="s">
        <v>3336</v>
      </c>
      <c r="G17" s="37" t="s">
        <v>3337</v>
      </c>
      <c r="H17" s="37" t="s">
        <v>3338</v>
      </c>
      <c r="I17" s="37" t="s">
        <v>3339</v>
      </c>
      <c r="M17" s="54"/>
      <c r="N17" s="37" t="s">
        <v>52</v>
      </c>
      <c r="O17" s="54"/>
      <c r="P17" s="54"/>
      <c r="Q17" s="54"/>
      <c r="R17" s="37" t="s">
        <v>3387</v>
      </c>
      <c r="S17" s="54"/>
      <c r="T17" s="37" t="s">
        <v>3341</v>
      </c>
      <c r="U17" s="54"/>
      <c r="V17" s="54"/>
      <c r="W17" s="54"/>
      <c r="X17" s="54"/>
      <c r="Y17" s="54"/>
      <c r="Z17" s="54"/>
      <c r="AA17" s="54"/>
      <c r="AB17" s="37" t="s">
        <v>52</v>
      </c>
      <c r="AC17" s="37" t="s">
        <v>1771</v>
      </c>
      <c r="AD17" s="37" t="s">
        <v>3342</v>
      </c>
      <c r="AE17" s="37" t="s">
        <v>3333</v>
      </c>
      <c r="AF17" s="37">
        <v>5</v>
      </c>
      <c r="AG17" s="37">
        <v>5</v>
      </c>
      <c r="AH17" s="54"/>
      <c r="AI17" s="54"/>
      <c r="AJ17" s="54"/>
      <c r="AK17" s="37">
        <v>12.12</v>
      </c>
      <c r="AN17" s="37">
        <v>22.2</v>
      </c>
    </row>
    <row r="18" spans="1:40" s="37" customFormat="1" ht="14.4" x14ac:dyDescent="0.3">
      <c r="A18" s="37" t="s">
        <v>3331</v>
      </c>
      <c r="B18" s="53" t="s">
        <v>3388</v>
      </c>
      <c r="C18" s="37" t="s">
        <v>3333</v>
      </c>
      <c r="D18" s="37" t="s">
        <v>3389</v>
      </c>
      <c r="E18" s="37" t="s">
        <v>3335</v>
      </c>
      <c r="F18" s="37" t="s">
        <v>3336</v>
      </c>
      <c r="G18" s="37" t="s">
        <v>3337</v>
      </c>
      <c r="H18" s="37" t="s">
        <v>3338</v>
      </c>
      <c r="I18" s="37" t="s">
        <v>3339</v>
      </c>
      <c r="M18" s="54"/>
      <c r="N18" s="37" t="s">
        <v>52</v>
      </c>
      <c r="O18" s="54"/>
      <c r="P18" s="54"/>
      <c r="Q18" s="54"/>
      <c r="R18" s="37" t="s">
        <v>3390</v>
      </c>
      <c r="S18" s="54"/>
      <c r="T18" s="37" t="s">
        <v>3341</v>
      </c>
      <c r="U18" s="54"/>
      <c r="V18" s="54"/>
      <c r="W18" s="54"/>
      <c r="X18" s="54"/>
      <c r="Y18" s="54"/>
      <c r="Z18" s="54"/>
      <c r="AA18" s="54"/>
      <c r="AB18" s="37" t="s">
        <v>52</v>
      </c>
      <c r="AC18" s="37" t="s">
        <v>1771</v>
      </c>
      <c r="AD18" s="37" t="s">
        <v>3342</v>
      </c>
      <c r="AE18" s="37" t="s">
        <v>3333</v>
      </c>
      <c r="AF18" s="37">
        <v>5</v>
      </c>
      <c r="AG18" s="37">
        <v>5</v>
      </c>
      <c r="AH18" s="54"/>
      <c r="AI18" s="54"/>
      <c r="AJ18" s="54"/>
      <c r="AK18" s="37">
        <v>12.12</v>
      </c>
      <c r="AN18" s="37">
        <v>22.2</v>
      </c>
    </row>
    <row r="19" spans="1:40" s="37" customFormat="1" ht="14.4" x14ac:dyDescent="0.3">
      <c r="A19" s="37" t="s">
        <v>3331</v>
      </c>
      <c r="B19" s="53" t="s">
        <v>3391</v>
      </c>
      <c r="C19" s="37" t="s">
        <v>3333</v>
      </c>
      <c r="D19" s="37" t="s">
        <v>3392</v>
      </c>
      <c r="E19" s="37" t="s">
        <v>3335</v>
      </c>
      <c r="F19" s="37" t="s">
        <v>3336</v>
      </c>
      <c r="G19" s="37" t="s">
        <v>3337</v>
      </c>
      <c r="H19" s="37" t="s">
        <v>3338</v>
      </c>
      <c r="I19" s="37" t="s">
        <v>3339</v>
      </c>
      <c r="M19" s="54"/>
      <c r="N19" s="37" t="s">
        <v>52</v>
      </c>
      <c r="O19" s="54"/>
      <c r="P19" s="54"/>
      <c r="Q19" s="54"/>
      <c r="R19" s="37" t="s">
        <v>3393</v>
      </c>
      <c r="S19" s="54"/>
      <c r="T19" s="37" t="s">
        <v>3341</v>
      </c>
      <c r="U19" s="54"/>
      <c r="V19" s="54"/>
      <c r="W19" s="54"/>
      <c r="X19" s="54"/>
      <c r="Y19" s="54"/>
      <c r="Z19" s="54"/>
      <c r="AA19" s="54"/>
      <c r="AB19" s="37" t="s">
        <v>52</v>
      </c>
      <c r="AC19" s="37" t="s">
        <v>1771</v>
      </c>
      <c r="AD19" s="37" t="s">
        <v>3342</v>
      </c>
      <c r="AE19" s="37" t="s">
        <v>3333</v>
      </c>
      <c r="AF19" s="37">
        <v>5</v>
      </c>
      <c r="AG19" s="37">
        <v>5</v>
      </c>
      <c r="AH19" s="54"/>
      <c r="AI19" s="54"/>
      <c r="AJ19" s="54"/>
      <c r="AK19" s="37">
        <v>12.12</v>
      </c>
      <c r="AN19" s="37">
        <v>22.2</v>
      </c>
    </row>
    <row r="20" spans="1:40" s="37" customFormat="1" ht="14.4" x14ac:dyDescent="0.3">
      <c r="A20" s="37" t="s">
        <v>3331</v>
      </c>
      <c r="B20" s="53" t="s">
        <v>3394</v>
      </c>
      <c r="C20" s="37" t="s">
        <v>3333</v>
      </c>
      <c r="D20" s="37" t="s">
        <v>3395</v>
      </c>
      <c r="E20" s="37" t="s">
        <v>3335</v>
      </c>
      <c r="F20" s="37" t="s">
        <v>3336</v>
      </c>
      <c r="G20" s="37" t="s">
        <v>3337</v>
      </c>
      <c r="H20" s="37" t="s">
        <v>3338</v>
      </c>
      <c r="I20" s="37" t="s">
        <v>3339</v>
      </c>
      <c r="M20" s="54"/>
      <c r="N20" s="37" t="s">
        <v>52</v>
      </c>
      <c r="O20" s="54"/>
      <c r="P20" s="54"/>
      <c r="Q20" s="54"/>
      <c r="R20" s="37" t="s">
        <v>3396</v>
      </c>
      <c r="S20" s="54"/>
      <c r="T20" s="37" t="s">
        <v>3341</v>
      </c>
      <c r="U20" s="54"/>
      <c r="V20" s="54"/>
      <c r="W20" s="54"/>
      <c r="X20" s="54"/>
      <c r="Y20" s="54"/>
      <c r="Z20" s="54"/>
      <c r="AA20" s="54"/>
      <c r="AB20" s="37" t="s">
        <v>52</v>
      </c>
      <c r="AC20" s="37" t="s">
        <v>1771</v>
      </c>
      <c r="AD20" s="37" t="s">
        <v>3342</v>
      </c>
      <c r="AE20" s="37" t="s">
        <v>3333</v>
      </c>
      <c r="AF20" s="37">
        <v>5</v>
      </c>
      <c r="AG20" s="37">
        <v>5</v>
      </c>
      <c r="AH20" s="54"/>
      <c r="AI20" s="54"/>
      <c r="AJ20" s="54"/>
      <c r="AK20" s="37">
        <v>12.12</v>
      </c>
      <c r="AN20" s="37">
        <v>22.2</v>
      </c>
    </row>
    <row r="21" spans="1:40" s="37" customFormat="1" ht="14.4" x14ac:dyDescent="0.3">
      <c r="A21" s="37" t="s">
        <v>3331</v>
      </c>
      <c r="B21" s="53" t="s">
        <v>3397</v>
      </c>
      <c r="C21" s="37" t="s">
        <v>3333</v>
      </c>
      <c r="D21" s="37" t="s">
        <v>3398</v>
      </c>
      <c r="E21" s="37" t="s">
        <v>3335</v>
      </c>
      <c r="F21" s="37" t="s">
        <v>3336</v>
      </c>
      <c r="G21" s="37" t="s">
        <v>3337</v>
      </c>
      <c r="H21" s="37" t="s">
        <v>3338</v>
      </c>
      <c r="I21" s="37" t="s">
        <v>3339</v>
      </c>
      <c r="M21" s="54"/>
      <c r="N21" s="37" t="s">
        <v>52</v>
      </c>
      <c r="O21" s="54"/>
      <c r="P21" s="54"/>
      <c r="Q21" s="54"/>
      <c r="R21" s="37" t="s">
        <v>3399</v>
      </c>
      <c r="S21" s="54"/>
      <c r="T21" s="37" t="s">
        <v>3341</v>
      </c>
      <c r="U21" s="54"/>
      <c r="V21" s="54"/>
      <c r="W21" s="54"/>
      <c r="X21" s="54"/>
      <c r="Y21" s="54"/>
      <c r="Z21" s="54"/>
      <c r="AA21" s="54"/>
      <c r="AB21" s="37" t="s">
        <v>52</v>
      </c>
      <c r="AC21" s="37" t="s">
        <v>1771</v>
      </c>
      <c r="AD21" s="37" t="s">
        <v>3342</v>
      </c>
      <c r="AE21" s="37" t="s">
        <v>3333</v>
      </c>
      <c r="AF21" s="37">
        <v>5</v>
      </c>
      <c r="AG21" s="37">
        <v>5</v>
      </c>
      <c r="AH21" s="54"/>
      <c r="AI21" s="54"/>
      <c r="AJ21" s="54"/>
      <c r="AK21" s="37">
        <v>12.12</v>
      </c>
      <c r="AN21" s="37">
        <v>22.2</v>
      </c>
    </row>
    <row r="22" spans="1:40" s="37" customFormat="1" ht="14.4" x14ac:dyDescent="0.3">
      <c r="A22" s="37" t="s">
        <v>3331</v>
      </c>
      <c r="B22" s="53" t="s">
        <v>3400</v>
      </c>
      <c r="C22" s="37" t="s">
        <v>3333</v>
      </c>
      <c r="D22" s="37" t="s">
        <v>3401</v>
      </c>
      <c r="E22" s="37" t="s">
        <v>3335</v>
      </c>
      <c r="F22" s="37" t="s">
        <v>3336</v>
      </c>
      <c r="G22" s="37" t="s">
        <v>3337</v>
      </c>
      <c r="H22" s="37" t="s">
        <v>3338</v>
      </c>
      <c r="I22" s="37" t="s">
        <v>3339</v>
      </c>
      <c r="M22" s="54"/>
      <c r="N22" s="37" t="s">
        <v>52</v>
      </c>
      <c r="O22" s="54"/>
      <c r="P22" s="54"/>
      <c r="Q22" s="54"/>
      <c r="R22" s="37" t="s">
        <v>3402</v>
      </c>
      <c r="S22" s="54"/>
      <c r="T22" s="37" t="s">
        <v>3341</v>
      </c>
      <c r="U22" s="54"/>
      <c r="V22" s="54"/>
      <c r="W22" s="54"/>
      <c r="X22" s="54"/>
      <c r="Y22" s="54"/>
      <c r="Z22" s="54"/>
      <c r="AA22" s="54"/>
      <c r="AB22" s="37" t="s">
        <v>52</v>
      </c>
      <c r="AC22" s="37" t="s">
        <v>1771</v>
      </c>
      <c r="AD22" s="37" t="s">
        <v>3342</v>
      </c>
      <c r="AE22" s="37" t="s">
        <v>3333</v>
      </c>
      <c r="AF22" s="37">
        <v>5</v>
      </c>
      <c r="AG22" s="37">
        <v>5</v>
      </c>
      <c r="AH22" s="54"/>
      <c r="AI22" s="54"/>
      <c r="AJ22" s="54"/>
      <c r="AK22" s="37">
        <v>12.12</v>
      </c>
      <c r="AN22" s="37">
        <v>22.2</v>
      </c>
    </row>
    <row r="23" spans="1:40" s="37" customFormat="1" ht="14.4" x14ac:dyDescent="0.3">
      <c r="A23" s="37" t="s">
        <v>3331</v>
      </c>
      <c r="B23" s="53" t="s">
        <v>3403</v>
      </c>
      <c r="C23" s="37" t="s">
        <v>3333</v>
      </c>
      <c r="D23" s="37" t="s">
        <v>3404</v>
      </c>
      <c r="E23" s="37" t="s">
        <v>3335</v>
      </c>
      <c r="F23" s="37" t="s">
        <v>3336</v>
      </c>
      <c r="G23" s="37" t="s">
        <v>3337</v>
      </c>
      <c r="H23" s="37" t="s">
        <v>3338</v>
      </c>
      <c r="I23" s="37" t="s">
        <v>3339</v>
      </c>
      <c r="M23" s="54"/>
      <c r="N23" s="37" t="s">
        <v>52</v>
      </c>
      <c r="O23" s="54"/>
      <c r="P23" s="54"/>
      <c r="Q23" s="54"/>
      <c r="R23" s="37" t="s">
        <v>3405</v>
      </c>
      <c r="S23" s="54"/>
      <c r="T23" s="37" t="s">
        <v>3341</v>
      </c>
      <c r="U23" s="54"/>
      <c r="V23" s="54"/>
      <c r="W23" s="54"/>
      <c r="X23" s="54"/>
      <c r="Y23" s="54"/>
      <c r="Z23" s="54"/>
      <c r="AA23" s="54"/>
      <c r="AB23" s="37" t="s">
        <v>52</v>
      </c>
      <c r="AC23" s="37" t="s">
        <v>1771</v>
      </c>
      <c r="AD23" s="37" t="s">
        <v>3342</v>
      </c>
      <c r="AE23" s="37" t="s">
        <v>3333</v>
      </c>
      <c r="AF23" s="37">
        <v>5</v>
      </c>
      <c r="AG23" s="37">
        <v>5</v>
      </c>
      <c r="AH23" s="54"/>
      <c r="AI23" s="54"/>
      <c r="AJ23" s="54"/>
      <c r="AK23" s="37">
        <v>12.12</v>
      </c>
      <c r="AN23" s="37">
        <v>22.2</v>
      </c>
    </row>
    <row r="24" spans="1:40" s="37" customFormat="1" ht="14.4" x14ac:dyDescent="0.3">
      <c r="A24" s="37" t="s">
        <v>3331</v>
      </c>
      <c r="B24" s="53" t="s">
        <v>3406</v>
      </c>
      <c r="C24" s="37" t="s">
        <v>3333</v>
      </c>
      <c r="D24" s="37" t="s">
        <v>3407</v>
      </c>
      <c r="E24" s="37" t="s">
        <v>3335</v>
      </c>
      <c r="F24" s="37" t="s">
        <v>3336</v>
      </c>
      <c r="G24" s="37" t="s">
        <v>3337</v>
      </c>
      <c r="H24" s="37" t="s">
        <v>3338</v>
      </c>
      <c r="I24" s="37" t="s">
        <v>3339</v>
      </c>
      <c r="M24" s="54"/>
      <c r="N24" s="37" t="s">
        <v>52</v>
      </c>
      <c r="O24" s="54"/>
      <c r="P24" s="54"/>
      <c r="Q24" s="54"/>
      <c r="R24" s="37" t="s">
        <v>3408</v>
      </c>
      <c r="S24" s="54"/>
      <c r="T24" s="37" t="s">
        <v>3341</v>
      </c>
      <c r="U24" s="54"/>
      <c r="V24" s="54"/>
      <c r="W24" s="54"/>
      <c r="X24" s="54"/>
      <c r="Y24" s="54"/>
      <c r="Z24" s="54"/>
      <c r="AA24" s="54"/>
      <c r="AB24" s="37" t="s">
        <v>52</v>
      </c>
      <c r="AC24" s="37" t="s">
        <v>1771</v>
      </c>
      <c r="AD24" s="37" t="s">
        <v>3342</v>
      </c>
      <c r="AE24" s="37" t="s">
        <v>3333</v>
      </c>
      <c r="AF24" s="37">
        <v>5</v>
      </c>
      <c r="AG24" s="37">
        <v>5</v>
      </c>
      <c r="AH24" s="54"/>
      <c r="AI24" s="54"/>
      <c r="AJ24" s="54"/>
      <c r="AK24" s="37">
        <v>12.12</v>
      </c>
      <c r="AN24" s="37">
        <v>22.2</v>
      </c>
    </row>
    <row r="25" spans="1:40" s="37" customFormat="1" ht="14.4" x14ac:dyDescent="0.3">
      <c r="A25" s="37" t="s">
        <v>3331</v>
      </c>
      <c r="B25" s="53" t="s">
        <v>3409</v>
      </c>
      <c r="C25" s="37" t="s">
        <v>3333</v>
      </c>
      <c r="D25" s="37" t="s">
        <v>3410</v>
      </c>
      <c r="E25" s="37" t="s">
        <v>3335</v>
      </c>
      <c r="F25" s="37" t="s">
        <v>3336</v>
      </c>
      <c r="G25" s="37" t="s">
        <v>3337</v>
      </c>
      <c r="H25" s="37" t="s">
        <v>3338</v>
      </c>
      <c r="I25" s="37" t="s">
        <v>3339</v>
      </c>
      <c r="M25" s="54"/>
      <c r="N25" s="37" t="s">
        <v>52</v>
      </c>
      <c r="O25" s="54"/>
      <c r="P25" s="54"/>
      <c r="Q25" s="54"/>
      <c r="R25" s="37" t="s">
        <v>3411</v>
      </c>
      <c r="S25" s="54"/>
      <c r="T25" s="37" t="s">
        <v>3341</v>
      </c>
      <c r="U25" s="54"/>
      <c r="V25" s="54"/>
      <c r="W25" s="54"/>
      <c r="X25" s="54"/>
      <c r="Y25" s="54"/>
      <c r="Z25" s="54"/>
      <c r="AA25" s="54"/>
      <c r="AB25" s="37" t="s">
        <v>52</v>
      </c>
      <c r="AC25" s="37" t="s">
        <v>1771</v>
      </c>
      <c r="AD25" s="37" t="s">
        <v>3342</v>
      </c>
      <c r="AE25" s="37" t="s">
        <v>3333</v>
      </c>
      <c r="AF25" s="37">
        <v>5</v>
      </c>
      <c r="AG25" s="37">
        <v>5</v>
      </c>
      <c r="AH25" s="54"/>
      <c r="AI25" s="54"/>
      <c r="AJ25" s="54"/>
      <c r="AK25" s="37">
        <v>12.12</v>
      </c>
      <c r="AN25" s="37">
        <v>22.2</v>
      </c>
    </row>
    <row r="26" spans="1:40" s="37" customFormat="1" ht="14.4" x14ac:dyDescent="0.3">
      <c r="A26" s="37" t="s">
        <v>3331</v>
      </c>
      <c r="B26" s="53" t="s">
        <v>3412</v>
      </c>
      <c r="C26" s="37" t="s">
        <v>3333</v>
      </c>
      <c r="D26" s="37" t="s">
        <v>3413</v>
      </c>
      <c r="E26" s="37" t="s">
        <v>3335</v>
      </c>
      <c r="F26" s="37" t="s">
        <v>3336</v>
      </c>
      <c r="G26" s="37" t="s">
        <v>3337</v>
      </c>
      <c r="H26" s="37" t="s">
        <v>3338</v>
      </c>
      <c r="I26" s="37" t="s">
        <v>3339</v>
      </c>
      <c r="M26" s="54"/>
      <c r="N26" s="37" t="s">
        <v>52</v>
      </c>
      <c r="O26" s="54"/>
      <c r="P26" s="54"/>
      <c r="Q26" s="54"/>
      <c r="R26" s="37" t="s">
        <v>3414</v>
      </c>
      <c r="S26" s="54"/>
      <c r="T26" s="37" t="s">
        <v>3341</v>
      </c>
      <c r="U26" s="54"/>
      <c r="V26" s="54"/>
      <c r="W26" s="54"/>
      <c r="X26" s="54"/>
      <c r="Y26" s="54"/>
      <c r="Z26" s="54"/>
      <c r="AA26" s="54"/>
      <c r="AB26" s="37" t="s">
        <v>52</v>
      </c>
      <c r="AC26" s="37" t="s">
        <v>1771</v>
      </c>
      <c r="AD26" s="37" t="s">
        <v>3342</v>
      </c>
      <c r="AE26" s="37" t="s">
        <v>3333</v>
      </c>
      <c r="AF26" s="37">
        <v>5</v>
      </c>
      <c r="AG26" s="37">
        <v>5</v>
      </c>
      <c r="AH26" s="54"/>
      <c r="AI26" s="54"/>
      <c r="AJ26" s="54"/>
      <c r="AK26" s="37">
        <v>12.12</v>
      </c>
      <c r="AN26" s="37">
        <v>22.2</v>
      </c>
    </row>
    <row r="27" spans="1:40" s="37" customFormat="1" ht="14.4" x14ac:dyDescent="0.3">
      <c r="A27" s="37" t="s">
        <v>3331</v>
      </c>
      <c r="B27" s="53" t="s">
        <v>3415</v>
      </c>
      <c r="C27" s="37" t="s">
        <v>3333</v>
      </c>
      <c r="D27" s="37" t="s">
        <v>3416</v>
      </c>
      <c r="E27" s="37" t="s">
        <v>3335</v>
      </c>
      <c r="F27" s="37" t="s">
        <v>3336</v>
      </c>
      <c r="G27" s="37" t="s">
        <v>3337</v>
      </c>
      <c r="H27" s="37" t="s">
        <v>3338</v>
      </c>
      <c r="I27" s="37" t="s">
        <v>3339</v>
      </c>
      <c r="M27" s="54"/>
      <c r="N27" s="37" t="s">
        <v>52</v>
      </c>
      <c r="O27" s="54"/>
      <c r="P27" s="54"/>
      <c r="Q27" s="54"/>
      <c r="R27" s="37" t="s">
        <v>3417</v>
      </c>
      <c r="S27" s="54"/>
      <c r="T27" s="37" t="s">
        <v>3341</v>
      </c>
      <c r="U27" s="54"/>
      <c r="V27" s="54"/>
      <c r="W27" s="54"/>
      <c r="X27" s="54"/>
      <c r="Y27" s="54"/>
      <c r="Z27" s="54"/>
      <c r="AA27" s="54"/>
      <c r="AB27" s="37" t="s">
        <v>52</v>
      </c>
      <c r="AC27" s="37" t="s">
        <v>1771</v>
      </c>
      <c r="AD27" s="37" t="s">
        <v>3342</v>
      </c>
      <c r="AE27" s="37" t="s">
        <v>3333</v>
      </c>
      <c r="AF27" s="37">
        <v>5</v>
      </c>
      <c r="AG27" s="37">
        <v>5</v>
      </c>
      <c r="AH27" s="54"/>
      <c r="AI27" s="54"/>
      <c r="AJ27" s="54"/>
      <c r="AK27" s="37">
        <v>12.12</v>
      </c>
      <c r="AN27" s="37">
        <v>22.2</v>
      </c>
    </row>
    <row r="28" spans="1:40" s="37" customFormat="1" ht="14.4" x14ac:dyDescent="0.3">
      <c r="A28" s="37" t="s">
        <v>3331</v>
      </c>
      <c r="B28" s="53" t="s">
        <v>3418</v>
      </c>
      <c r="C28" s="37" t="s">
        <v>3333</v>
      </c>
      <c r="D28" s="37" t="s">
        <v>3419</v>
      </c>
      <c r="E28" s="37" t="s">
        <v>3335</v>
      </c>
      <c r="F28" s="37" t="s">
        <v>3336</v>
      </c>
      <c r="G28" s="37" t="s">
        <v>3337</v>
      </c>
      <c r="H28" s="37" t="s">
        <v>3338</v>
      </c>
      <c r="I28" s="37" t="s">
        <v>3339</v>
      </c>
      <c r="M28" s="54"/>
      <c r="N28" s="37" t="s">
        <v>52</v>
      </c>
      <c r="O28" s="54"/>
      <c r="P28" s="54"/>
      <c r="Q28" s="54"/>
      <c r="R28" s="37" t="s">
        <v>3420</v>
      </c>
      <c r="S28" s="54"/>
      <c r="T28" s="37" t="s">
        <v>3341</v>
      </c>
      <c r="U28" s="54"/>
      <c r="V28" s="54"/>
      <c r="W28" s="54"/>
      <c r="X28" s="54"/>
      <c r="Y28" s="54"/>
      <c r="Z28" s="54"/>
      <c r="AA28" s="54"/>
      <c r="AB28" s="37" t="s">
        <v>52</v>
      </c>
      <c r="AC28" s="37" t="s">
        <v>1771</v>
      </c>
      <c r="AD28" s="37" t="s">
        <v>3342</v>
      </c>
      <c r="AE28" s="37" t="s">
        <v>3333</v>
      </c>
      <c r="AF28" s="37">
        <v>5</v>
      </c>
      <c r="AG28" s="37">
        <v>5</v>
      </c>
      <c r="AH28" s="54"/>
      <c r="AI28" s="54"/>
      <c r="AJ28" s="54"/>
      <c r="AK28" s="37">
        <v>12.12</v>
      </c>
      <c r="AN28" s="37">
        <v>22.2</v>
      </c>
    </row>
    <row r="29" spans="1:40" s="37" customFormat="1" ht="14.4" x14ac:dyDescent="0.3">
      <c r="A29" s="37" t="s">
        <v>3331</v>
      </c>
      <c r="B29" s="53" t="s">
        <v>3421</v>
      </c>
      <c r="C29" s="37" t="s">
        <v>3333</v>
      </c>
      <c r="D29" s="37" t="s">
        <v>3422</v>
      </c>
      <c r="E29" s="37" t="s">
        <v>3335</v>
      </c>
      <c r="F29" s="37" t="s">
        <v>3336</v>
      </c>
      <c r="G29" s="37" t="s">
        <v>3337</v>
      </c>
      <c r="H29" s="37" t="s">
        <v>3338</v>
      </c>
      <c r="I29" s="37" t="s">
        <v>3339</v>
      </c>
      <c r="M29" s="54"/>
      <c r="N29" s="37" t="s">
        <v>52</v>
      </c>
      <c r="O29" s="54"/>
      <c r="P29" s="54"/>
      <c r="Q29" s="54"/>
      <c r="R29" s="37" t="s">
        <v>3423</v>
      </c>
      <c r="S29" s="54"/>
      <c r="T29" s="37" t="s">
        <v>3341</v>
      </c>
      <c r="U29" s="54"/>
      <c r="V29" s="54"/>
      <c r="W29" s="54"/>
      <c r="X29" s="54"/>
      <c r="Y29" s="54"/>
      <c r="Z29" s="54"/>
      <c r="AA29" s="54"/>
      <c r="AB29" s="37" t="s">
        <v>52</v>
      </c>
      <c r="AC29" s="37" t="s">
        <v>1771</v>
      </c>
      <c r="AD29" s="37" t="s">
        <v>3342</v>
      </c>
      <c r="AE29" s="37" t="s">
        <v>3333</v>
      </c>
      <c r="AF29" s="37">
        <v>5</v>
      </c>
      <c r="AG29" s="37">
        <v>5</v>
      </c>
      <c r="AH29" s="54"/>
      <c r="AI29" s="54"/>
      <c r="AJ29" s="54"/>
      <c r="AK29" s="37">
        <v>12.12</v>
      </c>
      <c r="AN29" s="37">
        <v>22.2</v>
      </c>
    </row>
    <row r="30" spans="1:40" s="37" customFormat="1" ht="14.4" x14ac:dyDescent="0.3">
      <c r="A30" s="37" t="s">
        <v>3331</v>
      </c>
      <c r="B30" s="53" t="s">
        <v>3424</v>
      </c>
      <c r="C30" s="37" t="s">
        <v>3333</v>
      </c>
      <c r="D30" s="37" t="s">
        <v>3425</v>
      </c>
      <c r="E30" s="37" t="s">
        <v>3335</v>
      </c>
      <c r="F30" s="37" t="s">
        <v>3336</v>
      </c>
      <c r="G30" s="37" t="s">
        <v>3337</v>
      </c>
      <c r="H30" s="37" t="s">
        <v>3338</v>
      </c>
      <c r="I30" s="37" t="s">
        <v>3339</v>
      </c>
      <c r="M30" s="54"/>
      <c r="N30" s="37" t="s">
        <v>52</v>
      </c>
      <c r="O30" s="54"/>
      <c r="P30" s="54"/>
      <c r="Q30" s="54"/>
      <c r="R30" s="37" t="s">
        <v>3426</v>
      </c>
      <c r="S30" s="54"/>
      <c r="T30" s="37" t="s">
        <v>3341</v>
      </c>
      <c r="U30" s="54"/>
      <c r="V30" s="54"/>
      <c r="W30" s="54"/>
      <c r="X30" s="54"/>
      <c r="Y30" s="54"/>
      <c r="Z30" s="54"/>
      <c r="AA30" s="54"/>
      <c r="AB30" s="37" t="s">
        <v>52</v>
      </c>
      <c r="AC30" s="37" t="s">
        <v>1771</v>
      </c>
      <c r="AD30" s="37" t="s">
        <v>3342</v>
      </c>
      <c r="AE30" s="37" t="s">
        <v>3333</v>
      </c>
      <c r="AF30" s="37">
        <v>5</v>
      </c>
      <c r="AG30" s="37">
        <v>5</v>
      </c>
      <c r="AH30" s="54"/>
      <c r="AI30" s="54"/>
      <c r="AJ30" s="54"/>
      <c r="AK30" s="37">
        <v>12.12</v>
      </c>
      <c r="AN30" s="37">
        <v>22.2</v>
      </c>
    </row>
    <row r="31" spans="1:40" s="37" customFormat="1" ht="14.4" x14ac:dyDescent="0.3">
      <c r="A31" s="37" t="s">
        <v>3427</v>
      </c>
      <c r="B31" s="53" t="s">
        <v>3428</v>
      </c>
      <c r="C31" s="37" t="s">
        <v>3333</v>
      </c>
      <c r="D31" s="53">
        <v>1558805</v>
      </c>
      <c r="E31" s="37" t="s">
        <v>3429</v>
      </c>
      <c r="F31" s="37" t="s">
        <v>3430</v>
      </c>
      <c r="G31" s="37" t="s">
        <v>3431</v>
      </c>
      <c r="M31" s="54"/>
      <c r="N31" s="37" t="s">
        <v>52</v>
      </c>
      <c r="O31" s="54"/>
      <c r="P31" s="54"/>
      <c r="Q31" s="54"/>
      <c r="R31" s="37" t="s">
        <v>49</v>
      </c>
      <c r="S31" s="54"/>
      <c r="T31" s="37" t="s">
        <v>3432</v>
      </c>
      <c r="U31" s="54"/>
      <c r="V31" s="54"/>
      <c r="W31" s="54"/>
      <c r="X31" s="54"/>
      <c r="Y31" s="54"/>
      <c r="Z31" s="54"/>
      <c r="AA31" s="54"/>
      <c r="AB31" s="37" t="s">
        <v>52</v>
      </c>
      <c r="AC31" s="37" t="s">
        <v>1771</v>
      </c>
      <c r="AD31" s="37" t="s">
        <v>3342</v>
      </c>
      <c r="AE31" s="37" t="s">
        <v>3333</v>
      </c>
      <c r="AF31" s="37">
        <v>5</v>
      </c>
      <c r="AG31" s="37">
        <v>5</v>
      </c>
      <c r="AH31" s="54"/>
      <c r="AI31" s="54"/>
      <c r="AJ31" s="54"/>
      <c r="AK31" s="37">
        <v>27.71</v>
      </c>
      <c r="AN31" s="37">
        <v>59.9</v>
      </c>
    </row>
    <row r="32" spans="1:40" s="37" customFormat="1" ht="14.4" x14ac:dyDescent="0.3">
      <c r="A32" s="37" t="s">
        <v>5483</v>
      </c>
      <c r="B32" s="53" t="s">
        <v>3433</v>
      </c>
      <c r="C32" s="37" t="s">
        <v>3333</v>
      </c>
      <c r="D32" s="53">
        <v>5825</v>
      </c>
      <c r="E32" s="37" t="s">
        <v>5485</v>
      </c>
      <c r="G32" s="37" t="s">
        <v>5487</v>
      </c>
      <c r="M32" s="54"/>
      <c r="N32" s="37" t="s">
        <v>52</v>
      </c>
      <c r="O32" s="54"/>
      <c r="P32" s="54"/>
      <c r="Q32" s="54"/>
      <c r="R32" s="37" t="s">
        <v>61</v>
      </c>
      <c r="S32" s="54"/>
      <c r="T32" s="37" t="s">
        <v>5486</v>
      </c>
      <c r="U32" s="54"/>
      <c r="V32" s="54"/>
      <c r="W32" s="54"/>
      <c r="X32" s="54"/>
      <c r="Y32" s="54"/>
      <c r="Z32" s="54"/>
      <c r="AA32" s="54"/>
      <c r="AB32" s="37" t="s">
        <v>52</v>
      </c>
      <c r="AC32" s="37" t="s">
        <v>1771</v>
      </c>
      <c r="AD32" s="37" t="s">
        <v>3342</v>
      </c>
      <c r="AE32" s="37" t="s">
        <v>3333</v>
      </c>
      <c r="AF32" s="37">
        <v>25</v>
      </c>
      <c r="AG32" s="37">
        <v>25</v>
      </c>
      <c r="AH32" s="54"/>
      <c r="AI32" s="54"/>
      <c r="AJ32" s="54"/>
      <c r="AK32" s="37">
        <v>11.86</v>
      </c>
      <c r="AN32" s="37">
        <v>24.9</v>
      </c>
    </row>
    <row r="33" spans="1:40" s="37" customFormat="1" ht="14.4" x14ac:dyDescent="0.3">
      <c r="A33" s="37" t="s">
        <v>5484</v>
      </c>
      <c r="B33" s="53" t="s">
        <v>3434</v>
      </c>
      <c r="C33" s="37" t="s">
        <v>3333</v>
      </c>
      <c r="D33" s="53">
        <v>6825</v>
      </c>
      <c r="E33" s="37" t="s">
        <v>5485</v>
      </c>
      <c r="G33" s="37" t="s">
        <v>5487</v>
      </c>
      <c r="M33" s="54"/>
      <c r="N33" s="37" t="s">
        <v>52</v>
      </c>
      <c r="O33" s="54"/>
      <c r="P33" s="54"/>
      <c r="Q33" s="54"/>
      <c r="R33" s="37" t="s">
        <v>49</v>
      </c>
      <c r="S33" s="54"/>
      <c r="T33" s="37" t="s">
        <v>5486</v>
      </c>
      <c r="U33" s="54"/>
      <c r="V33" s="54"/>
      <c r="W33" s="54"/>
      <c r="X33" s="54"/>
      <c r="Y33" s="54"/>
      <c r="Z33" s="54"/>
      <c r="AA33" s="54"/>
      <c r="AB33" s="37" t="s">
        <v>52</v>
      </c>
      <c r="AC33" s="37" t="s">
        <v>1771</v>
      </c>
      <c r="AD33" s="37" t="s">
        <v>3342</v>
      </c>
      <c r="AE33" s="37" t="s">
        <v>3333</v>
      </c>
      <c r="AF33" s="37">
        <v>25</v>
      </c>
      <c r="AG33" s="37">
        <v>25</v>
      </c>
      <c r="AH33" s="54"/>
      <c r="AI33" s="54"/>
      <c r="AJ33" s="54"/>
      <c r="AK33" s="37">
        <v>10.23</v>
      </c>
      <c r="AN33" s="37">
        <v>14.5</v>
      </c>
    </row>
    <row r="34" spans="1:40" s="37" customFormat="1" ht="14.4" x14ac:dyDescent="0.3">
      <c r="A34" s="37" t="s">
        <v>5523</v>
      </c>
      <c r="B34" s="53" t="s">
        <v>3435</v>
      </c>
      <c r="C34" s="37" t="s">
        <v>3333</v>
      </c>
      <c r="D34" s="53">
        <v>119925</v>
      </c>
      <c r="E34" s="37" t="s">
        <v>5488</v>
      </c>
      <c r="M34" s="54"/>
      <c r="N34" s="37" t="s">
        <v>52</v>
      </c>
      <c r="O34" s="54"/>
      <c r="P34" s="54"/>
      <c r="Q34" s="54"/>
      <c r="R34" s="37" t="s">
        <v>61</v>
      </c>
      <c r="S34" s="54"/>
      <c r="T34" s="37" t="s">
        <v>5486</v>
      </c>
      <c r="U34" s="54"/>
      <c r="V34" s="54"/>
      <c r="W34" s="54"/>
      <c r="X34" s="54"/>
      <c r="Y34" s="54"/>
      <c r="Z34" s="54"/>
      <c r="AA34" s="54"/>
      <c r="AB34" s="37" t="s">
        <v>52</v>
      </c>
      <c r="AC34" s="37" t="s">
        <v>1771</v>
      </c>
      <c r="AD34" s="37" t="s">
        <v>3342</v>
      </c>
      <c r="AE34" s="37" t="s">
        <v>3333</v>
      </c>
      <c r="AF34" s="37">
        <v>25</v>
      </c>
      <c r="AG34" s="37">
        <v>25</v>
      </c>
      <c r="AH34" s="54"/>
      <c r="AI34" s="54"/>
      <c r="AJ34" s="54"/>
      <c r="AK34" s="37">
        <v>15.94</v>
      </c>
      <c r="AN34" s="37">
        <v>28.8</v>
      </c>
    </row>
    <row r="35" spans="1:40" s="37" customFormat="1" ht="14.4" x14ac:dyDescent="0.3">
      <c r="A35" s="37" t="s">
        <v>5524</v>
      </c>
      <c r="B35" s="53" t="s">
        <v>3436</v>
      </c>
      <c r="C35" s="37" t="s">
        <v>3333</v>
      </c>
      <c r="D35" s="53">
        <v>1194125</v>
      </c>
      <c r="E35" s="37" t="s">
        <v>5488</v>
      </c>
      <c r="M35" s="54"/>
      <c r="N35" s="37" t="s">
        <v>52</v>
      </c>
      <c r="O35" s="54"/>
      <c r="P35" s="54"/>
      <c r="Q35" s="54"/>
      <c r="S35" s="54"/>
      <c r="T35" s="37" t="s">
        <v>5486</v>
      </c>
      <c r="U35" s="54"/>
      <c r="V35" s="54"/>
      <c r="W35" s="54"/>
      <c r="X35" s="54"/>
      <c r="Y35" s="54"/>
      <c r="Z35" s="54"/>
      <c r="AA35" s="54"/>
      <c r="AB35" s="37" t="s">
        <v>52</v>
      </c>
      <c r="AC35" s="37" t="s">
        <v>1771</v>
      </c>
      <c r="AD35" s="37" t="s">
        <v>3342</v>
      </c>
      <c r="AE35" s="37" t="s">
        <v>3333</v>
      </c>
      <c r="AF35" s="37">
        <v>25</v>
      </c>
      <c r="AG35" s="37">
        <v>25</v>
      </c>
      <c r="AH35" s="54"/>
      <c r="AI35" s="54"/>
      <c r="AJ35" s="54"/>
      <c r="AK35" s="37">
        <v>15.07</v>
      </c>
      <c r="AN35" s="37">
        <v>24</v>
      </c>
    </row>
    <row r="36" spans="1:40" ht="14.25" customHeight="1" x14ac:dyDescent="0.3"/>
    <row r="37" spans="1:40" ht="14.25" customHeight="1" x14ac:dyDescent="0.3"/>
    <row r="38" spans="1:40" ht="14.25" customHeight="1" x14ac:dyDescent="0.3"/>
    <row r="39" spans="1:40" ht="14.25" customHeight="1" x14ac:dyDescent="0.3"/>
    <row r="40" spans="1:40" ht="14.25" customHeight="1" x14ac:dyDescent="0.3"/>
    <row r="41" spans="1:40" ht="14.25" customHeight="1" x14ac:dyDescent="0.3"/>
    <row r="42" spans="1:40" ht="14.25" customHeight="1" x14ac:dyDescent="0.3"/>
    <row r="43" spans="1:40" ht="14.25" customHeight="1" x14ac:dyDescent="0.3"/>
    <row r="44" spans="1:40" ht="14.25" customHeight="1" x14ac:dyDescent="0.3"/>
    <row r="45" spans="1:40" ht="14.25" customHeight="1" x14ac:dyDescent="0.3"/>
    <row r="46" spans="1:40" ht="14.25" customHeight="1" x14ac:dyDescent="0.3"/>
    <row r="47" spans="1:40" ht="14.25" customHeight="1" x14ac:dyDescent="0.3"/>
    <row r="48" spans="1:40"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Carrelage Intérieur</vt:lpstr>
      <vt:lpstr>Carrelage Extérieur</vt:lpstr>
      <vt:lpstr>Parquet Sol stratifié et PVC</vt:lpstr>
      <vt:lpstr>Salle de bains</vt:lpstr>
      <vt:lpstr>Robinetterie</vt:lpstr>
      <vt:lpstr>Pose &amp; 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Max</dc:creator>
  <cp:lastModifiedBy>Maxime MADUREIRA</cp:lastModifiedBy>
  <dcterms:created xsi:type="dcterms:W3CDTF">2025-01-08T13:10:12Z</dcterms:created>
  <dcterms:modified xsi:type="dcterms:W3CDTF">2025-06-26T16:42:28Z</dcterms:modified>
</cp:coreProperties>
</file>